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Ex3.xml" ContentType="application/vnd.ms-office.chartex+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https://d.docs.live.net/0e72987a53845f08/"/>
    </mc:Choice>
  </mc:AlternateContent>
  <xr:revisionPtr revIDLastSave="37" documentId="8_{BA764632-02EA-4E3F-8328-C76C0F1FCBC3}" xr6:coauthVersionLast="47" xr6:coauthVersionMax="47" xr10:uidLastSave="{BE33C41D-2783-4E75-BFD3-5BA97B83D0F6}"/>
  <bookViews>
    <workbookView xWindow="-108" yWindow="-108" windowWidth="23256" windowHeight="12456" activeTab="2" xr2:uid="{72F95BEA-7566-46FE-8BC9-CE8572DD59EB}"/>
  </bookViews>
  <sheets>
    <sheet name="Raw Data" sheetId="1" r:id="rId1"/>
    <sheet name="Calculated_Fields" sheetId="2" r:id="rId2"/>
    <sheet name="Pivot_Tables " sheetId="3" r:id="rId3"/>
    <sheet name="Dashboard" sheetId="4" r:id="rId4"/>
  </sheets>
  <definedNames>
    <definedName name="_xlchart.v1.0" hidden="1">Calculated_Fields!$I$1</definedName>
    <definedName name="_xlchart.v1.1" hidden="1">Calculated_Fields!$I$2:$I$1001</definedName>
    <definedName name="_xlchart.v1.2" hidden="1">Calculated_Fields!$I$1</definedName>
    <definedName name="_xlchart.v1.3" hidden="1">Calculated_Fields!$I$2:$I$1001</definedName>
    <definedName name="_xlchart.v1.4" hidden="1">Calculated_Fields!$I$1</definedName>
    <definedName name="_xlchart.v1.5" hidden="1">Calculated_Fields!$I$2:$I$1001</definedName>
    <definedName name="_xlcn.WorksheetConnection_Calculated_FieldsPQ1" hidden="1">Calculated_Fields!$P:$Q</definedName>
    <definedName name="_xlcn.WorksheetConnection_Calculated_FieldsPR1" hidden="1">Calculated_Fields!$P:$R</definedName>
    <definedName name="Slicer_Age_Group">#N/A</definedName>
    <definedName name="Slicer_Age_Group1">#N/A</definedName>
    <definedName name="Slicer_Age_Group2">#N/A</definedName>
    <definedName name="Slicer_Country">#N/A</definedName>
    <definedName name="Slicer_Country1">#N/A</definedName>
    <definedName name="Slicer_Favorite_Genre">#N/A</definedName>
    <definedName name="Slicer_Favorite_Genre1">#N/A</definedName>
    <definedName name="Slicer_Membership_Status">#N/A</definedName>
  </definedNames>
  <calcPr calcId="191029"/>
  <pivotCaches>
    <pivotCache cacheId="0" r:id="rId5"/>
    <pivotCache cacheId="1" r:id="rId6"/>
    <pivotCache cacheId="2" r:id="rId7"/>
    <pivotCache cacheId="3" r:id="rId8"/>
    <pivotCache cacheId="4" r:id="rId9"/>
    <pivotCache cacheId="5" r:id="rId10"/>
    <pivotCache cacheId="6" r:id="rId11"/>
    <pivotCache cacheId="13" r:id="rId12"/>
    <pivotCache cacheId="8" r:id="rId13"/>
    <pivotCache cacheId="9" r:id="rId14"/>
    <pivotCache cacheId="10" r:id="rId15"/>
    <pivotCache cacheId="11"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alculated_Fields!$P:$Q"/>
          <x15:modelTable id="Range 1" name="Range 1" connection="WorksheetConnection_Calculated_Fields!$P:$R"/>
        </x15:modelTables>
      </x15:dataModel>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2" i="2"/>
  <c r="D2" i="3"/>
  <c r="D3" i="3"/>
  <c r="M27" i="3"/>
  <c r="M26" i="3"/>
  <c r="M25" i="3"/>
  <c r="M24" i="3"/>
  <c r="M23" i="3"/>
  <c r="I10" i="3"/>
  <c r="I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E0D0C2-8FB2-4B00-91E9-DF87A39C5E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8FE5D8E-F275-4D4B-A8DD-B701BDFD1BA9}" name="WorksheetConnection_Calculated_Fields!$P:$Q" type="102" refreshedVersion="8" minRefreshableVersion="5">
    <extLst>
      <ext xmlns:x15="http://schemas.microsoft.com/office/spreadsheetml/2010/11/main" uri="{DE250136-89BD-433C-8126-D09CA5730AF9}">
        <x15:connection id="Range" autoDelete="1">
          <x15:rangePr sourceName="_xlcn.WorksheetConnection_Calculated_FieldsPQ1"/>
        </x15:connection>
      </ext>
    </extLst>
  </connection>
  <connection id="3" xr16:uid="{BD1BB550-95F1-4E53-A400-4B6FB836FC51}" name="WorksheetConnection_Calculated_Fields!$P:$R" type="102" refreshedVersion="8" minRefreshableVersion="5">
    <extLst>
      <ext xmlns:x15="http://schemas.microsoft.com/office/spreadsheetml/2010/11/main" uri="{DE250136-89BD-433C-8126-D09CA5730AF9}">
        <x15:connection id="Range 1" autoDelete="1">
          <x15:rangePr sourceName="_xlcn.WorksheetConnection_Calculated_FieldsPR1"/>
        </x15:connection>
      </ext>
    </extLst>
  </connection>
</connections>
</file>

<file path=xl/sharedStrings.xml><?xml version="1.0" encoding="utf-8"?>
<sst xmlns="http://schemas.openxmlformats.org/spreadsheetml/2006/main" count="17177" uniqueCount="443">
  <si>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</si>
  <si>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</si>
  <si>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</si>
  <si>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</si>
  <si>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</si>
  <si>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</si>
  <si>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</si>
  <si>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</si>
  <si>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</si>
  <si>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</si>
  <si>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</si>
  <si>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</si>
  <si>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</si>
  <si>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</si>
  <si>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</si>
  <si>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</si>
  <si>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</si>
  <si>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</si>
  <si>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</si>
  <si>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</si>
  <si>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</si>
  <si>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</si>
  <si>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</si>
  <si>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</si>
  <si>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Action</t>
  </si>
  <si>
    <t>USA</t>
  </si>
  <si>
    <t>PayPal</t>
  </si>
  <si>
    <t>Hindi</t>
  </si>
  <si>
    <t>Active</t>
  </si>
  <si>
    <t>Smartphone</t>
  </si>
  <si>
    <t>35-44</t>
  </si>
  <si>
    <t>Late Night</t>
  </si>
  <si>
    <t>Patrick</t>
  </si>
  <si>
    <t>Drama</t>
  </si>
  <si>
    <t>German</t>
  </si>
  <si>
    <t>Desktop</t>
  </si>
  <si>
    <t>25-34</t>
  </si>
  <si>
    <t>Evening</t>
  </si>
  <si>
    <t>Robert</t>
  </si>
  <si>
    <t>Canada</t>
  </si>
  <si>
    <t>Debit Card</t>
  </si>
  <si>
    <t>Mandarin</t>
  </si>
  <si>
    <t>Cole</t>
  </si>
  <si>
    <t>Sci-Fi</t>
  </si>
  <si>
    <t>UK</t>
  </si>
  <si>
    <t>Jamie</t>
  </si>
  <si>
    <t>Documentary</t>
  </si>
  <si>
    <t>Mary</t>
  </si>
  <si>
    <t>India</t>
  </si>
  <si>
    <t>Credit Card</t>
  </si>
  <si>
    <t>Spanish</t>
  </si>
  <si>
    <t>Smart TV</t>
  </si>
  <si>
    <t>18-24</t>
  </si>
  <si>
    <t>Morning</t>
  </si>
  <si>
    <t>Theodore</t>
  </si>
  <si>
    <t>Horror</t>
  </si>
  <si>
    <t>English</t>
  </si>
  <si>
    <t>Laptop</t>
  </si>
  <si>
    <t>Olivia</t>
  </si>
  <si>
    <t>Australia</t>
  </si>
  <si>
    <t>45-54</t>
  </si>
  <si>
    <t>Patricia</t>
  </si>
  <si>
    <t>Comedy</t>
  </si>
  <si>
    <t>Germany</t>
  </si>
  <si>
    <t>Cryptocurrency</t>
  </si>
  <si>
    <t>Tablet</t>
  </si>
  <si>
    <t>Linda</t>
  </si>
  <si>
    <t>French</t>
  </si>
  <si>
    <t>55+</t>
  </si>
  <si>
    <t>Nichole</t>
  </si>
  <si>
    <t>Frances</t>
  </si>
  <si>
    <t>Maurice</t>
  </si>
  <si>
    <t>Jennifer</t>
  </si>
  <si>
    <t>Cheryl</t>
  </si>
  <si>
    <t>France</t>
  </si>
  <si>
    <t>Afternoon</t>
  </si>
  <si>
    <t>Kathy</t>
  </si>
  <si>
    <t>Cassie</t>
  </si>
  <si>
    <t>Charles</t>
  </si>
  <si>
    <t>Romance</t>
  </si>
  <si>
    <t>William</t>
  </si>
  <si>
    <t>Tiffany</t>
  </si>
  <si>
    <t>Mark</t>
  </si>
  <si>
    <t>Anne</t>
  </si>
  <si>
    <t>Carol</t>
  </si>
  <si>
    <t>Cynthia</t>
  </si>
  <si>
    <t>Destiny</t>
  </si>
  <si>
    <t>Brittany</t>
  </si>
  <si>
    <t>Amy</t>
  </si>
  <si>
    <t>Kimberly</t>
  </si>
  <si>
    <t>Ariel</t>
  </si>
  <si>
    <t>Lauren</t>
  </si>
  <si>
    <t>Joshua</t>
  </si>
  <si>
    <t>Megan</t>
  </si>
  <si>
    <t>Stephanie</t>
  </si>
  <si>
    <t>Terrence</t>
  </si>
  <si>
    <t>Julia</t>
  </si>
  <si>
    <t>Derrick</t>
  </si>
  <si>
    <t>Nathan</t>
  </si>
  <si>
    <t>Matthew</t>
  </si>
  <si>
    <t>Ashley</t>
  </si>
  <si>
    <t>Kerri</t>
  </si>
  <si>
    <t>Jessica</t>
  </si>
  <si>
    <t>Phillip</t>
  </si>
  <si>
    <t>Elizabeth</t>
  </si>
  <si>
    <t>Lisa</t>
  </si>
  <si>
    <t>Natalie</t>
  </si>
  <si>
    <t>Autumn</t>
  </si>
  <si>
    <t>James</t>
  </si>
  <si>
    <t>Michael</t>
  </si>
  <si>
    <t>Molly</t>
  </si>
  <si>
    <t>Lance</t>
  </si>
  <si>
    <t>Lori</t>
  </si>
  <si>
    <t>Jeremy</t>
  </si>
  <si>
    <t>Scott</t>
  </si>
  <si>
    <t>Sabrina</t>
  </si>
  <si>
    <t>Zachary</t>
  </si>
  <si>
    <t>Levi</t>
  </si>
  <si>
    <t>Christine</t>
  </si>
  <si>
    <t>Emily</t>
  </si>
  <si>
    <t>Jonathan</t>
  </si>
  <si>
    <t>David</t>
  </si>
  <si>
    <t>Gina</t>
  </si>
  <si>
    <t>Kristin</t>
  </si>
  <si>
    <t>Douglas</t>
  </si>
  <si>
    <t>Nicole</t>
  </si>
  <si>
    <t>Chloe</t>
  </si>
  <si>
    <t>Kevin</t>
  </si>
  <si>
    <t>Nicholas</t>
  </si>
  <si>
    <t>Terry</t>
  </si>
  <si>
    <t>Garrett</t>
  </si>
  <si>
    <t>Jose</t>
  </si>
  <si>
    <t>Courtney</t>
  </si>
  <si>
    <t>Kim</t>
  </si>
  <si>
    <t>Katherine</t>
  </si>
  <si>
    <t>Lynn</t>
  </si>
  <si>
    <t>Leah</t>
  </si>
  <si>
    <t>Kayla</t>
  </si>
  <si>
    <t>Katelyn</t>
  </si>
  <si>
    <t>Maria</t>
  </si>
  <si>
    <t>Justin</t>
  </si>
  <si>
    <t>Susan</t>
  </si>
  <si>
    <t>Sue</t>
  </si>
  <si>
    <t>Jean</t>
  </si>
  <si>
    <t>Ebony</t>
  </si>
  <si>
    <t>Derek</t>
  </si>
  <si>
    <t>John</t>
  </si>
  <si>
    <t>Rebecca</t>
  </si>
  <si>
    <t>Juan</t>
  </si>
  <si>
    <t>Gabrielle</t>
  </si>
  <si>
    <t>Samantha</t>
  </si>
  <si>
    <t>Jesse</t>
  </si>
  <si>
    <t>Aaron</t>
  </si>
  <si>
    <t>Melissa</t>
  </si>
  <si>
    <t>Erin</t>
  </si>
  <si>
    <t>Dale</t>
  </si>
  <si>
    <t>Gregory</t>
  </si>
  <si>
    <t>Sarah</t>
  </si>
  <si>
    <t>Carmen</t>
  </si>
  <si>
    <t>April</t>
  </si>
  <si>
    <t>Anthony</t>
  </si>
  <si>
    <t>Brett</t>
  </si>
  <si>
    <t>Carly</t>
  </si>
  <si>
    <t>Dennis</t>
  </si>
  <si>
    <t>Alexandra</t>
  </si>
  <si>
    <t>Ryan</t>
  </si>
  <si>
    <t>Tony</t>
  </si>
  <si>
    <t>Daniel</t>
  </si>
  <si>
    <t>Jacob</t>
  </si>
  <si>
    <t>Carolyn</t>
  </si>
  <si>
    <t>Denise</t>
  </si>
  <si>
    <t>Cassandra</t>
  </si>
  <si>
    <t>Dustin</t>
  </si>
  <si>
    <t>Crystal</t>
  </si>
  <si>
    <t>Barbara</t>
  </si>
  <si>
    <t>Kathryn</t>
  </si>
  <si>
    <t>Christopher</t>
  </si>
  <si>
    <t>Martin</t>
  </si>
  <si>
    <t>Taylor</t>
  </si>
  <si>
    <t>Vickie</t>
  </si>
  <si>
    <t>Betty</t>
  </si>
  <si>
    <t>Amanda</t>
  </si>
  <si>
    <t>Stephen</t>
  </si>
  <si>
    <t>Dawn</t>
  </si>
  <si>
    <t>Paul</t>
  </si>
  <si>
    <t>Kenneth</t>
  </si>
  <si>
    <t>Bruce</t>
  </si>
  <si>
    <t>Andrew</t>
  </si>
  <si>
    <t>Brandon</t>
  </si>
  <si>
    <t>Steven</t>
  </si>
  <si>
    <t>Hunter</t>
  </si>
  <si>
    <t>Catherine</t>
  </si>
  <si>
    <t>Jeff</t>
  </si>
  <si>
    <t>Cathy</t>
  </si>
  <si>
    <t>Sylvia</t>
  </si>
  <si>
    <t>Joseph</t>
  </si>
  <si>
    <t>Laurie</t>
  </si>
  <si>
    <t>Danielle</t>
  </si>
  <si>
    <t>Alexander</t>
  </si>
  <si>
    <t>Randy</t>
  </si>
  <si>
    <t>Michelle</t>
  </si>
  <si>
    <t>Chris</t>
  </si>
  <si>
    <t>Sherri</t>
  </si>
  <si>
    <t>Angela</t>
  </si>
  <si>
    <t>Francis</t>
  </si>
  <si>
    <t>Katie</t>
  </si>
  <si>
    <t>Natasha</t>
  </si>
  <si>
    <t>Julie</t>
  </si>
  <si>
    <t>Jaime</t>
  </si>
  <si>
    <t>Emma</t>
  </si>
  <si>
    <t>Briana</t>
  </si>
  <si>
    <t>Bradley</t>
  </si>
  <si>
    <t>Devin</t>
  </si>
  <si>
    <t>Eric</t>
  </si>
  <si>
    <t>Brian</t>
  </si>
  <si>
    <t>Ann</t>
  </si>
  <si>
    <t>Valerie</t>
  </si>
  <si>
    <t>Carrie</t>
  </si>
  <si>
    <t>Randall</t>
  </si>
  <si>
    <t>Victor</t>
  </si>
  <si>
    <t>Richard</t>
  </si>
  <si>
    <t>Tyler</t>
  </si>
  <si>
    <t>Johnny</t>
  </si>
  <si>
    <t>Jesus</t>
  </si>
  <si>
    <t>Jill</t>
  </si>
  <si>
    <t>Andrea</t>
  </si>
  <si>
    <t>Sara</t>
  </si>
  <si>
    <t>Tammy</t>
  </si>
  <si>
    <t>Sandra</t>
  </si>
  <si>
    <t>Alicia</t>
  </si>
  <si>
    <t>Margaret</t>
  </si>
  <si>
    <t>Renee</t>
  </si>
  <si>
    <t>Wayne</t>
  </si>
  <si>
    <t>Rhonda</t>
  </si>
  <si>
    <t>Darrell</t>
  </si>
  <si>
    <t>Diana</t>
  </si>
  <si>
    <t>Christina</t>
  </si>
  <si>
    <t>Darlene</t>
  </si>
  <si>
    <t>Janet</t>
  </si>
  <si>
    <t>Ethan</t>
  </si>
  <si>
    <t>Phyllis</t>
  </si>
  <si>
    <t>Joel</t>
  </si>
  <si>
    <t>Craig</t>
  </si>
  <si>
    <t>Jordan</t>
  </si>
  <si>
    <t>Victoria</t>
  </si>
  <si>
    <t>Rachel</t>
  </si>
  <si>
    <t>Tina</t>
  </si>
  <si>
    <t>Vincent</t>
  </si>
  <si>
    <t>Cindy</t>
  </si>
  <si>
    <t>Gary</t>
  </si>
  <si>
    <t>Lindsey</t>
  </si>
  <si>
    <t>Gabriel</t>
  </si>
  <si>
    <t>Heidi</t>
  </si>
  <si>
    <t>Darren</t>
  </si>
  <si>
    <t>Bethany</t>
  </si>
  <si>
    <t>Beth</t>
  </si>
  <si>
    <t>Allen</t>
  </si>
  <si>
    <t>Veronica</t>
  </si>
  <si>
    <t>Larry</t>
  </si>
  <si>
    <t>Makayla</t>
  </si>
  <si>
    <t>Angelica</t>
  </si>
  <si>
    <t>Timothy</t>
  </si>
  <si>
    <t>Karen</t>
  </si>
  <si>
    <t>Anna</t>
  </si>
  <si>
    <t>Felicia</t>
  </si>
  <si>
    <t>Stacey</t>
  </si>
  <si>
    <t>Alison</t>
  </si>
  <si>
    <t>Harold</t>
  </si>
  <si>
    <t>Rick</t>
  </si>
  <si>
    <t>Troy</t>
  </si>
  <si>
    <t>Judy</t>
  </si>
  <si>
    <t>Jeffrey</t>
  </si>
  <si>
    <t>Meghan</t>
  </si>
  <si>
    <t>Calvin</t>
  </si>
  <si>
    <t>Sheri</t>
  </si>
  <si>
    <t>Tommy</t>
  </si>
  <si>
    <t>Trevor</t>
  </si>
  <si>
    <t>Dana</t>
  </si>
  <si>
    <t>Jasmine</t>
  </si>
  <si>
    <t>Chelsea</t>
  </si>
  <si>
    <t>Kristy</t>
  </si>
  <si>
    <t>Terri</t>
  </si>
  <si>
    <t>Madison</t>
  </si>
  <si>
    <t>Alyssa</t>
  </si>
  <si>
    <t>Carlos</t>
  </si>
  <si>
    <t>Debra</t>
  </si>
  <si>
    <t>Bianca</t>
  </si>
  <si>
    <t>Joann</t>
  </si>
  <si>
    <t>Gail</t>
  </si>
  <si>
    <t>Travis</t>
  </si>
  <si>
    <t>Reginald</t>
  </si>
  <si>
    <t>Ian</t>
  </si>
  <si>
    <t>Claudia</t>
  </si>
  <si>
    <t>Kristina</t>
  </si>
  <si>
    <t>Desiree</t>
  </si>
  <si>
    <t>Audrey</t>
  </si>
  <si>
    <t>Pamela</t>
  </si>
  <si>
    <t>Jane</t>
  </si>
  <si>
    <t>Norma</t>
  </si>
  <si>
    <t>Wendy</t>
  </si>
  <si>
    <t>Marie</t>
  </si>
  <si>
    <t>Cory</t>
  </si>
  <si>
    <t>Cameron</t>
  </si>
  <si>
    <t>Jerry</t>
  </si>
  <si>
    <t>Brittney</t>
  </si>
  <si>
    <t>Thomas</t>
  </si>
  <si>
    <t>Bryan</t>
  </si>
  <si>
    <t>Walter</t>
  </si>
  <si>
    <t>Samuel</t>
  </si>
  <si>
    <t>Dylan</t>
  </si>
  <si>
    <t>Heather</t>
  </si>
  <si>
    <t>Marisa</t>
  </si>
  <si>
    <t>Tracy</t>
  </si>
  <si>
    <t>Angel</t>
  </si>
  <si>
    <t>Caitlin</t>
  </si>
  <si>
    <t>Johnathan</t>
  </si>
  <si>
    <t>Mariah</t>
  </si>
  <si>
    <t>Jerome</t>
  </si>
  <si>
    <t>Devon</t>
  </si>
  <si>
    <t>Antonio</t>
  </si>
  <si>
    <t>Billy</t>
  </si>
  <si>
    <t>Kelsey</t>
  </si>
  <si>
    <t>Erica</t>
  </si>
  <si>
    <t>Donna</t>
  </si>
  <si>
    <t>Paige</t>
  </si>
  <si>
    <t>Todd</t>
  </si>
  <si>
    <t>Sherry</t>
  </si>
  <si>
    <t>Erika</t>
  </si>
  <si>
    <t>Keith</t>
  </si>
  <si>
    <t>Jimmy</t>
  </si>
  <si>
    <t>Adam</t>
  </si>
  <si>
    <t>Miranda</t>
  </si>
  <si>
    <t>Sierra</t>
  </si>
  <si>
    <t>Andre</t>
  </si>
  <si>
    <t>Jocelyn</t>
  </si>
  <si>
    <t>Kara</t>
  </si>
  <si>
    <t>Krista</t>
  </si>
  <si>
    <t>Eugene</t>
  </si>
  <si>
    <t>Abigail</t>
  </si>
  <si>
    <t>Hayden</t>
  </si>
  <si>
    <t>Carla</t>
  </si>
  <si>
    <t>Shane</t>
  </si>
  <si>
    <t>Brooke</t>
  </si>
  <si>
    <t>Stefanie</t>
  </si>
  <si>
    <t>Jeffery</t>
  </si>
  <si>
    <t>Xavier</t>
  </si>
  <si>
    <t>Kelly</t>
  </si>
  <si>
    <t>Anita</t>
  </si>
  <si>
    <t>Nicolas</t>
  </si>
  <si>
    <t>Hector</t>
  </si>
  <si>
    <t>Jack</t>
  </si>
  <si>
    <t>Julian</t>
  </si>
  <si>
    <t>Jason</t>
  </si>
  <si>
    <t>Jonathon</t>
  </si>
  <si>
    <t>Grace</t>
  </si>
  <si>
    <t>Melvin</t>
  </si>
  <si>
    <t>Kurt</t>
  </si>
  <si>
    <t>Glenda</t>
  </si>
  <si>
    <t>Duane</t>
  </si>
  <si>
    <t>Cody</t>
  </si>
  <si>
    <t>Tanya</t>
  </si>
  <si>
    <t>Claire</t>
  </si>
  <si>
    <t>Caroline</t>
  </si>
  <si>
    <t>Benjamin</t>
  </si>
  <si>
    <t>Yolanda</t>
  </si>
  <si>
    <t>Peter</t>
  </si>
  <si>
    <t>Norman</t>
  </si>
  <si>
    <t>Katrina</t>
  </si>
  <si>
    <t>Shannon</t>
  </si>
  <si>
    <t>Suzanne</t>
  </si>
  <si>
    <t>Jaclyn</t>
  </si>
  <si>
    <t>Deborah</t>
  </si>
  <si>
    <t>Allison</t>
  </si>
  <si>
    <t>Christian</t>
  </si>
  <si>
    <t>Lindsay</t>
  </si>
  <si>
    <t>Breanna</t>
  </si>
  <si>
    <t>Marvin</t>
  </si>
  <si>
    <t>Michele</t>
  </si>
  <si>
    <t>Edward</t>
  </si>
  <si>
    <t>Leslie</t>
  </si>
  <si>
    <t>Donald</t>
  </si>
  <si>
    <t>Grant</t>
  </si>
  <si>
    <t>Sydney</t>
  </si>
  <si>
    <t>Shawna</t>
  </si>
  <si>
    <t>Chad</t>
  </si>
  <si>
    <t>Marissa</t>
  </si>
  <si>
    <t>Mason</t>
  </si>
  <si>
    <t>Alvin</t>
  </si>
  <si>
    <t>Yvonne</t>
  </si>
  <si>
    <t>Gene</t>
  </si>
  <si>
    <t>Nina</t>
  </si>
  <si>
    <t>Stacy</t>
  </si>
  <si>
    <t>Kristen</t>
  </si>
  <si>
    <t>Laura</t>
  </si>
  <si>
    <t>Jeremiah</t>
  </si>
  <si>
    <t>Leon</t>
  </si>
  <si>
    <t>Tracey</t>
  </si>
  <si>
    <t>Helen</t>
  </si>
  <si>
    <t>Kyle</t>
  </si>
  <si>
    <t>Alexandria</t>
  </si>
  <si>
    <t>Spencer</t>
  </si>
  <si>
    <t>Gregg</t>
  </si>
  <si>
    <t>Membership_Age</t>
  </si>
  <si>
    <t>Revenue_Category</t>
  </si>
  <si>
    <t>Basic</t>
  </si>
  <si>
    <t>Premium</t>
  </si>
  <si>
    <t>(blank)</t>
  </si>
  <si>
    <t>Grand Total</t>
  </si>
  <si>
    <t>Subscription &amp; Revenue</t>
  </si>
  <si>
    <t>Average Revenue Per User</t>
  </si>
  <si>
    <t>Total Revenue</t>
  </si>
  <si>
    <t>Total Users</t>
  </si>
  <si>
    <t>Engagement Metrics</t>
  </si>
  <si>
    <t>(All)</t>
  </si>
  <si>
    <t>Average of Watch_Hours</t>
  </si>
  <si>
    <t>Favorit_Genre</t>
  </si>
  <si>
    <t>Demographics</t>
  </si>
  <si>
    <t>Row Labels</t>
  </si>
  <si>
    <t>Count of User_ID</t>
  </si>
  <si>
    <t>Retention &amp; Loyalty</t>
  </si>
  <si>
    <t>Average of Loyalty_Points</t>
  </si>
  <si>
    <t>Inactive</t>
  </si>
  <si>
    <t>Regional &amp; Payment</t>
  </si>
  <si>
    <t>Payment Method</t>
  </si>
  <si>
    <t>Total Movies vs. Series Watched per User</t>
  </si>
  <si>
    <t>Sum of Total_Movies_Watched</t>
  </si>
  <si>
    <t>Sum of Total_Series_Watched</t>
  </si>
  <si>
    <t>Age Group</t>
  </si>
  <si>
    <t>Impact of recommended content on engagement</t>
  </si>
  <si>
    <t>Device Usage Trends</t>
  </si>
  <si>
    <t>First Device Used</t>
  </si>
  <si>
    <t>Peak watch time trends (Morning, Evening, Late Night).</t>
  </si>
  <si>
    <t xml:space="preserve">Primary Watch Timecd </t>
  </si>
  <si>
    <t>Loyalty Points Distribution</t>
  </si>
  <si>
    <t>Frequency of Logins and Content Downloads</t>
  </si>
  <si>
    <t>FALSE</t>
  </si>
  <si>
    <t>TRUE</t>
  </si>
  <si>
    <t>Has Download the Content</t>
  </si>
  <si>
    <t>Subscription Trends by Country</t>
  </si>
  <si>
    <t>Sum of Monthly_Price</t>
  </si>
  <si>
    <t>Language Preferences and Engagement Correlation</t>
  </si>
  <si>
    <t>Langiage_Preference</t>
  </si>
  <si>
    <t>Streaming Services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</si>
</sst>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6" x14ac:knownFonts="1">
    <font>
      <sz val="11"/>
      <color theme="1"/>
      <name val="Calibri"/>
      <family val="2"/>
      <scheme val="minor"/>
    </font>
    <font>
      <b/>
      <sz val="11"/>
      <color theme="1"/>
      <name val="Calibri"/>
      <family val="2"/>
      <scheme val="minor"/>
    </font>
    <font>
      <b/>
      <u/>
      <sz val="11"/>
      <color theme="1"/>
      <name val="Calibri"/>
      <family val="2"/>
      <scheme val="minor"/>
    </font>
    <font>
      <b/>
      <u/>
      <sz val="22"/>
      <color theme="1"/>
      <name val="Calibri"/>
      <family val="2"/>
      <scheme val="minor"/>
    </font>
    <font>
      <sz val="16"/>
      <color theme="1"/>
      <name val="Calibri"/>
      <family val="2"/>
      <scheme val="minor"/>
    </font>
    <font>
      <sz val="11"/>
      <color theme="1"/>
      <name val="Calibri"/>
      <family val="2"/>
      <scheme val="minor"/>
    </font>
  </fonts>
  <fills count="10">
    <fill>
      <patternFill patternType="none"/>
    </fill>
    <fill>
      <patternFill patternType="gray125"/>
    </fill>
    <fill>
      <patternFill patternType="solid">
        <fgColor theme="5"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6" tint="-0.249977111117893"/>
        <bgColor indexed="64"/>
      </patternFill>
    </fill>
    <fill>
      <patternFill patternType="solid">
        <fgColor theme="7"/>
        <bgColor indexed="64"/>
      </patternFill>
    </fill>
    <fill>
      <patternFill patternType="solid">
        <fgColor theme="9"/>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9" fontId="5" fillId="0" borderId="0" applyFont="0" applyFill="0" applyBorder="0" applyAlignment="0" applyProtection="0"/>
  </cellStyleXfs>
  <cellXfs count="23">
    <xf numFmtId="0" fontId="0" fillId="0" borderId="0" xfId="0"/>
    <xf numFmtId="1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0" fontId="2" fillId="2" borderId="0" xfId="0" applyFont="1" applyFill="1"/>
    <xf numFmtId="0" fontId="1" fillId="3" borderId="0" xfId="0" applyFont="1" applyFill="1"/>
    <xf numFmtId="44" fontId="0" fillId="0" borderId="0" xfId="0" applyNumberFormat="1"/>
    <xf numFmtId="0" fontId="2" fillId="5" borderId="0" xfId="0" applyFont="1" applyFill="1"/>
    <xf numFmtId="0" fontId="0" fillId="7" borderId="0" xfId="0" applyFill="1"/>
    <xf numFmtId="0" fontId="2" fillId="7" borderId="0" xfId="0" applyFont="1" applyFill="1"/>
    <xf numFmtId="0" fontId="4" fillId="7" borderId="0" xfId="0" applyFont="1" applyFill="1"/>
    <xf numFmtId="0" fontId="1" fillId="7" borderId="0" xfId="0" applyFont="1" applyFill="1" applyAlignment="1">
      <alignment horizontal="center"/>
    </xf>
    <xf numFmtId="0" fontId="2" fillId="8" borderId="0" xfId="0" applyFont="1" applyFill="1" applyAlignment="1">
      <alignment horizontal="center"/>
    </xf>
    <xf numFmtId="0" fontId="2" fillId="9" borderId="0" xfId="0" applyFont="1" applyFill="1" applyAlignment="1">
      <alignment horizontal="center"/>
    </xf>
    <xf numFmtId="0" fontId="2" fillId="7" borderId="0" xfId="0" applyFont="1" applyFill="1" applyAlignment="1">
      <alignment horizontal="center"/>
    </xf>
    <xf numFmtId="0" fontId="1" fillId="4" borderId="0" xfId="0" applyFont="1" applyFill="1" applyAlignment="1">
      <alignment horizontal="center"/>
    </xf>
    <xf numFmtId="0" fontId="2" fillId="6" borderId="0" xfId="0" applyFont="1" applyFill="1" applyAlignment="1">
      <alignment horizontal="center"/>
    </xf>
    <xf numFmtId="0" fontId="3" fillId="8" borderId="0" xfId="0" applyFont="1" applyFill="1" applyAlignment="1">
      <alignment horizontal="center"/>
    </xf>
    <xf numFmtId="0" fontId="4" fillId="7" borderId="0" xfId="0" applyFont="1" applyFill="1" applyAlignment="1">
      <alignment horizontal="center"/>
    </xf>
    <xf numFmtId="0" fontId="4" fillId="7" borderId="0" xfId="0" applyFont="1" applyFill="1" applyAlignment="1">
      <alignment horizontal="left"/>
    </xf>
    <xf numFmtId="0" fontId="0" fillId="0" borderId="0" xfId="0" applyNumberFormat="1"/>
    <xf numFmtId="164" fontId="0" fillId="0" borderId="0" xfId="1" applyNumberFormat="1" applyFont="1"/>
  </cellXfs>
  <cellStyles count="2">
    <cellStyle name="Normal" xfId="0" builtinId="0"/>
    <cellStyle name="Percent" xfId="1" builtinId="5"/>
  </cellStyles>
  <dxfs count="1">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4.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8.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7.xml"/><Relationship Id="rId28"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6.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Subscription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'!$B$1</c:f>
              <c:strCache>
                <c:ptCount val="1"/>
                <c:pt idx="0">
                  <c:v>Total Users</c:v>
                </c:pt>
              </c:strCache>
            </c:strRef>
          </c:tx>
          <c:spPr>
            <a:solidFill>
              <a:schemeClr val="accent1"/>
            </a:solidFill>
            <a:ln>
              <a:noFill/>
            </a:ln>
            <a:effectLst/>
          </c:spPr>
          <c:invertIfNegative val="0"/>
          <c:cat>
            <c:strRef>
              <c:f>'Pivot_Tables '!$A$2:$A$4</c:f>
              <c:strCache>
                <c:ptCount val="2"/>
                <c:pt idx="0">
                  <c:v>Basic</c:v>
                </c:pt>
                <c:pt idx="1">
                  <c:v>Premium</c:v>
                </c:pt>
              </c:strCache>
            </c:strRef>
          </c:cat>
          <c:val>
            <c:numRef>
              <c:f>'Pivot_Tables '!$B$2:$B$4</c:f>
              <c:numCache>
                <c:formatCode>General</c:formatCode>
                <c:ptCount val="2"/>
                <c:pt idx="0">
                  <c:v>323</c:v>
                </c:pt>
                <c:pt idx="1">
                  <c:v>677</c:v>
                </c:pt>
              </c:numCache>
            </c:numRef>
          </c:val>
          <c:extLst>
            <c:ext xmlns:c16="http://schemas.microsoft.com/office/drawing/2014/chart" uri="{C3380CC4-5D6E-409C-BE32-E72D297353CC}">
              <c16:uniqueId val="{00000000-E4E6-4B2E-A4DA-4A64B92CE1A4}"/>
            </c:ext>
          </c:extLst>
        </c:ser>
        <c:ser>
          <c:idx val="1"/>
          <c:order val="1"/>
          <c:tx>
            <c:strRef>
              <c:f>'Pivot_Tables '!$C$1</c:f>
              <c:strCache>
                <c:ptCount val="1"/>
                <c:pt idx="0">
                  <c:v>Total Revenue</c:v>
                </c:pt>
              </c:strCache>
            </c:strRef>
          </c:tx>
          <c:spPr>
            <a:solidFill>
              <a:schemeClr val="accent2"/>
            </a:solidFill>
            <a:ln>
              <a:noFill/>
            </a:ln>
            <a:effectLst/>
          </c:spPr>
          <c:invertIfNegative val="0"/>
          <c:cat>
            <c:strRef>
              <c:f>'Pivot_Tables '!$A$2:$A$4</c:f>
              <c:strCache>
                <c:ptCount val="2"/>
                <c:pt idx="0">
                  <c:v>Basic</c:v>
                </c:pt>
                <c:pt idx="1">
                  <c:v>Premium</c:v>
                </c:pt>
              </c:strCache>
            </c:strRef>
          </c:cat>
          <c:val>
            <c:numRef>
              <c:f>'Pivot_Tables '!$C$2:$C$4</c:f>
              <c:numCache>
                <c:formatCode>_("$"* #,##0.00_);_("$"* \(#,##0.00\);_("$"* "-"??_);_(@_)</c:formatCode>
                <c:ptCount val="2"/>
                <c:pt idx="0">
                  <c:v>2580.7699999999877</c:v>
                </c:pt>
                <c:pt idx="1">
                  <c:v>9445.2299999998868</c:v>
                </c:pt>
              </c:numCache>
            </c:numRef>
          </c:val>
          <c:extLst>
            <c:ext xmlns:c16="http://schemas.microsoft.com/office/drawing/2014/chart" uri="{C3380CC4-5D6E-409C-BE32-E72D297353CC}">
              <c16:uniqueId val="{00000001-E4E6-4B2E-A4DA-4A64B92CE1A4}"/>
            </c:ext>
          </c:extLst>
        </c:ser>
        <c:dLbls>
          <c:showLegendKey val="0"/>
          <c:showVal val="0"/>
          <c:showCatName val="0"/>
          <c:showSerName val="0"/>
          <c:showPercent val="0"/>
          <c:showBubbleSize val="0"/>
        </c:dLbls>
        <c:gapWidth val="219"/>
        <c:overlap val="-27"/>
        <c:axId val="1204435408"/>
        <c:axId val="1204443088"/>
      </c:barChart>
      <c:catAx>
        <c:axId val="120443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443088"/>
        <c:crosses val="autoZero"/>
        <c:auto val="1"/>
        <c:lblAlgn val="ctr"/>
        <c:lblOffset val="100"/>
        <c:noMultiLvlLbl val="0"/>
      </c:catAx>
      <c:valAx>
        <c:axId val="1204443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435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Watch Hours by Genre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'!$B$8</c:f>
              <c:strCache>
                <c:ptCount val="1"/>
                <c:pt idx="0">
                  <c:v>Total</c:v>
                </c:pt>
              </c:strCache>
            </c:strRef>
          </c:tx>
          <c:spPr>
            <a:solidFill>
              <a:schemeClr val="accent1"/>
            </a:solidFill>
            <a:ln>
              <a:noFill/>
            </a:ln>
            <a:effectLst/>
          </c:spPr>
          <c:invertIfNegative val="0"/>
          <c:cat>
            <c:strRef>
              <c:f>'Pivot_Tables '!$A$9:$A$17</c:f>
              <c:strCache>
                <c:ptCount val="8"/>
                <c:pt idx="0">
                  <c:v>Action</c:v>
                </c:pt>
                <c:pt idx="1">
                  <c:v>Comedy</c:v>
                </c:pt>
                <c:pt idx="2">
                  <c:v>Documentary</c:v>
                </c:pt>
                <c:pt idx="3">
                  <c:v>Drama</c:v>
                </c:pt>
                <c:pt idx="4">
                  <c:v>Horror</c:v>
                </c:pt>
                <c:pt idx="5">
                  <c:v>Romance</c:v>
                </c:pt>
                <c:pt idx="6">
                  <c:v>Sci-Fi</c:v>
                </c:pt>
                <c:pt idx="7">
                  <c:v>(blank)</c:v>
                </c:pt>
              </c:strCache>
            </c:strRef>
          </c:cat>
          <c:val>
            <c:numRef>
              <c:f>'Pivot_Tables '!$B$9:$B$17</c:f>
              <c:numCache>
                <c:formatCode>General</c:formatCode>
                <c:ptCount val="8"/>
                <c:pt idx="0">
                  <c:v>242.91333333333333</c:v>
                </c:pt>
                <c:pt idx="1">
                  <c:v>263.43835616438355</c:v>
                </c:pt>
                <c:pt idx="2">
                  <c:v>260.09230769230771</c:v>
                </c:pt>
                <c:pt idx="3">
                  <c:v>249.56338028169014</c:v>
                </c:pt>
                <c:pt idx="4">
                  <c:v>256.32484076433121</c:v>
                </c:pt>
                <c:pt idx="5">
                  <c:v>258.15068493150687</c:v>
                </c:pt>
                <c:pt idx="6">
                  <c:v>251.42635658914728</c:v>
                </c:pt>
              </c:numCache>
            </c:numRef>
          </c:val>
          <c:extLst>
            <c:ext xmlns:c16="http://schemas.microsoft.com/office/drawing/2014/chart" uri="{C3380CC4-5D6E-409C-BE32-E72D297353CC}">
              <c16:uniqueId val="{00000000-01CB-49EE-86D4-CC09DDDCC647}"/>
            </c:ext>
          </c:extLst>
        </c:ser>
        <c:dLbls>
          <c:showLegendKey val="0"/>
          <c:showVal val="0"/>
          <c:showCatName val="0"/>
          <c:showSerName val="0"/>
          <c:showPercent val="0"/>
          <c:showBubbleSize val="0"/>
        </c:dLbls>
        <c:gapWidth val="219"/>
        <c:overlap val="-27"/>
        <c:axId val="478250800"/>
        <c:axId val="478251280"/>
      </c:barChart>
      <c:catAx>
        <c:axId val="47825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251280"/>
        <c:crosses val="autoZero"/>
        <c:auto val="1"/>
        <c:lblAlgn val="ctr"/>
        <c:lblOffset val="100"/>
        <c:noMultiLvlLbl val="0"/>
      </c:catAx>
      <c:valAx>
        <c:axId val="478251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250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Genre Popularity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 '!$B$21:$B$22</c:f>
              <c:strCache>
                <c:ptCount val="1"/>
                <c:pt idx="0">
                  <c:v>Action</c:v>
                </c:pt>
              </c:strCache>
            </c:strRef>
          </c:tx>
          <c:spPr>
            <a:solidFill>
              <a:schemeClr val="accent1"/>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'!$B$23:$B$28</c:f>
              <c:numCache>
                <c:formatCode>General</c:formatCode>
                <c:ptCount val="5"/>
                <c:pt idx="0">
                  <c:v>26</c:v>
                </c:pt>
                <c:pt idx="1">
                  <c:v>33</c:v>
                </c:pt>
                <c:pt idx="2">
                  <c:v>32</c:v>
                </c:pt>
                <c:pt idx="3">
                  <c:v>34</c:v>
                </c:pt>
                <c:pt idx="4">
                  <c:v>25</c:v>
                </c:pt>
              </c:numCache>
            </c:numRef>
          </c:val>
          <c:extLst>
            <c:ext xmlns:c16="http://schemas.microsoft.com/office/drawing/2014/chart" uri="{C3380CC4-5D6E-409C-BE32-E72D297353CC}">
              <c16:uniqueId val="{00000000-7D99-4A50-994C-B87785895E00}"/>
            </c:ext>
          </c:extLst>
        </c:ser>
        <c:ser>
          <c:idx val="1"/>
          <c:order val="1"/>
          <c:tx>
            <c:strRef>
              <c:f>'Pivot_Tables '!$C$21:$C$22</c:f>
              <c:strCache>
                <c:ptCount val="1"/>
                <c:pt idx="0">
                  <c:v>Comedy</c:v>
                </c:pt>
              </c:strCache>
            </c:strRef>
          </c:tx>
          <c:spPr>
            <a:solidFill>
              <a:schemeClr val="accent2"/>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'!$C$23:$C$28</c:f>
              <c:numCache>
                <c:formatCode>General</c:formatCode>
                <c:ptCount val="5"/>
                <c:pt idx="0">
                  <c:v>23</c:v>
                </c:pt>
                <c:pt idx="1">
                  <c:v>29</c:v>
                </c:pt>
                <c:pt idx="2">
                  <c:v>29</c:v>
                </c:pt>
                <c:pt idx="3">
                  <c:v>26</c:v>
                </c:pt>
                <c:pt idx="4">
                  <c:v>39</c:v>
                </c:pt>
              </c:numCache>
            </c:numRef>
          </c:val>
          <c:extLst>
            <c:ext xmlns:c16="http://schemas.microsoft.com/office/drawing/2014/chart" uri="{C3380CC4-5D6E-409C-BE32-E72D297353CC}">
              <c16:uniqueId val="{00000001-7D99-4A50-994C-B87785895E00}"/>
            </c:ext>
          </c:extLst>
        </c:ser>
        <c:ser>
          <c:idx val="2"/>
          <c:order val="2"/>
          <c:tx>
            <c:strRef>
              <c:f>'Pivot_Tables '!$D$21:$D$22</c:f>
              <c:strCache>
                <c:ptCount val="1"/>
                <c:pt idx="0">
                  <c:v>Documentary</c:v>
                </c:pt>
              </c:strCache>
            </c:strRef>
          </c:tx>
          <c:spPr>
            <a:solidFill>
              <a:schemeClr val="accent3"/>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'!$D$23:$D$28</c:f>
              <c:numCache>
                <c:formatCode>General</c:formatCode>
                <c:ptCount val="5"/>
                <c:pt idx="0">
                  <c:v>36</c:v>
                </c:pt>
                <c:pt idx="1">
                  <c:v>21</c:v>
                </c:pt>
                <c:pt idx="2">
                  <c:v>22</c:v>
                </c:pt>
                <c:pt idx="3">
                  <c:v>22</c:v>
                </c:pt>
                <c:pt idx="4">
                  <c:v>29</c:v>
                </c:pt>
              </c:numCache>
            </c:numRef>
          </c:val>
          <c:extLst>
            <c:ext xmlns:c16="http://schemas.microsoft.com/office/drawing/2014/chart" uri="{C3380CC4-5D6E-409C-BE32-E72D297353CC}">
              <c16:uniqueId val="{00000002-7D99-4A50-994C-B87785895E00}"/>
            </c:ext>
          </c:extLst>
        </c:ser>
        <c:ser>
          <c:idx val="3"/>
          <c:order val="3"/>
          <c:tx>
            <c:strRef>
              <c:f>'Pivot_Tables '!$E$21:$E$22</c:f>
              <c:strCache>
                <c:ptCount val="1"/>
                <c:pt idx="0">
                  <c:v>Drama</c:v>
                </c:pt>
              </c:strCache>
            </c:strRef>
          </c:tx>
          <c:spPr>
            <a:solidFill>
              <a:schemeClr val="accent4"/>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'!$E$23:$E$28</c:f>
              <c:numCache>
                <c:formatCode>General</c:formatCode>
                <c:ptCount val="5"/>
                <c:pt idx="0">
                  <c:v>25</c:v>
                </c:pt>
                <c:pt idx="1">
                  <c:v>31</c:v>
                </c:pt>
                <c:pt idx="2">
                  <c:v>27</c:v>
                </c:pt>
                <c:pt idx="3">
                  <c:v>31</c:v>
                </c:pt>
                <c:pt idx="4">
                  <c:v>28</c:v>
                </c:pt>
              </c:numCache>
            </c:numRef>
          </c:val>
          <c:extLst>
            <c:ext xmlns:c16="http://schemas.microsoft.com/office/drawing/2014/chart" uri="{C3380CC4-5D6E-409C-BE32-E72D297353CC}">
              <c16:uniqueId val="{00000003-7D99-4A50-994C-B87785895E00}"/>
            </c:ext>
          </c:extLst>
        </c:ser>
        <c:ser>
          <c:idx val="4"/>
          <c:order val="4"/>
          <c:tx>
            <c:strRef>
              <c:f>'Pivot_Tables '!$F$21:$F$22</c:f>
              <c:strCache>
                <c:ptCount val="1"/>
                <c:pt idx="0">
                  <c:v>Horror</c:v>
                </c:pt>
              </c:strCache>
            </c:strRef>
          </c:tx>
          <c:spPr>
            <a:solidFill>
              <a:schemeClr val="accent5"/>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'!$F$23:$F$28</c:f>
              <c:numCache>
                <c:formatCode>General</c:formatCode>
                <c:ptCount val="5"/>
                <c:pt idx="0">
                  <c:v>23</c:v>
                </c:pt>
                <c:pt idx="1">
                  <c:v>36</c:v>
                </c:pt>
                <c:pt idx="2">
                  <c:v>34</c:v>
                </c:pt>
                <c:pt idx="3">
                  <c:v>32</c:v>
                </c:pt>
                <c:pt idx="4">
                  <c:v>32</c:v>
                </c:pt>
              </c:numCache>
            </c:numRef>
          </c:val>
          <c:extLst>
            <c:ext xmlns:c16="http://schemas.microsoft.com/office/drawing/2014/chart" uri="{C3380CC4-5D6E-409C-BE32-E72D297353CC}">
              <c16:uniqueId val="{00000004-7D99-4A50-994C-B87785895E00}"/>
            </c:ext>
          </c:extLst>
        </c:ser>
        <c:ser>
          <c:idx val="5"/>
          <c:order val="5"/>
          <c:tx>
            <c:strRef>
              <c:f>'Pivot_Tables '!$G$21:$G$22</c:f>
              <c:strCache>
                <c:ptCount val="1"/>
                <c:pt idx="0">
                  <c:v>Romance</c:v>
                </c:pt>
              </c:strCache>
            </c:strRef>
          </c:tx>
          <c:spPr>
            <a:solidFill>
              <a:schemeClr val="accent6"/>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'!$G$23:$G$28</c:f>
              <c:numCache>
                <c:formatCode>General</c:formatCode>
                <c:ptCount val="5"/>
                <c:pt idx="0">
                  <c:v>24</c:v>
                </c:pt>
                <c:pt idx="1">
                  <c:v>27</c:v>
                </c:pt>
                <c:pt idx="2">
                  <c:v>32</c:v>
                </c:pt>
                <c:pt idx="3">
                  <c:v>36</c:v>
                </c:pt>
                <c:pt idx="4">
                  <c:v>27</c:v>
                </c:pt>
              </c:numCache>
            </c:numRef>
          </c:val>
          <c:extLst>
            <c:ext xmlns:c16="http://schemas.microsoft.com/office/drawing/2014/chart" uri="{C3380CC4-5D6E-409C-BE32-E72D297353CC}">
              <c16:uniqueId val="{00000005-7D99-4A50-994C-B87785895E00}"/>
            </c:ext>
          </c:extLst>
        </c:ser>
        <c:ser>
          <c:idx val="6"/>
          <c:order val="6"/>
          <c:tx>
            <c:strRef>
              <c:f>'Pivot_Tables '!$H$21:$H$22</c:f>
              <c:strCache>
                <c:ptCount val="1"/>
                <c:pt idx="0">
                  <c:v>Sci-Fi</c:v>
                </c:pt>
              </c:strCache>
            </c:strRef>
          </c:tx>
          <c:spPr>
            <a:solidFill>
              <a:schemeClr val="accent1">
                <a:lumMod val="60000"/>
              </a:schemeClr>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'!$H$23:$H$28</c:f>
              <c:numCache>
                <c:formatCode>General</c:formatCode>
                <c:ptCount val="5"/>
                <c:pt idx="0">
                  <c:v>23</c:v>
                </c:pt>
                <c:pt idx="1">
                  <c:v>23</c:v>
                </c:pt>
                <c:pt idx="2">
                  <c:v>31</c:v>
                </c:pt>
                <c:pt idx="3">
                  <c:v>27</c:v>
                </c:pt>
                <c:pt idx="4">
                  <c:v>25</c:v>
                </c:pt>
              </c:numCache>
            </c:numRef>
          </c:val>
          <c:extLst>
            <c:ext xmlns:c16="http://schemas.microsoft.com/office/drawing/2014/chart" uri="{C3380CC4-5D6E-409C-BE32-E72D297353CC}">
              <c16:uniqueId val="{00000006-7D99-4A50-994C-B87785895E00}"/>
            </c:ext>
          </c:extLst>
        </c:ser>
        <c:dLbls>
          <c:showLegendKey val="0"/>
          <c:showVal val="0"/>
          <c:showCatName val="0"/>
          <c:showSerName val="0"/>
          <c:showPercent val="0"/>
          <c:showBubbleSize val="0"/>
        </c:dLbls>
        <c:gapWidth val="150"/>
        <c:overlap val="100"/>
        <c:axId val="150566496"/>
        <c:axId val="150569856"/>
      </c:barChart>
      <c:catAx>
        <c:axId val="15056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9856"/>
        <c:crosses val="autoZero"/>
        <c:auto val="1"/>
        <c:lblAlgn val="ctr"/>
        <c:lblOffset val="100"/>
        <c:noMultiLvlLbl val="0"/>
      </c:catAx>
      <c:valAx>
        <c:axId val="150569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Active vs Inactive Users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'Pivot_Tables '!$B$31</c:f>
              <c:strCache>
                <c:ptCount val="1"/>
                <c:pt idx="0">
                  <c:v>Count of User_ID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16-4B7D-B0BC-741D08B59E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16-4B7D-B0BC-741D08B59E9D}"/>
              </c:ext>
            </c:extLst>
          </c:dPt>
          <c:cat>
            <c:strRef>
              <c:f>'Pivot_Tables '!$A$32:$A$34</c:f>
              <c:strCache>
                <c:ptCount val="2"/>
                <c:pt idx="0">
                  <c:v>Active</c:v>
                </c:pt>
                <c:pt idx="1">
                  <c:v>Inactive</c:v>
                </c:pt>
              </c:strCache>
            </c:strRef>
          </c:cat>
          <c:val>
            <c:numRef>
              <c:f>'Pivot_Tables '!$B$32:$B$34</c:f>
              <c:numCache>
                <c:formatCode>General</c:formatCode>
                <c:ptCount val="2"/>
                <c:pt idx="0">
                  <c:v>1000</c:v>
                </c:pt>
              </c:numCache>
            </c:numRef>
          </c:val>
          <c:extLst>
            <c:ext xmlns:c16="http://schemas.microsoft.com/office/drawing/2014/chart" uri="{C3380CC4-5D6E-409C-BE32-E72D297353CC}">
              <c16:uniqueId val="{00000000-BC25-4341-8226-7EEF42B78858}"/>
            </c:ext>
          </c:extLst>
        </c:ser>
        <c:ser>
          <c:idx val="1"/>
          <c:order val="1"/>
          <c:tx>
            <c:strRef>
              <c:f>'Pivot_Tables '!$C$31</c:f>
              <c:strCache>
                <c:ptCount val="1"/>
                <c:pt idx="0">
                  <c:v>Average of Loyalty_Points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FC16-4B7D-B0BC-741D08B59E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FC16-4B7D-B0BC-741D08B59E9D}"/>
              </c:ext>
            </c:extLst>
          </c:dPt>
          <c:cat>
            <c:strRef>
              <c:f>'Pivot_Tables '!$A$32:$A$34</c:f>
              <c:strCache>
                <c:ptCount val="2"/>
                <c:pt idx="0">
                  <c:v>Active</c:v>
                </c:pt>
                <c:pt idx="1">
                  <c:v>Inactive</c:v>
                </c:pt>
              </c:strCache>
            </c:strRef>
          </c:cat>
          <c:val>
            <c:numRef>
              <c:f>'Pivot_Tables '!$C$32:$C$34</c:f>
              <c:numCache>
                <c:formatCode>General</c:formatCode>
                <c:ptCount val="2"/>
                <c:pt idx="0">
                  <c:v>2444.2170000000001</c:v>
                </c:pt>
              </c:numCache>
            </c:numRef>
          </c:val>
          <c:extLst>
            <c:ext xmlns:c16="http://schemas.microsoft.com/office/drawing/2014/chart" uri="{C3380CC4-5D6E-409C-BE32-E72D297353CC}">
              <c16:uniqueId val="{00000001-BC25-4341-8226-7EEF42B7885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Method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'!$B$44:$B$45</c:f>
              <c:strCache>
                <c:ptCount val="1"/>
                <c:pt idx="0">
                  <c:v>Credit Card</c:v>
                </c:pt>
              </c:strCache>
            </c:strRef>
          </c:tx>
          <c:spPr>
            <a:solidFill>
              <a:schemeClr val="accent1"/>
            </a:solidFill>
            <a:ln>
              <a:noFill/>
            </a:ln>
            <a:effectLst/>
          </c:spPr>
          <c:invertIfNegative val="0"/>
          <c:cat>
            <c:strRef>
              <c:f>'Pivot_Tables '!$A$46:$A$54</c:f>
              <c:strCache>
                <c:ptCount val="8"/>
                <c:pt idx="0">
                  <c:v>Australia</c:v>
                </c:pt>
                <c:pt idx="1">
                  <c:v>Canada</c:v>
                </c:pt>
                <c:pt idx="2">
                  <c:v>France</c:v>
                </c:pt>
                <c:pt idx="3">
                  <c:v>Germany</c:v>
                </c:pt>
                <c:pt idx="4">
                  <c:v>India</c:v>
                </c:pt>
                <c:pt idx="5">
                  <c:v>UK</c:v>
                </c:pt>
                <c:pt idx="6">
                  <c:v>USA</c:v>
                </c:pt>
                <c:pt idx="7">
                  <c:v>(blank)</c:v>
                </c:pt>
              </c:strCache>
            </c:strRef>
          </c:cat>
          <c:val>
            <c:numRef>
              <c:f>'Pivot_Tables '!$B$46:$B$54</c:f>
              <c:numCache>
                <c:formatCode>General</c:formatCode>
                <c:ptCount val="8"/>
                <c:pt idx="0">
                  <c:v>22</c:v>
                </c:pt>
                <c:pt idx="1">
                  <c:v>34</c:v>
                </c:pt>
                <c:pt idx="2">
                  <c:v>39</c:v>
                </c:pt>
                <c:pt idx="3">
                  <c:v>31</c:v>
                </c:pt>
                <c:pt idx="4">
                  <c:v>25</c:v>
                </c:pt>
                <c:pt idx="5">
                  <c:v>33</c:v>
                </c:pt>
                <c:pt idx="6">
                  <c:v>44</c:v>
                </c:pt>
              </c:numCache>
            </c:numRef>
          </c:val>
          <c:extLst>
            <c:ext xmlns:c16="http://schemas.microsoft.com/office/drawing/2014/chart" uri="{C3380CC4-5D6E-409C-BE32-E72D297353CC}">
              <c16:uniqueId val="{00000000-2996-4232-8BB3-502849902C92}"/>
            </c:ext>
          </c:extLst>
        </c:ser>
        <c:ser>
          <c:idx val="1"/>
          <c:order val="1"/>
          <c:tx>
            <c:strRef>
              <c:f>'Pivot_Tables '!$C$44:$C$45</c:f>
              <c:strCache>
                <c:ptCount val="1"/>
                <c:pt idx="0">
                  <c:v>Cryptocurrency</c:v>
                </c:pt>
              </c:strCache>
            </c:strRef>
          </c:tx>
          <c:spPr>
            <a:solidFill>
              <a:schemeClr val="accent2"/>
            </a:solidFill>
            <a:ln>
              <a:noFill/>
            </a:ln>
            <a:effectLst/>
          </c:spPr>
          <c:invertIfNegative val="0"/>
          <c:cat>
            <c:strRef>
              <c:f>'Pivot_Tables '!$A$46:$A$54</c:f>
              <c:strCache>
                <c:ptCount val="8"/>
                <c:pt idx="0">
                  <c:v>Australia</c:v>
                </c:pt>
                <c:pt idx="1">
                  <c:v>Canada</c:v>
                </c:pt>
                <c:pt idx="2">
                  <c:v>France</c:v>
                </c:pt>
                <c:pt idx="3">
                  <c:v>Germany</c:v>
                </c:pt>
                <c:pt idx="4">
                  <c:v>India</c:v>
                </c:pt>
                <c:pt idx="5">
                  <c:v>UK</c:v>
                </c:pt>
                <c:pt idx="6">
                  <c:v>USA</c:v>
                </c:pt>
                <c:pt idx="7">
                  <c:v>(blank)</c:v>
                </c:pt>
              </c:strCache>
            </c:strRef>
          </c:cat>
          <c:val>
            <c:numRef>
              <c:f>'Pivot_Tables '!$C$46:$C$54</c:f>
              <c:numCache>
                <c:formatCode>General</c:formatCode>
                <c:ptCount val="8"/>
                <c:pt idx="0">
                  <c:v>44</c:v>
                </c:pt>
                <c:pt idx="1">
                  <c:v>27</c:v>
                </c:pt>
                <c:pt idx="2">
                  <c:v>41</c:v>
                </c:pt>
                <c:pt idx="3">
                  <c:v>35</c:v>
                </c:pt>
                <c:pt idx="4">
                  <c:v>29</c:v>
                </c:pt>
                <c:pt idx="5">
                  <c:v>38</c:v>
                </c:pt>
                <c:pt idx="6">
                  <c:v>40</c:v>
                </c:pt>
              </c:numCache>
            </c:numRef>
          </c:val>
          <c:extLst>
            <c:ext xmlns:c16="http://schemas.microsoft.com/office/drawing/2014/chart" uri="{C3380CC4-5D6E-409C-BE32-E72D297353CC}">
              <c16:uniqueId val="{00000001-2996-4232-8BB3-502849902C92}"/>
            </c:ext>
          </c:extLst>
        </c:ser>
        <c:ser>
          <c:idx val="2"/>
          <c:order val="2"/>
          <c:tx>
            <c:strRef>
              <c:f>'Pivot_Tables '!$D$44:$D$45</c:f>
              <c:strCache>
                <c:ptCount val="1"/>
                <c:pt idx="0">
                  <c:v>Debit Card</c:v>
                </c:pt>
              </c:strCache>
            </c:strRef>
          </c:tx>
          <c:spPr>
            <a:solidFill>
              <a:schemeClr val="accent3"/>
            </a:solidFill>
            <a:ln>
              <a:noFill/>
            </a:ln>
            <a:effectLst/>
          </c:spPr>
          <c:invertIfNegative val="0"/>
          <c:cat>
            <c:strRef>
              <c:f>'Pivot_Tables '!$A$46:$A$54</c:f>
              <c:strCache>
                <c:ptCount val="8"/>
                <c:pt idx="0">
                  <c:v>Australia</c:v>
                </c:pt>
                <c:pt idx="1">
                  <c:v>Canada</c:v>
                </c:pt>
                <c:pt idx="2">
                  <c:v>France</c:v>
                </c:pt>
                <c:pt idx="3">
                  <c:v>Germany</c:v>
                </c:pt>
                <c:pt idx="4">
                  <c:v>India</c:v>
                </c:pt>
                <c:pt idx="5">
                  <c:v>UK</c:v>
                </c:pt>
                <c:pt idx="6">
                  <c:v>USA</c:v>
                </c:pt>
                <c:pt idx="7">
                  <c:v>(blank)</c:v>
                </c:pt>
              </c:strCache>
            </c:strRef>
          </c:cat>
          <c:val>
            <c:numRef>
              <c:f>'Pivot_Tables '!$D$46:$D$54</c:f>
              <c:numCache>
                <c:formatCode>General</c:formatCode>
                <c:ptCount val="8"/>
                <c:pt idx="0">
                  <c:v>38</c:v>
                </c:pt>
                <c:pt idx="1">
                  <c:v>36</c:v>
                </c:pt>
                <c:pt idx="2">
                  <c:v>31</c:v>
                </c:pt>
                <c:pt idx="3">
                  <c:v>43</c:v>
                </c:pt>
                <c:pt idx="4">
                  <c:v>39</c:v>
                </c:pt>
                <c:pt idx="5">
                  <c:v>31</c:v>
                </c:pt>
                <c:pt idx="6">
                  <c:v>31</c:v>
                </c:pt>
              </c:numCache>
            </c:numRef>
          </c:val>
          <c:extLst>
            <c:ext xmlns:c16="http://schemas.microsoft.com/office/drawing/2014/chart" uri="{C3380CC4-5D6E-409C-BE32-E72D297353CC}">
              <c16:uniqueId val="{00000002-2996-4232-8BB3-502849902C92}"/>
            </c:ext>
          </c:extLst>
        </c:ser>
        <c:ser>
          <c:idx val="3"/>
          <c:order val="3"/>
          <c:tx>
            <c:strRef>
              <c:f>'Pivot_Tables '!$E$44:$E$45</c:f>
              <c:strCache>
                <c:ptCount val="1"/>
                <c:pt idx="0">
                  <c:v>PayPal</c:v>
                </c:pt>
              </c:strCache>
            </c:strRef>
          </c:tx>
          <c:spPr>
            <a:solidFill>
              <a:schemeClr val="accent4"/>
            </a:solidFill>
            <a:ln>
              <a:noFill/>
            </a:ln>
            <a:effectLst/>
          </c:spPr>
          <c:invertIfNegative val="0"/>
          <c:cat>
            <c:strRef>
              <c:f>'Pivot_Tables '!$A$46:$A$54</c:f>
              <c:strCache>
                <c:ptCount val="8"/>
                <c:pt idx="0">
                  <c:v>Australia</c:v>
                </c:pt>
                <c:pt idx="1">
                  <c:v>Canada</c:v>
                </c:pt>
                <c:pt idx="2">
                  <c:v>France</c:v>
                </c:pt>
                <c:pt idx="3">
                  <c:v>Germany</c:v>
                </c:pt>
                <c:pt idx="4">
                  <c:v>India</c:v>
                </c:pt>
                <c:pt idx="5">
                  <c:v>UK</c:v>
                </c:pt>
                <c:pt idx="6">
                  <c:v>USA</c:v>
                </c:pt>
                <c:pt idx="7">
                  <c:v>(blank)</c:v>
                </c:pt>
              </c:strCache>
            </c:strRef>
          </c:cat>
          <c:val>
            <c:numRef>
              <c:f>'Pivot_Tables '!$E$46:$E$54</c:f>
              <c:numCache>
                <c:formatCode>General</c:formatCode>
                <c:ptCount val="8"/>
                <c:pt idx="0">
                  <c:v>36</c:v>
                </c:pt>
                <c:pt idx="1">
                  <c:v>42</c:v>
                </c:pt>
                <c:pt idx="2">
                  <c:v>40</c:v>
                </c:pt>
                <c:pt idx="3">
                  <c:v>37</c:v>
                </c:pt>
                <c:pt idx="4">
                  <c:v>23</c:v>
                </c:pt>
                <c:pt idx="5">
                  <c:v>48</c:v>
                </c:pt>
                <c:pt idx="6">
                  <c:v>43</c:v>
                </c:pt>
              </c:numCache>
            </c:numRef>
          </c:val>
          <c:extLst>
            <c:ext xmlns:c16="http://schemas.microsoft.com/office/drawing/2014/chart" uri="{C3380CC4-5D6E-409C-BE32-E72D297353CC}">
              <c16:uniqueId val="{00000003-2996-4232-8BB3-502849902C92}"/>
            </c:ext>
          </c:extLst>
        </c:ser>
        <c:ser>
          <c:idx val="4"/>
          <c:order val="4"/>
          <c:tx>
            <c:strRef>
              <c:f>'Pivot_Tables '!$F$44:$F$45</c:f>
              <c:strCache>
                <c:ptCount val="1"/>
                <c:pt idx="0">
                  <c:v>(blank)</c:v>
                </c:pt>
              </c:strCache>
            </c:strRef>
          </c:tx>
          <c:spPr>
            <a:solidFill>
              <a:schemeClr val="accent5"/>
            </a:solidFill>
            <a:ln>
              <a:noFill/>
            </a:ln>
            <a:effectLst/>
          </c:spPr>
          <c:invertIfNegative val="0"/>
          <c:cat>
            <c:strRef>
              <c:f>'Pivot_Tables '!$A$46:$A$54</c:f>
              <c:strCache>
                <c:ptCount val="8"/>
                <c:pt idx="0">
                  <c:v>Australia</c:v>
                </c:pt>
                <c:pt idx="1">
                  <c:v>Canada</c:v>
                </c:pt>
                <c:pt idx="2">
                  <c:v>France</c:v>
                </c:pt>
                <c:pt idx="3">
                  <c:v>Germany</c:v>
                </c:pt>
                <c:pt idx="4">
                  <c:v>India</c:v>
                </c:pt>
                <c:pt idx="5">
                  <c:v>UK</c:v>
                </c:pt>
                <c:pt idx="6">
                  <c:v>USA</c:v>
                </c:pt>
                <c:pt idx="7">
                  <c:v>(blank)</c:v>
                </c:pt>
              </c:strCache>
            </c:strRef>
          </c:cat>
          <c:val>
            <c:numRef>
              <c:f>'Pivot_Tables '!$F$46:$F$54</c:f>
              <c:numCache>
                <c:formatCode>General</c:formatCode>
                <c:ptCount val="8"/>
              </c:numCache>
            </c:numRef>
          </c:val>
          <c:extLst>
            <c:ext xmlns:c16="http://schemas.microsoft.com/office/drawing/2014/chart" uri="{C3380CC4-5D6E-409C-BE32-E72D297353CC}">
              <c16:uniqueId val="{00000001-5FA6-484B-B94C-46955E272085}"/>
            </c:ext>
          </c:extLst>
        </c:ser>
        <c:dLbls>
          <c:showLegendKey val="0"/>
          <c:showVal val="0"/>
          <c:showCatName val="0"/>
          <c:showSerName val="0"/>
          <c:showPercent val="0"/>
          <c:showBubbleSize val="0"/>
        </c:dLbls>
        <c:gapWidth val="219"/>
        <c:overlap val="-27"/>
        <c:axId val="669069760"/>
        <c:axId val="669071680"/>
      </c:barChart>
      <c:catAx>
        <c:axId val="6690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071680"/>
        <c:crosses val="autoZero"/>
        <c:auto val="1"/>
        <c:lblAlgn val="ctr"/>
        <c:lblOffset val="100"/>
        <c:noMultiLvlLbl val="0"/>
      </c:catAx>
      <c:valAx>
        <c:axId val="66907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06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Movies vs. Series Watched per User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'!$R$7</c:f>
              <c:strCache>
                <c:ptCount val="1"/>
                <c:pt idx="0">
                  <c:v>Sum of Total_Series_Watched</c:v>
                </c:pt>
              </c:strCache>
            </c:strRef>
          </c:tx>
          <c:spPr>
            <a:solidFill>
              <a:schemeClr val="accent1"/>
            </a:solidFill>
            <a:ln>
              <a:noFill/>
            </a:ln>
            <a:effectLst/>
          </c:spPr>
          <c:invertIfNegative val="0"/>
          <c:cat>
            <c:strRef>
              <c:f>'Pivot_Tables '!$Q$8:$Q$14</c:f>
              <c:strCache>
                <c:ptCount val="6"/>
                <c:pt idx="0">
                  <c:v>18-24</c:v>
                </c:pt>
                <c:pt idx="1">
                  <c:v>25-34</c:v>
                </c:pt>
                <c:pt idx="2">
                  <c:v>35-44</c:v>
                </c:pt>
                <c:pt idx="3">
                  <c:v>45-54</c:v>
                </c:pt>
                <c:pt idx="4">
                  <c:v>55+</c:v>
                </c:pt>
                <c:pt idx="5">
                  <c:v>(blank)</c:v>
                </c:pt>
              </c:strCache>
            </c:strRef>
          </c:cat>
          <c:val>
            <c:numRef>
              <c:f>'Pivot_Tables '!$R$8:$R$14</c:f>
              <c:numCache>
                <c:formatCode>General</c:formatCode>
                <c:ptCount val="6"/>
                <c:pt idx="0">
                  <c:v>19790</c:v>
                </c:pt>
                <c:pt idx="1">
                  <c:v>18631</c:v>
                </c:pt>
                <c:pt idx="2">
                  <c:v>20452</c:v>
                </c:pt>
                <c:pt idx="3">
                  <c:v>22023</c:v>
                </c:pt>
                <c:pt idx="4">
                  <c:v>18850</c:v>
                </c:pt>
              </c:numCache>
            </c:numRef>
          </c:val>
          <c:extLst>
            <c:ext xmlns:c16="http://schemas.microsoft.com/office/drawing/2014/chart" uri="{C3380CC4-5D6E-409C-BE32-E72D297353CC}">
              <c16:uniqueId val="{00000000-F93A-4989-BBB8-81113E40D16E}"/>
            </c:ext>
          </c:extLst>
        </c:ser>
        <c:ser>
          <c:idx val="1"/>
          <c:order val="1"/>
          <c:tx>
            <c:strRef>
              <c:f>'Pivot_Tables '!$S$7</c:f>
              <c:strCache>
                <c:ptCount val="1"/>
                <c:pt idx="0">
                  <c:v>Sum of Total_Movies_Watched</c:v>
                </c:pt>
              </c:strCache>
            </c:strRef>
          </c:tx>
          <c:spPr>
            <a:solidFill>
              <a:schemeClr val="accent2"/>
            </a:solidFill>
            <a:ln>
              <a:noFill/>
            </a:ln>
            <a:effectLst/>
          </c:spPr>
          <c:invertIfNegative val="0"/>
          <c:cat>
            <c:strRef>
              <c:f>'Pivot_Tables '!$Q$8:$Q$14</c:f>
              <c:strCache>
                <c:ptCount val="6"/>
                <c:pt idx="0">
                  <c:v>18-24</c:v>
                </c:pt>
                <c:pt idx="1">
                  <c:v>25-34</c:v>
                </c:pt>
                <c:pt idx="2">
                  <c:v>35-44</c:v>
                </c:pt>
                <c:pt idx="3">
                  <c:v>45-54</c:v>
                </c:pt>
                <c:pt idx="4">
                  <c:v>55+</c:v>
                </c:pt>
                <c:pt idx="5">
                  <c:v>(blank)</c:v>
                </c:pt>
              </c:strCache>
            </c:strRef>
          </c:cat>
          <c:val>
            <c:numRef>
              <c:f>'Pivot_Tables '!$S$8:$S$14</c:f>
              <c:numCache>
                <c:formatCode>General</c:formatCode>
                <c:ptCount val="6"/>
                <c:pt idx="0">
                  <c:v>94100</c:v>
                </c:pt>
                <c:pt idx="1">
                  <c:v>100542</c:v>
                </c:pt>
                <c:pt idx="2">
                  <c:v>110132</c:v>
                </c:pt>
                <c:pt idx="3">
                  <c:v>104205</c:v>
                </c:pt>
                <c:pt idx="4">
                  <c:v>106918</c:v>
                </c:pt>
              </c:numCache>
            </c:numRef>
          </c:val>
          <c:extLst>
            <c:ext xmlns:c16="http://schemas.microsoft.com/office/drawing/2014/chart" uri="{C3380CC4-5D6E-409C-BE32-E72D297353CC}">
              <c16:uniqueId val="{00000001-F93A-4989-BBB8-81113E40D16E}"/>
            </c:ext>
          </c:extLst>
        </c:ser>
        <c:dLbls>
          <c:showLegendKey val="0"/>
          <c:showVal val="0"/>
          <c:showCatName val="0"/>
          <c:showSerName val="0"/>
          <c:showPercent val="0"/>
          <c:showBubbleSize val="0"/>
        </c:dLbls>
        <c:gapWidth val="219"/>
        <c:overlap val="-27"/>
        <c:axId val="667599408"/>
        <c:axId val="667594608"/>
      </c:barChart>
      <c:catAx>
        <c:axId val="66759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594608"/>
        <c:crosses val="autoZero"/>
        <c:auto val="1"/>
        <c:lblAlgn val="ctr"/>
        <c:lblOffset val="100"/>
        <c:noMultiLvlLbl val="0"/>
      </c:catAx>
      <c:valAx>
        <c:axId val="66759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59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Impact of recommended content on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 '!$W$7</c:f>
              <c:strCache>
                <c:ptCount val="1"/>
                <c:pt idx="0">
                  <c:v>Total</c:v>
                </c:pt>
              </c:strCache>
            </c:strRef>
          </c:tx>
          <c:spPr>
            <a:ln w="28575" cap="rnd">
              <a:solidFill>
                <a:schemeClr val="accent1"/>
              </a:solidFill>
              <a:round/>
            </a:ln>
            <a:effectLst/>
          </c:spPr>
          <c:marker>
            <c:symbol val="none"/>
          </c:marker>
          <c:cat>
            <c:strRef>
              <c:f>'Pivot_Tables '!$V$8:$V$110</c:f>
              <c:strCache>
                <c:ptCount val="10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(blank)</c:v>
                </c:pt>
              </c:strCache>
            </c:strRef>
          </c:cat>
          <c:val>
            <c:numRef>
              <c:f>'Pivot_Tables '!$W$8:$W$110</c:f>
              <c:numCache>
                <c:formatCode>General</c:formatCode>
                <c:ptCount val="102"/>
                <c:pt idx="0">
                  <c:v>277.81818181818181</c:v>
                </c:pt>
                <c:pt idx="1">
                  <c:v>325.14285714285717</c:v>
                </c:pt>
                <c:pt idx="2">
                  <c:v>371.2</c:v>
                </c:pt>
                <c:pt idx="3">
                  <c:v>233.73333333333332</c:v>
                </c:pt>
                <c:pt idx="4">
                  <c:v>320.22222222222223</c:v>
                </c:pt>
                <c:pt idx="5">
                  <c:v>324</c:v>
                </c:pt>
                <c:pt idx="6">
                  <c:v>272.5</c:v>
                </c:pt>
                <c:pt idx="7">
                  <c:v>276.16666666666669</c:v>
                </c:pt>
                <c:pt idx="8">
                  <c:v>219.85714285714286</c:v>
                </c:pt>
                <c:pt idx="9">
                  <c:v>234.16666666666666</c:v>
                </c:pt>
                <c:pt idx="10">
                  <c:v>259.5</c:v>
                </c:pt>
                <c:pt idx="11">
                  <c:v>229.94117647058823</c:v>
                </c:pt>
                <c:pt idx="12">
                  <c:v>320.5</c:v>
                </c:pt>
                <c:pt idx="13">
                  <c:v>226.54545454545453</c:v>
                </c:pt>
                <c:pt idx="14">
                  <c:v>255.58333333333334</c:v>
                </c:pt>
                <c:pt idx="15">
                  <c:v>335.57142857142856</c:v>
                </c:pt>
                <c:pt idx="16">
                  <c:v>152.33333333333334</c:v>
                </c:pt>
                <c:pt idx="17">
                  <c:v>187.81818181818181</c:v>
                </c:pt>
                <c:pt idx="18">
                  <c:v>240.5</c:v>
                </c:pt>
                <c:pt idx="19">
                  <c:v>299.16666666666669</c:v>
                </c:pt>
                <c:pt idx="20">
                  <c:v>225</c:v>
                </c:pt>
                <c:pt idx="21">
                  <c:v>166.71428571428572</c:v>
                </c:pt>
                <c:pt idx="22">
                  <c:v>335.2</c:v>
                </c:pt>
                <c:pt idx="23">
                  <c:v>188.4</c:v>
                </c:pt>
                <c:pt idx="24">
                  <c:v>268</c:v>
                </c:pt>
                <c:pt idx="25">
                  <c:v>181</c:v>
                </c:pt>
                <c:pt idx="26">
                  <c:v>212.71428571428572</c:v>
                </c:pt>
                <c:pt idx="27">
                  <c:v>246.375</c:v>
                </c:pt>
                <c:pt idx="28">
                  <c:v>302.42857142857144</c:v>
                </c:pt>
                <c:pt idx="29">
                  <c:v>261.71428571428572</c:v>
                </c:pt>
                <c:pt idx="30">
                  <c:v>227.09090909090909</c:v>
                </c:pt>
                <c:pt idx="31">
                  <c:v>259.72727272727275</c:v>
                </c:pt>
                <c:pt idx="32">
                  <c:v>217</c:v>
                </c:pt>
                <c:pt idx="33">
                  <c:v>265.85714285714283</c:v>
                </c:pt>
                <c:pt idx="34">
                  <c:v>204.83333333333334</c:v>
                </c:pt>
                <c:pt idx="35">
                  <c:v>303.39999999999998</c:v>
                </c:pt>
                <c:pt idx="36">
                  <c:v>334.92307692307691</c:v>
                </c:pt>
                <c:pt idx="37">
                  <c:v>264.21428571428572</c:v>
                </c:pt>
                <c:pt idx="38">
                  <c:v>302.125</c:v>
                </c:pt>
                <c:pt idx="39">
                  <c:v>334.88888888888891</c:v>
                </c:pt>
                <c:pt idx="40">
                  <c:v>193.71428571428572</c:v>
                </c:pt>
                <c:pt idx="41">
                  <c:v>265.1764705882353</c:v>
                </c:pt>
                <c:pt idx="42">
                  <c:v>286.77777777777777</c:v>
                </c:pt>
                <c:pt idx="43">
                  <c:v>249.27272727272728</c:v>
                </c:pt>
                <c:pt idx="44">
                  <c:v>303.06666666666666</c:v>
                </c:pt>
                <c:pt idx="45">
                  <c:v>242.75</c:v>
                </c:pt>
                <c:pt idx="46">
                  <c:v>117.5</c:v>
                </c:pt>
                <c:pt idx="47">
                  <c:v>213</c:v>
                </c:pt>
                <c:pt idx="48">
                  <c:v>197.875</c:v>
                </c:pt>
                <c:pt idx="49">
                  <c:v>237.75</c:v>
                </c:pt>
                <c:pt idx="50">
                  <c:v>327.41666666666669</c:v>
                </c:pt>
                <c:pt idx="51">
                  <c:v>256.39999999999998</c:v>
                </c:pt>
                <c:pt idx="52">
                  <c:v>195.07692307692307</c:v>
                </c:pt>
                <c:pt idx="53">
                  <c:v>214.18181818181819</c:v>
                </c:pt>
                <c:pt idx="54">
                  <c:v>302.55555555555554</c:v>
                </c:pt>
                <c:pt idx="55">
                  <c:v>224.57142857142858</c:v>
                </c:pt>
                <c:pt idx="56">
                  <c:v>215.76923076923077</c:v>
                </c:pt>
                <c:pt idx="57">
                  <c:v>223.28571428571428</c:v>
                </c:pt>
                <c:pt idx="58">
                  <c:v>291.125</c:v>
                </c:pt>
                <c:pt idx="59">
                  <c:v>252.4</c:v>
                </c:pt>
                <c:pt idx="60">
                  <c:v>254.46153846153845</c:v>
                </c:pt>
                <c:pt idx="61">
                  <c:v>340.66666666666669</c:v>
                </c:pt>
                <c:pt idx="62">
                  <c:v>336.09090909090907</c:v>
                </c:pt>
                <c:pt idx="63">
                  <c:v>231</c:v>
                </c:pt>
                <c:pt idx="64">
                  <c:v>309.61538461538464</c:v>
                </c:pt>
                <c:pt idx="65">
                  <c:v>295.25</c:v>
                </c:pt>
                <c:pt idx="66">
                  <c:v>262.9375</c:v>
                </c:pt>
                <c:pt idx="67">
                  <c:v>286.2</c:v>
                </c:pt>
                <c:pt idx="68">
                  <c:v>245.25</c:v>
                </c:pt>
                <c:pt idx="69">
                  <c:v>215.85714285714286</c:v>
                </c:pt>
                <c:pt idx="70">
                  <c:v>218.77777777777777</c:v>
                </c:pt>
                <c:pt idx="71">
                  <c:v>267.69230769230768</c:v>
                </c:pt>
                <c:pt idx="72">
                  <c:v>253.5</c:v>
                </c:pt>
                <c:pt idx="73">
                  <c:v>276.54545454545456</c:v>
                </c:pt>
                <c:pt idx="74">
                  <c:v>245</c:v>
                </c:pt>
                <c:pt idx="75">
                  <c:v>247</c:v>
                </c:pt>
                <c:pt idx="76">
                  <c:v>221.66666666666666</c:v>
                </c:pt>
                <c:pt idx="77">
                  <c:v>226</c:v>
                </c:pt>
                <c:pt idx="78">
                  <c:v>266.5625</c:v>
                </c:pt>
                <c:pt idx="79">
                  <c:v>280.81818181818181</c:v>
                </c:pt>
                <c:pt idx="80">
                  <c:v>230.71428571428572</c:v>
                </c:pt>
                <c:pt idx="81">
                  <c:v>230.5</c:v>
                </c:pt>
                <c:pt idx="82">
                  <c:v>228.25</c:v>
                </c:pt>
                <c:pt idx="83">
                  <c:v>297.66666666666669</c:v>
                </c:pt>
                <c:pt idx="84">
                  <c:v>320.60000000000002</c:v>
                </c:pt>
                <c:pt idx="85">
                  <c:v>228.9</c:v>
                </c:pt>
                <c:pt idx="86">
                  <c:v>161.36363636363637</c:v>
                </c:pt>
                <c:pt idx="87">
                  <c:v>223.55555555555554</c:v>
                </c:pt>
                <c:pt idx="88">
                  <c:v>201.4</c:v>
                </c:pt>
                <c:pt idx="89">
                  <c:v>231.90909090909091</c:v>
                </c:pt>
                <c:pt idx="90">
                  <c:v>158.66666666666666</c:v>
                </c:pt>
                <c:pt idx="91">
                  <c:v>335.33333333333331</c:v>
                </c:pt>
                <c:pt idx="92">
                  <c:v>286.92307692307691</c:v>
                </c:pt>
                <c:pt idx="93">
                  <c:v>350</c:v>
                </c:pt>
                <c:pt idx="94">
                  <c:v>302.28571428571428</c:v>
                </c:pt>
                <c:pt idx="95">
                  <c:v>257.64285714285717</c:v>
                </c:pt>
                <c:pt idx="96">
                  <c:v>188.3</c:v>
                </c:pt>
                <c:pt idx="97">
                  <c:v>158.9</c:v>
                </c:pt>
                <c:pt idx="98">
                  <c:v>271.09090909090907</c:v>
                </c:pt>
                <c:pt idx="99">
                  <c:v>201.46153846153845</c:v>
                </c:pt>
                <c:pt idx="100">
                  <c:v>315.2</c:v>
                </c:pt>
              </c:numCache>
            </c:numRef>
          </c:val>
          <c:smooth val="0"/>
          <c:extLst>
            <c:ext xmlns:c16="http://schemas.microsoft.com/office/drawing/2014/chart" uri="{C3380CC4-5D6E-409C-BE32-E72D297353CC}">
              <c16:uniqueId val="{00000000-FA9A-495C-A37C-D27C1AA149C7}"/>
            </c:ext>
          </c:extLst>
        </c:ser>
        <c:dLbls>
          <c:showLegendKey val="0"/>
          <c:showVal val="0"/>
          <c:showCatName val="0"/>
          <c:showSerName val="0"/>
          <c:showPercent val="0"/>
          <c:showBubbleSize val="0"/>
        </c:dLbls>
        <c:smooth val="0"/>
        <c:axId val="667628208"/>
        <c:axId val="667629648"/>
      </c:lineChart>
      <c:catAx>
        <c:axId val="66762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29648"/>
        <c:crosses val="autoZero"/>
        <c:auto val="1"/>
        <c:lblAlgn val="ctr"/>
        <c:lblOffset val="100"/>
        <c:noMultiLvlLbl val="0"/>
      </c:catAx>
      <c:valAx>
        <c:axId val="66762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2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Device Usage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 '!$L$22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36-42F1-AAC8-F3EC737841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36-42F1-AAC8-F3EC737841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36-42F1-AAC8-F3EC737841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36-42F1-AAC8-F3EC737841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36-42F1-AAC8-F3EC737841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 '!$K$23:$K$28</c:f>
              <c:strCache>
                <c:ptCount val="5"/>
                <c:pt idx="0">
                  <c:v>Desktop</c:v>
                </c:pt>
                <c:pt idx="1">
                  <c:v>Laptop</c:v>
                </c:pt>
                <c:pt idx="2">
                  <c:v>Smart TV</c:v>
                </c:pt>
                <c:pt idx="3">
                  <c:v>Smartphone</c:v>
                </c:pt>
                <c:pt idx="4">
                  <c:v>Tablet</c:v>
                </c:pt>
              </c:strCache>
            </c:strRef>
          </c:cat>
          <c:val>
            <c:numRef>
              <c:f>'Pivot_Tables '!$L$23:$L$28</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0-2A47-458E-8BE5-ACC586481F3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Peak Watch Time Trends</a:t>
            </a:r>
            <a:endParaRPr lang="en-IN"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'!$S$23</c:f>
              <c:strCache>
                <c:ptCount val="1"/>
                <c:pt idx="0">
                  <c:v>Total</c:v>
                </c:pt>
              </c:strCache>
            </c:strRef>
          </c:tx>
          <c:spPr>
            <a:solidFill>
              <a:schemeClr val="accent1"/>
            </a:solidFill>
            <a:ln>
              <a:noFill/>
            </a:ln>
            <a:effectLst/>
          </c:spPr>
          <c:invertIfNegative val="0"/>
          <c:cat>
            <c:strRef>
              <c:f>'Pivot_Tables '!$R$24:$R$28</c:f>
              <c:strCache>
                <c:ptCount val="4"/>
                <c:pt idx="0">
                  <c:v>Afternoon</c:v>
                </c:pt>
                <c:pt idx="1">
                  <c:v>Evening</c:v>
                </c:pt>
                <c:pt idx="2">
                  <c:v>Late Night</c:v>
                </c:pt>
                <c:pt idx="3">
                  <c:v>Morning</c:v>
                </c:pt>
              </c:strCache>
            </c:strRef>
          </c:cat>
          <c:val>
            <c:numRef>
              <c:f>'Pivot_Tables '!$S$24:$S$28</c:f>
              <c:numCache>
                <c:formatCode>General</c:formatCode>
                <c:ptCount val="4"/>
                <c:pt idx="0">
                  <c:v>247.07968127490039</c:v>
                </c:pt>
                <c:pt idx="1">
                  <c:v>255.39453125</c:v>
                </c:pt>
                <c:pt idx="2">
                  <c:v>245.98154981549814</c:v>
                </c:pt>
                <c:pt idx="3">
                  <c:v>272.32882882882882</c:v>
                </c:pt>
              </c:numCache>
            </c:numRef>
          </c:val>
          <c:extLst>
            <c:ext xmlns:c16="http://schemas.microsoft.com/office/drawing/2014/chart" uri="{C3380CC4-5D6E-409C-BE32-E72D297353CC}">
              <c16:uniqueId val="{00000000-FA2F-4355-8924-CF33F41ABE92}"/>
            </c:ext>
          </c:extLst>
        </c:ser>
        <c:dLbls>
          <c:showLegendKey val="0"/>
          <c:showVal val="0"/>
          <c:showCatName val="0"/>
          <c:showSerName val="0"/>
          <c:showPercent val="0"/>
          <c:showBubbleSize val="0"/>
        </c:dLbls>
        <c:gapWidth val="219"/>
        <c:overlap val="-27"/>
        <c:axId val="240774240"/>
        <c:axId val="240761760"/>
      </c:barChart>
      <c:catAx>
        <c:axId val="24077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61760"/>
        <c:crosses val="autoZero"/>
        <c:auto val="1"/>
        <c:lblAlgn val="ctr"/>
        <c:lblOffset val="100"/>
        <c:noMultiLvlLbl val="0"/>
      </c:catAx>
      <c:valAx>
        <c:axId val="24076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7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Downloads by Membership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'!$Q$33:$Q$34</c:f>
              <c:strCache>
                <c:ptCount val="1"/>
                <c:pt idx="0">
                  <c:v>Active</c:v>
                </c:pt>
              </c:strCache>
            </c:strRef>
          </c:tx>
          <c:spPr>
            <a:solidFill>
              <a:schemeClr val="accent1"/>
            </a:solidFill>
            <a:ln>
              <a:noFill/>
            </a:ln>
            <a:effectLst/>
          </c:spPr>
          <c:invertIfNegative val="0"/>
          <c:cat>
            <c:strRef>
              <c:f>'Pivot_Tables '!$P$35:$P$37</c:f>
              <c:strCache>
                <c:ptCount val="2"/>
                <c:pt idx="0">
                  <c:v>FALSE</c:v>
                </c:pt>
                <c:pt idx="1">
                  <c:v>TRUE</c:v>
                </c:pt>
              </c:strCache>
            </c:strRef>
          </c:cat>
          <c:val>
            <c:numRef>
              <c:f>'Pivot_Tables '!$Q$35:$Q$37</c:f>
              <c:numCache>
                <c:formatCode>General</c:formatCode>
                <c:ptCount val="2"/>
                <c:pt idx="0">
                  <c:v>501</c:v>
                </c:pt>
                <c:pt idx="1">
                  <c:v>499</c:v>
                </c:pt>
              </c:numCache>
            </c:numRef>
          </c:val>
          <c:extLst>
            <c:ext xmlns:c16="http://schemas.microsoft.com/office/drawing/2014/chart" uri="{C3380CC4-5D6E-409C-BE32-E72D297353CC}">
              <c16:uniqueId val="{00000000-4062-484F-96C9-CF3CA8F9D336}"/>
            </c:ext>
          </c:extLst>
        </c:ser>
        <c:dLbls>
          <c:showLegendKey val="0"/>
          <c:showVal val="0"/>
          <c:showCatName val="0"/>
          <c:showSerName val="0"/>
          <c:showPercent val="0"/>
          <c:showBubbleSize val="0"/>
        </c:dLbls>
        <c:gapWidth val="219"/>
        <c:overlap val="-27"/>
        <c:axId val="1980732208"/>
        <c:axId val="1980731728"/>
      </c:barChart>
      <c:catAx>
        <c:axId val="198073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731728"/>
        <c:crosses val="autoZero"/>
        <c:auto val="1"/>
        <c:lblAlgn val="ctr"/>
        <c:lblOffset val="100"/>
        <c:noMultiLvlLbl val="0"/>
      </c:catAx>
      <c:valAx>
        <c:axId val="198073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732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Subscription Revenue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'!$I$44</c:f>
              <c:strCache>
                <c:ptCount val="1"/>
                <c:pt idx="0">
                  <c:v>Count of User_ID</c:v>
                </c:pt>
              </c:strCache>
            </c:strRef>
          </c:tx>
          <c:spPr>
            <a:solidFill>
              <a:schemeClr val="accent1"/>
            </a:solidFill>
            <a:ln>
              <a:noFill/>
            </a:ln>
            <a:effectLst/>
          </c:spPr>
          <c:invertIfNegative val="0"/>
          <c:cat>
            <c:strRef>
              <c:f>'Pivot_Tables '!$H$45:$H$52</c:f>
              <c:strCache>
                <c:ptCount val="7"/>
                <c:pt idx="0">
                  <c:v>Australia</c:v>
                </c:pt>
                <c:pt idx="1">
                  <c:v>Canada</c:v>
                </c:pt>
                <c:pt idx="2">
                  <c:v>France</c:v>
                </c:pt>
                <c:pt idx="3">
                  <c:v>Germany</c:v>
                </c:pt>
                <c:pt idx="4">
                  <c:v>India</c:v>
                </c:pt>
                <c:pt idx="5">
                  <c:v>UK</c:v>
                </c:pt>
                <c:pt idx="6">
                  <c:v>USA</c:v>
                </c:pt>
              </c:strCache>
            </c:strRef>
          </c:cat>
          <c:val>
            <c:numRef>
              <c:f>'Pivot_Tables '!$I$45:$I$52</c:f>
              <c:numCache>
                <c:formatCode>General</c:formatCode>
                <c:ptCount val="7"/>
                <c:pt idx="0">
                  <c:v>140</c:v>
                </c:pt>
                <c:pt idx="1">
                  <c:v>139</c:v>
                </c:pt>
                <c:pt idx="2">
                  <c:v>151</c:v>
                </c:pt>
                <c:pt idx="3">
                  <c:v>146</c:v>
                </c:pt>
                <c:pt idx="4">
                  <c:v>116</c:v>
                </c:pt>
                <c:pt idx="5">
                  <c:v>150</c:v>
                </c:pt>
                <c:pt idx="6">
                  <c:v>158</c:v>
                </c:pt>
              </c:numCache>
            </c:numRef>
          </c:val>
          <c:extLst>
            <c:ext xmlns:c16="http://schemas.microsoft.com/office/drawing/2014/chart" uri="{C3380CC4-5D6E-409C-BE32-E72D297353CC}">
              <c16:uniqueId val="{00000000-DE0D-481F-8EA9-BEB98CEA6DD5}"/>
            </c:ext>
          </c:extLst>
        </c:ser>
        <c:ser>
          <c:idx val="1"/>
          <c:order val="1"/>
          <c:tx>
            <c:strRef>
              <c:f>'Pivot_Tables '!$J$44</c:f>
              <c:strCache>
                <c:ptCount val="1"/>
                <c:pt idx="0">
                  <c:v>Sum of Monthly_Price</c:v>
                </c:pt>
              </c:strCache>
            </c:strRef>
          </c:tx>
          <c:spPr>
            <a:solidFill>
              <a:schemeClr val="accent2"/>
            </a:solidFill>
            <a:ln>
              <a:noFill/>
            </a:ln>
            <a:effectLst/>
          </c:spPr>
          <c:invertIfNegative val="0"/>
          <c:cat>
            <c:strRef>
              <c:f>'Pivot_Tables '!$H$45:$H$52</c:f>
              <c:strCache>
                <c:ptCount val="7"/>
                <c:pt idx="0">
                  <c:v>Australia</c:v>
                </c:pt>
                <c:pt idx="1">
                  <c:v>Canada</c:v>
                </c:pt>
                <c:pt idx="2">
                  <c:v>France</c:v>
                </c:pt>
                <c:pt idx="3">
                  <c:v>Germany</c:v>
                </c:pt>
                <c:pt idx="4">
                  <c:v>India</c:v>
                </c:pt>
                <c:pt idx="5">
                  <c:v>UK</c:v>
                </c:pt>
                <c:pt idx="6">
                  <c:v>USA</c:v>
                </c:pt>
              </c:strCache>
            </c:strRef>
          </c:cat>
          <c:val>
            <c:numRef>
              <c:f>'Pivot_Tables '!$J$45:$J$52</c:f>
              <c:numCache>
                <c:formatCode>General</c:formatCode>
                <c:ptCount val="7"/>
                <c:pt idx="0">
                  <c:v>1726.600000000001</c:v>
                </c:pt>
                <c:pt idx="1">
                  <c:v>1678.610000000001</c:v>
                </c:pt>
                <c:pt idx="2">
                  <c:v>1782.4900000000011</c:v>
                </c:pt>
                <c:pt idx="3">
                  <c:v>1738.5400000000011</c:v>
                </c:pt>
                <c:pt idx="4">
                  <c:v>1402.8400000000008</c:v>
                </c:pt>
                <c:pt idx="5">
                  <c:v>1806.5000000000011</c:v>
                </c:pt>
                <c:pt idx="6">
                  <c:v>1890.4200000000012</c:v>
                </c:pt>
              </c:numCache>
            </c:numRef>
          </c:val>
          <c:extLst>
            <c:ext xmlns:c16="http://schemas.microsoft.com/office/drawing/2014/chart" uri="{C3380CC4-5D6E-409C-BE32-E72D297353CC}">
              <c16:uniqueId val="{00000001-DE0D-481F-8EA9-BEB98CEA6DD5}"/>
            </c:ext>
          </c:extLst>
        </c:ser>
        <c:dLbls>
          <c:showLegendKey val="0"/>
          <c:showVal val="0"/>
          <c:showCatName val="0"/>
          <c:showSerName val="0"/>
          <c:showPercent val="0"/>
          <c:showBubbleSize val="0"/>
        </c:dLbls>
        <c:gapWidth val="219"/>
        <c:overlap val="-27"/>
        <c:axId val="274290992"/>
        <c:axId val="274291472"/>
      </c:barChart>
      <c:catAx>
        <c:axId val="27429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91472"/>
        <c:crosses val="autoZero"/>
        <c:auto val="1"/>
        <c:lblAlgn val="ctr"/>
        <c:lblOffset val="100"/>
        <c:noMultiLvlLbl val="0"/>
      </c:catAx>
      <c:valAx>
        <c:axId val="274291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9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Engagement by Language Preference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 '!$I$61</c:f>
              <c:strCache>
                <c:ptCount val="1"/>
                <c:pt idx="0">
                  <c:v>Total</c:v>
                </c:pt>
              </c:strCache>
            </c:strRef>
          </c:tx>
          <c:spPr>
            <a:solidFill>
              <a:schemeClr val="accent1"/>
            </a:solidFill>
            <a:ln>
              <a:noFill/>
            </a:ln>
            <a:effectLst/>
          </c:spPr>
          <c:invertIfNegative val="0"/>
          <c:cat>
            <c:strRef>
              <c:f>'Pivot_Tables '!$H$62:$H$68</c:f>
              <c:strCache>
                <c:ptCount val="6"/>
                <c:pt idx="0">
                  <c:v>English</c:v>
                </c:pt>
                <c:pt idx="1">
                  <c:v>French</c:v>
                </c:pt>
                <c:pt idx="2">
                  <c:v>German</c:v>
                </c:pt>
                <c:pt idx="3">
                  <c:v>Hindi</c:v>
                </c:pt>
                <c:pt idx="4">
                  <c:v>Mandarin</c:v>
                </c:pt>
                <c:pt idx="5">
                  <c:v>Spanish</c:v>
                </c:pt>
              </c:strCache>
            </c:strRef>
          </c:cat>
          <c:val>
            <c:numRef>
              <c:f>'Pivot_Tables '!$I$62:$I$68</c:f>
              <c:numCache>
                <c:formatCode>General</c:formatCode>
                <c:ptCount val="6"/>
                <c:pt idx="0">
                  <c:v>248.38095238095238</c:v>
                </c:pt>
                <c:pt idx="1">
                  <c:v>273.46198830409355</c:v>
                </c:pt>
                <c:pt idx="2">
                  <c:v>244.79640718562874</c:v>
                </c:pt>
                <c:pt idx="3">
                  <c:v>253.35802469135803</c:v>
                </c:pt>
                <c:pt idx="4">
                  <c:v>243.33519553072625</c:v>
                </c:pt>
                <c:pt idx="5">
                  <c:v>264.99346405228761</c:v>
                </c:pt>
              </c:numCache>
            </c:numRef>
          </c:val>
          <c:extLst>
            <c:ext xmlns:c16="http://schemas.microsoft.com/office/drawing/2014/chart" uri="{C3380CC4-5D6E-409C-BE32-E72D297353CC}">
              <c16:uniqueId val="{00000000-4FA1-4B83-9359-AFC48EE7C478}"/>
            </c:ext>
          </c:extLst>
        </c:ser>
        <c:dLbls>
          <c:showLegendKey val="0"/>
          <c:showVal val="0"/>
          <c:showCatName val="0"/>
          <c:showSerName val="0"/>
          <c:showPercent val="0"/>
          <c:showBubbleSize val="0"/>
        </c:dLbls>
        <c:gapWidth val="182"/>
        <c:axId val="1019125152"/>
        <c:axId val="1019125632"/>
      </c:barChart>
      <c:catAx>
        <c:axId val="101912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25632"/>
        <c:crosses val="autoZero"/>
        <c:auto val="1"/>
        <c:lblAlgn val="ctr"/>
        <c:lblOffset val="100"/>
        <c:noMultiLvlLbl val="0"/>
      </c:catAx>
      <c:valAx>
        <c:axId val="1019125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2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Subscription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'!$B$1</c:f>
              <c:strCache>
                <c:ptCount val="1"/>
                <c:pt idx="0">
                  <c:v>Total Users</c:v>
                </c:pt>
              </c:strCache>
            </c:strRef>
          </c:tx>
          <c:spPr>
            <a:solidFill>
              <a:schemeClr val="accent1"/>
            </a:solidFill>
            <a:ln>
              <a:noFill/>
            </a:ln>
            <a:effectLst/>
          </c:spPr>
          <c:invertIfNegative val="0"/>
          <c:cat>
            <c:strRef>
              <c:f>'Pivot_Tables '!$A$2:$A$4</c:f>
              <c:strCache>
                <c:ptCount val="2"/>
                <c:pt idx="0">
                  <c:v>Basic</c:v>
                </c:pt>
                <c:pt idx="1">
                  <c:v>Premium</c:v>
                </c:pt>
              </c:strCache>
            </c:strRef>
          </c:cat>
          <c:val>
            <c:numRef>
              <c:f>'Pivot_Tables '!$B$2:$B$4</c:f>
              <c:numCache>
                <c:formatCode>General</c:formatCode>
                <c:ptCount val="2"/>
                <c:pt idx="0">
                  <c:v>323</c:v>
                </c:pt>
                <c:pt idx="1">
                  <c:v>677</c:v>
                </c:pt>
              </c:numCache>
            </c:numRef>
          </c:val>
          <c:extLst>
            <c:ext xmlns:c16="http://schemas.microsoft.com/office/drawing/2014/chart" uri="{C3380CC4-5D6E-409C-BE32-E72D297353CC}">
              <c16:uniqueId val="{00000000-80DF-4C66-8A4F-43C84E19C5A5}"/>
            </c:ext>
          </c:extLst>
        </c:ser>
        <c:ser>
          <c:idx val="1"/>
          <c:order val="1"/>
          <c:tx>
            <c:strRef>
              <c:f>'Pivot_Tables '!$C$1</c:f>
              <c:strCache>
                <c:ptCount val="1"/>
                <c:pt idx="0">
                  <c:v>Total Revenue</c:v>
                </c:pt>
              </c:strCache>
            </c:strRef>
          </c:tx>
          <c:spPr>
            <a:solidFill>
              <a:schemeClr val="accent2"/>
            </a:solidFill>
            <a:ln>
              <a:noFill/>
            </a:ln>
            <a:effectLst/>
          </c:spPr>
          <c:invertIfNegative val="0"/>
          <c:cat>
            <c:strRef>
              <c:f>'Pivot_Tables '!$A$2:$A$4</c:f>
              <c:strCache>
                <c:ptCount val="2"/>
                <c:pt idx="0">
                  <c:v>Basic</c:v>
                </c:pt>
                <c:pt idx="1">
                  <c:v>Premium</c:v>
                </c:pt>
              </c:strCache>
            </c:strRef>
          </c:cat>
          <c:val>
            <c:numRef>
              <c:f>'Pivot_Tables '!$C$2:$C$4</c:f>
              <c:numCache>
                <c:formatCode>_("$"* #,##0.00_);_("$"* \(#,##0.00\);_("$"* "-"??_);_(@_)</c:formatCode>
                <c:ptCount val="2"/>
                <c:pt idx="0">
                  <c:v>2580.7699999999877</c:v>
                </c:pt>
                <c:pt idx="1">
                  <c:v>9445.2299999998868</c:v>
                </c:pt>
              </c:numCache>
            </c:numRef>
          </c:val>
          <c:extLst>
            <c:ext xmlns:c16="http://schemas.microsoft.com/office/drawing/2014/chart" uri="{C3380CC4-5D6E-409C-BE32-E72D297353CC}">
              <c16:uniqueId val="{00000001-80DF-4C66-8A4F-43C84E19C5A5}"/>
            </c:ext>
          </c:extLst>
        </c:ser>
        <c:dLbls>
          <c:showLegendKey val="0"/>
          <c:showVal val="0"/>
          <c:showCatName val="0"/>
          <c:showSerName val="0"/>
          <c:showPercent val="0"/>
          <c:showBubbleSize val="0"/>
        </c:dLbls>
        <c:gapWidth val="219"/>
        <c:overlap val="-27"/>
        <c:axId val="1204435408"/>
        <c:axId val="1204443088"/>
      </c:barChart>
      <c:catAx>
        <c:axId val="120443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443088"/>
        <c:crosses val="autoZero"/>
        <c:auto val="1"/>
        <c:lblAlgn val="ctr"/>
        <c:lblOffset val="100"/>
        <c:noMultiLvlLbl val="0"/>
      </c:catAx>
      <c:valAx>
        <c:axId val="1204443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435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Watch Hours by Genre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'!$B$8</c:f>
              <c:strCache>
                <c:ptCount val="1"/>
                <c:pt idx="0">
                  <c:v>Total</c:v>
                </c:pt>
              </c:strCache>
            </c:strRef>
          </c:tx>
          <c:spPr>
            <a:solidFill>
              <a:schemeClr val="accent1"/>
            </a:solidFill>
            <a:ln>
              <a:noFill/>
            </a:ln>
            <a:effectLst/>
          </c:spPr>
          <c:invertIfNegative val="0"/>
          <c:cat>
            <c:strRef>
              <c:f>'Pivot_Tables '!$A$9:$A$17</c:f>
              <c:strCache>
                <c:ptCount val="8"/>
                <c:pt idx="0">
                  <c:v>Action</c:v>
                </c:pt>
                <c:pt idx="1">
                  <c:v>Comedy</c:v>
                </c:pt>
                <c:pt idx="2">
                  <c:v>Documentary</c:v>
                </c:pt>
                <c:pt idx="3">
                  <c:v>Drama</c:v>
                </c:pt>
                <c:pt idx="4">
                  <c:v>Horror</c:v>
                </c:pt>
                <c:pt idx="5">
                  <c:v>Romance</c:v>
                </c:pt>
                <c:pt idx="6">
                  <c:v>Sci-Fi</c:v>
                </c:pt>
                <c:pt idx="7">
                  <c:v>(blank)</c:v>
                </c:pt>
              </c:strCache>
            </c:strRef>
          </c:cat>
          <c:val>
            <c:numRef>
              <c:f>'Pivot_Tables '!$B$9:$B$17</c:f>
              <c:numCache>
                <c:formatCode>General</c:formatCode>
                <c:ptCount val="8"/>
                <c:pt idx="0">
                  <c:v>242.91333333333333</c:v>
                </c:pt>
                <c:pt idx="1">
                  <c:v>263.43835616438355</c:v>
                </c:pt>
                <c:pt idx="2">
                  <c:v>260.09230769230771</c:v>
                </c:pt>
                <c:pt idx="3">
                  <c:v>249.56338028169014</c:v>
                </c:pt>
                <c:pt idx="4">
                  <c:v>256.32484076433121</c:v>
                </c:pt>
                <c:pt idx="5">
                  <c:v>258.15068493150687</c:v>
                </c:pt>
                <c:pt idx="6">
                  <c:v>251.42635658914728</c:v>
                </c:pt>
              </c:numCache>
            </c:numRef>
          </c:val>
          <c:extLst>
            <c:ext xmlns:c16="http://schemas.microsoft.com/office/drawing/2014/chart" uri="{C3380CC4-5D6E-409C-BE32-E72D297353CC}">
              <c16:uniqueId val="{00000000-42DF-4D2B-A27E-200A05B3C6E6}"/>
            </c:ext>
          </c:extLst>
        </c:ser>
        <c:dLbls>
          <c:showLegendKey val="0"/>
          <c:showVal val="0"/>
          <c:showCatName val="0"/>
          <c:showSerName val="0"/>
          <c:showPercent val="0"/>
          <c:showBubbleSize val="0"/>
        </c:dLbls>
        <c:gapWidth val="219"/>
        <c:overlap val="-27"/>
        <c:axId val="478250800"/>
        <c:axId val="478251280"/>
      </c:barChart>
      <c:catAx>
        <c:axId val="47825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251280"/>
        <c:crosses val="autoZero"/>
        <c:auto val="1"/>
        <c:lblAlgn val="ctr"/>
        <c:lblOffset val="100"/>
        <c:noMultiLvlLbl val="0"/>
      </c:catAx>
      <c:valAx>
        <c:axId val="478251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250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Movies vs. Series Watched per User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'!$R$7</c:f>
              <c:strCache>
                <c:ptCount val="1"/>
                <c:pt idx="0">
                  <c:v>Sum of Total_Series_Watched</c:v>
                </c:pt>
              </c:strCache>
            </c:strRef>
          </c:tx>
          <c:spPr>
            <a:solidFill>
              <a:schemeClr val="accent1"/>
            </a:solidFill>
            <a:ln>
              <a:noFill/>
            </a:ln>
            <a:effectLst/>
          </c:spPr>
          <c:invertIfNegative val="0"/>
          <c:cat>
            <c:strRef>
              <c:f>'Pivot_Tables '!$Q$8:$Q$14</c:f>
              <c:strCache>
                <c:ptCount val="6"/>
                <c:pt idx="0">
                  <c:v>18-24</c:v>
                </c:pt>
                <c:pt idx="1">
                  <c:v>25-34</c:v>
                </c:pt>
                <c:pt idx="2">
                  <c:v>35-44</c:v>
                </c:pt>
                <c:pt idx="3">
                  <c:v>45-54</c:v>
                </c:pt>
                <c:pt idx="4">
                  <c:v>55+</c:v>
                </c:pt>
                <c:pt idx="5">
                  <c:v>(blank)</c:v>
                </c:pt>
              </c:strCache>
            </c:strRef>
          </c:cat>
          <c:val>
            <c:numRef>
              <c:f>'Pivot_Tables '!$R$8:$R$14</c:f>
              <c:numCache>
                <c:formatCode>General</c:formatCode>
                <c:ptCount val="6"/>
                <c:pt idx="0">
                  <c:v>19790</c:v>
                </c:pt>
                <c:pt idx="1">
                  <c:v>18631</c:v>
                </c:pt>
                <c:pt idx="2">
                  <c:v>20452</c:v>
                </c:pt>
                <c:pt idx="3">
                  <c:v>22023</c:v>
                </c:pt>
                <c:pt idx="4">
                  <c:v>18850</c:v>
                </c:pt>
              </c:numCache>
            </c:numRef>
          </c:val>
          <c:extLst>
            <c:ext xmlns:c16="http://schemas.microsoft.com/office/drawing/2014/chart" uri="{C3380CC4-5D6E-409C-BE32-E72D297353CC}">
              <c16:uniqueId val="{00000000-3FB8-4270-B8D8-BD0FC1130443}"/>
            </c:ext>
          </c:extLst>
        </c:ser>
        <c:ser>
          <c:idx val="1"/>
          <c:order val="1"/>
          <c:tx>
            <c:strRef>
              <c:f>'Pivot_Tables '!$S$7</c:f>
              <c:strCache>
                <c:ptCount val="1"/>
                <c:pt idx="0">
                  <c:v>Sum of Total_Movies_Watched</c:v>
                </c:pt>
              </c:strCache>
            </c:strRef>
          </c:tx>
          <c:spPr>
            <a:solidFill>
              <a:schemeClr val="accent2"/>
            </a:solidFill>
            <a:ln>
              <a:noFill/>
            </a:ln>
            <a:effectLst/>
          </c:spPr>
          <c:invertIfNegative val="0"/>
          <c:cat>
            <c:strRef>
              <c:f>'Pivot_Tables '!$Q$8:$Q$14</c:f>
              <c:strCache>
                <c:ptCount val="6"/>
                <c:pt idx="0">
                  <c:v>18-24</c:v>
                </c:pt>
                <c:pt idx="1">
                  <c:v>25-34</c:v>
                </c:pt>
                <c:pt idx="2">
                  <c:v>35-44</c:v>
                </c:pt>
                <c:pt idx="3">
                  <c:v>45-54</c:v>
                </c:pt>
                <c:pt idx="4">
                  <c:v>55+</c:v>
                </c:pt>
                <c:pt idx="5">
                  <c:v>(blank)</c:v>
                </c:pt>
              </c:strCache>
            </c:strRef>
          </c:cat>
          <c:val>
            <c:numRef>
              <c:f>'Pivot_Tables '!$S$8:$S$14</c:f>
              <c:numCache>
                <c:formatCode>General</c:formatCode>
                <c:ptCount val="6"/>
                <c:pt idx="0">
                  <c:v>94100</c:v>
                </c:pt>
                <c:pt idx="1">
                  <c:v>100542</c:v>
                </c:pt>
                <c:pt idx="2">
                  <c:v>110132</c:v>
                </c:pt>
                <c:pt idx="3">
                  <c:v>104205</c:v>
                </c:pt>
                <c:pt idx="4">
                  <c:v>106918</c:v>
                </c:pt>
              </c:numCache>
            </c:numRef>
          </c:val>
          <c:extLst>
            <c:ext xmlns:c16="http://schemas.microsoft.com/office/drawing/2014/chart" uri="{C3380CC4-5D6E-409C-BE32-E72D297353CC}">
              <c16:uniqueId val="{00000001-3FB8-4270-B8D8-BD0FC1130443}"/>
            </c:ext>
          </c:extLst>
        </c:ser>
        <c:dLbls>
          <c:showLegendKey val="0"/>
          <c:showVal val="0"/>
          <c:showCatName val="0"/>
          <c:showSerName val="0"/>
          <c:showPercent val="0"/>
          <c:showBubbleSize val="0"/>
        </c:dLbls>
        <c:gapWidth val="219"/>
        <c:overlap val="-27"/>
        <c:axId val="667599408"/>
        <c:axId val="667594608"/>
      </c:barChart>
      <c:catAx>
        <c:axId val="66759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594608"/>
        <c:crosses val="autoZero"/>
        <c:auto val="1"/>
        <c:lblAlgn val="ctr"/>
        <c:lblOffset val="100"/>
        <c:noMultiLvlLbl val="0"/>
      </c:catAx>
      <c:valAx>
        <c:axId val="66759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59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Impact of recommended content on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 '!$W$7</c:f>
              <c:strCache>
                <c:ptCount val="1"/>
                <c:pt idx="0">
                  <c:v>Total</c:v>
                </c:pt>
              </c:strCache>
            </c:strRef>
          </c:tx>
          <c:spPr>
            <a:ln w="28575" cap="rnd">
              <a:solidFill>
                <a:schemeClr val="accent1"/>
              </a:solidFill>
              <a:round/>
            </a:ln>
            <a:effectLst/>
          </c:spPr>
          <c:marker>
            <c:symbol val="none"/>
          </c:marker>
          <c:cat>
            <c:strRef>
              <c:f>'Pivot_Tables '!$V$8:$V$110</c:f>
              <c:strCache>
                <c:ptCount val="10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(blank)</c:v>
                </c:pt>
              </c:strCache>
            </c:strRef>
          </c:cat>
          <c:val>
            <c:numRef>
              <c:f>'Pivot_Tables '!$W$8:$W$110</c:f>
              <c:numCache>
                <c:formatCode>General</c:formatCode>
                <c:ptCount val="102"/>
                <c:pt idx="0">
                  <c:v>277.81818181818181</c:v>
                </c:pt>
                <c:pt idx="1">
                  <c:v>325.14285714285717</c:v>
                </c:pt>
                <c:pt idx="2">
                  <c:v>371.2</c:v>
                </c:pt>
                <c:pt idx="3">
                  <c:v>233.73333333333332</c:v>
                </c:pt>
                <c:pt idx="4">
                  <c:v>320.22222222222223</c:v>
                </c:pt>
                <c:pt idx="5">
                  <c:v>324</c:v>
                </c:pt>
                <c:pt idx="6">
                  <c:v>272.5</c:v>
                </c:pt>
                <c:pt idx="7">
                  <c:v>276.16666666666669</c:v>
                </c:pt>
                <c:pt idx="8">
                  <c:v>219.85714285714286</c:v>
                </c:pt>
                <c:pt idx="9">
                  <c:v>234.16666666666666</c:v>
                </c:pt>
                <c:pt idx="10">
                  <c:v>259.5</c:v>
                </c:pt>
                <c:pt idx="11">
                  <c:v>229.94117647058823</c:v>
                </c:pt>
                <c:pt idx="12">
                  <c:v>320.5</c:v>
                </c:pt>
                <c:pt idx="13">
                  <c:v>226.54545454545453</c:v>
                </c:pt>
                <c:pt idx="14">
                  <c:v>255.58333333333334</c:v>
                </c:pt>
                <c:pt idx="15">
                  <c:v>335.57142857142856</c:v>
                </c:pt>
                <c:pt idx="16">
                  <c:v>152.33333333333334</c:v>
                </c:pt>
                <c:pt idx="17">
                  <c:v>187.81818181818181</c:v>
                </c:pt>
                <c:pt idx="18">
                  <c:v>240.5</c:v>
                </c:pt>
                <c:pt idx="19">
                  <c:v>299.16666666666669</c:v>
                </c:pt>
                <c:pt idx="20">
                  <c:v>225</c:v>
                </c:pt>
                <c:pt idx="21">
                  <c:v>166.71428571428572</c:v>
                </c:pt>
                <c:pt idx="22">
                  <c:v>335.2</c:v>
                </c:pt>
                <c:pt idx="23">
                  <c:v>188.4</c:v>
                </c:pt>
                <c:pt idx="24">
                  <c:v>268</c:v>
                </c:pt>
                <c:pt idx="25">
                  <c:v>181</c:v>
                </c:pt>
                <c:pt idx="26">
                  <c:v>212.71428571428572</c:v>
                </c:pt>
                <c:pt idx="27">
                  <c:v>246.375</c:v>
                </c:pt>
                <c:pt idx="28">
                  <c:v>302.42857142857144</c:v>
                </c:pt>
                <c:pt idx="29">
                  <c:v>261.71428571428572</c:v>
                </c:pt>
                <c:pt idx="30">
                  <c:v>227.09090909090909</c:v>
                </c:pt>
                <c:pt idx="31">
                  <c:v>259.72727272727275</c:v>
                </c:pt>
                <c:pt idx="32">
                  <c:v>217</c:v>
                </c:pt>
                <c:pt idx="33">
                  <c:v>265.85714285714283</c:v>
                </c:pt>
                <c:pt idx="34">
                  <c:v>204.83333333333334</c:v>
                </c:pt>
                <c:pt idx="35">
                  <c:v>303.39999999999998</c:v>
                </c:pt>
                <c:pt idx="36">
                  <c:v>334.92307692307691</c:v>
                </c:pt>
                <c:pt idx="37">
                  <c:v>264.21428571428572</c:v>
                </c:pt>
                <c:pt idx="38">
                  <c:v>302.125</c:v>
                </c:pt>
                <c:pt idx="39">
                  <c:v>334.88888888888891</c:v>
                </c:pt>
                <c:pt idx="40">
                  <c:v>193.71428571428572</c:v>
                </c:pt>
                <c:pt idx="41">
                  <c:v>265.1764705882353</c:v>
                </c:pt>
                <c:pt idx="42">
                  <c:v>286.77777777777777</c:v>
                </c:pt>
                <c:pt idx="43">
                  <c:v>249.27272727272728</c:v>
                </c:pt>
                <c:pt idx="44">
                  <c:v>303.06666666666666</c:v>
                </c:pt>
                <c:pt idx="45">
                  <c:v>242.75</c:v>
                </c:pt>
                <c:pt idx="46">
                  <c:v>117.5</c:v>
                </c:pt>
                <c:pt idx="47">
                  <c:v>213</c:v>
                </c:pt>
                <c:pt idx="48">
                  <c:v>197.875</c:v>
                </c:pt>
                <c:pt idx="49">
                  <c:v>237.75</c:v>
                </c:pt>
                <c:pt idx="50">
                  <c:v>327.41666666666669</c:v>
                </c:pt>
                <c:pt idx="51">
                  <c:v>256.39999999999998</c:v>
                </c:pt>
                <c:pt idx="52">
                  <c:v>195.07692307692307</c:v>
                </c:pt>
                <c:pt idx="53">
                  <c:v>214.18181818181819</c:v>
                </c:pt>
                <c:pt idx="54">
                  <c:v>302.55555555555554</c:v>
                </c:pt>
                <c:pt idx="55">
                  <c:v>224.57142857142858</c:v>
                </c:pt>
                <c:pt idx="56">
                  <c:v>215.76923076923077</c:v>
                </c:pt>
                <c:pt idx="57">
                  <c:v>223.28571428571428</c:v>
                </c:pt>
                <c:pt idx="58">
                  <c:v>291.125</c:v>
                </c:pt>
                <c:pt idx="59">
                  <c:v>252.4</c:v>
                </c:pt>
                <c:pt idx="60">
                  <c:v>254.46153846153845</c:v>
                </c:pt>
                <c:pt idx="61">
                  <c:v>340.66666666666669</c:v>
                </c:pt>
                <c:pt idx="62">
                  <c:v>336.09090909090907</c:v>
                </c:pt>
                <c:pt idx="63">
                  <c:v>231</c:v>
                </c:pt>
                <c:pt idx="64">
                  <c:v>309.61538461538464</c:v>
                </c:pt>
                <c:pt idx="65">
                  <c:v>295.25</c:v>
                </c:pt>
                <c:pt idx="66">
                  <c:v>262.9375</c:v>
                </c:pt>
                <c:pt idx="67">
                  <c:v>286.2</c:v>
                </c:pt>
                <c:pt idx="68">
                  <c:v>245.25</c:v>
                </c:pt>
                <c:pt idx="69">
                  <c:v>215.85714285714286</c:v>
                </c:pt>
                <c:pt idx="70">
                  <c:v>218.77777777777777</c:v>
                </c:pt>
                <c:pt idx="71">
                  <c:v>267.69230769230768</c:v>
                </c:pt>
                <c:pt idx="72">
                  <c:v>253.5</c:v>
                </c:pt>
                <c:pt idx="73">
                  <c:v>276.54545454545456</c:v>
                </c:pt>
                <c:pt idx="74">
                  <c:v>245</c:v>
                </c:pt>
                <c:pt idx="75">
                  <c:v>247</c:v>
                </c:pt>
                <c:pt idx="76">
                  <c:v>221.66666666666666</c:v>
                </c:pt>
                <c:pt idx="77">
                  <c:v>226</c:v>
                </c:pt>
                <c:pt idx="78">
                  <c:v>266.5625</c:v>
                </c:pt>
                <c:pt idx="79">
                  <c:v>280.81818181818181</c:v>
                </c:pt>
                <c:pt idx="80">
                  <c:v>230.71428571428572</c:v>
                </c:pt>
                <c:pt idx="81">
                  <c:v>230.5</c:v>
                </c:pt>
                <c:pt idx="82">
                  <c:v>228.25</c:v>
                </c:pt>
                <c:pt idx="83">
                  <c:v>297.66666666666669</c:v>
                </c:pt>
                <c:pt idx="84">
                  <c:v>320.60000000000002</c:v>
                </c:pt>
                <c:pt idx="85">
                  <c:v>228.9</c:v>
                </c:pt>
                <c:pt idx="86">
                  <c:v>161.36363636363637</c:v>
                </c:pt>
                <c:pt idx="87">
                  <c:v>223.55555555555554</c:v>
                </c:pt>
                <c:pt idx="88">
                  <c:v>201.4</c:v>
                </c:pt>
                <c:pt idx="89">
                  <c:v>231.90909090909091</c:v>
                </c:pt>
                <c:pt idx="90">
                  <c:v>158.66666666666666</c:v>
                </c:pt>
                <c:pt idx="91">
                  <c:v>335.33333333333331</c:v>
                </c:pt>
                <c:pt idx="92">
                  <c:v>286.92307692307691</c:v>
                </c:pt>
                <c:pt idx="93">
                  <c:v>350</c:v>
                </c:pt>
                <c:pt idx="94">
                  <c:v>302.28571428571428</c:v>
                </c:pt>
                <c:pt idx="95">
                  <c:v>257.64285714285717</c:v>
                </c:pt>
                <c:pt idx="96">
                  <c:v>188.3</c:v>
                </c:pt>
                <c:pt idx="97">
                  <c:v>158.9</c:v>
                </c:pt>
                <c:pt idx="98">
                  <c:v>271.09090909090907</c:v>
                </c:pt>
                <c:pt idx="99">
                  <c:v>201.46153846153845</c:v>
                </c:pt>
                <c:pt idx="100">
                  <c:v>315.2</c:v>
                </c:pt>
              </c:numCache>
            </c:numRef>
          </c:val>
          <c:smooth val="0"/>
          <c:extLst>
            <c:ext xmlns:c16="http://schemas.microsoft.com/office/drawing/2014/chart" uri="{C3380CC4-5D6E-409C-BE32-E72D297353CC}">
              <c16:uniqueId val="{00000000-BDA8-459B-ACC5-85A2B4DC9222}"/>
            </c:ext>
          </c:extLst>
        </c:ser>
        <c:dLbls>
          <c:showLegendKey val="0"/>
          <c:showVal val="0"/>
          <c:showCatName val="0"/>
          <c:showSerName val="0"/>
          <c:showPercent val="0"/>
          <c:showBubbleSize val="0"/>
        </c:dLbls>
        <c:smooth val="0"/>
        <c:axId val="667628208"/>
        <c:axId val="667629648"/>
      </c:lineChart>
      <c:catAx>
        <c:axId val="66762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29648"/>
        <c:crosses val="autoZero"/>
        <c:auto val="1"/>
        <c:lblAlgn val="ctr"/>
        <c:lblOffset val="100"/>
        <c:noMultiLvlLbl val="0"/>
      </c:catAx>
      <c:valAx>
        <c:axId val="66762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2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Genre Popularity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 '!$B$21:$B$22</c:f>
              <c:strCache>
                <c:ptCount val="1"/>
                <c:pt idx="0">
                  <c:v>Action</c:v>
                </c:pt>
              </c:strCache>
            </c:strRef>
          </c:tx>
          <c:spPr>
            <a:solidFill>
              <a:schemeClr val="accent1"/>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'!$B$23:$B$28</c:f>
              <c:numCache>
                <c:formatCode>General</c:formatCode>
                <c:ptCount val="5"/>
                <c:pt idx="0">
                  <c:v>26</c:v>
                </c:pt>
                <c:pt idx="1">
                  <c:v>33</c:v>
                </c:pt>
                <c:pt idx="2">
                  <c:v>32</c:v>
                </c:pt>
                <c:pt idx="3">
                  <c:v>34</c:v>
                </c:pt>
                <c:pt idx="4">
                  <c:v>25</c:v>
                </c:pt>
              </c:numCache>
            </c:numRef>
          </c:val>
          <c:extLst>
            <c:ext xmlns:c16="http://schemas.microsoft.com/office/drawing/2014/chart" uri="{C3380CC4-5D6E-409C-BE32-E72D297353CC}">
              <c16:uniqueId val="{00000000-393A-4047-94CD-DC1963E2A62D}"/>
            </c:ext>
          </c:extLst>
        </c:ser>
        <c:ser>
          <c:idx val="1"/>
          <c:order val="1"/>
          <c:tx>
            <c:strRef>
              <c:f>'Pivot_Tables '!$C$21:$C$22</c:f>
              <c:strCache>
                <c:ptCount val="1"/>
                <c:pt idx="0">
                  <c:v>Comedy</c:v>
                </c:pt>
              </c:strCache>
            </c:strRef>
          </c:tx>
          <c:spPr>
            <a:solidFill>
              <a:schemeClr val="accent2"/>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'!$C$23:$C$28</c:f>
              <c:numCache>
                <c:formatCode>General</c:formatCode>
                <c:ptCount val="5"/>
                <c:pt idx="0">
                  <c:v>23</c:v>
                </c:pt>
                <c:pt idx="1">
                  <c:v>29</c:v>
                </c:pt>
                <c:pt idx="2">
                  <c:v>29</c:v>
                </c:pt>
                <c:pt idx="3">
                  <c:v>26</c:v>
                </c:pt>
                <c:pt idx="4">
                  <c:v>39</c:v>
                </c:pt>
              </c:numCache>
            </c:numRef>
          </c:val>
          <c:extLst>
            <c:ext xmlns:c16="http://schemas.microsoft.com/office/drawing/2014/chart" uri="{C3380CC4-5D6E-409C-BE32-E72D297353CC}">
              <c16:uniqueId val="{00000001-393A-4047-94CD-DC1963E2A62D}"/>
            </c:ext>
          </c:extLst>
        </c:ser>
        <c:ser>
          <c:idx val="2"/>
          <c:order val="2"/>
          <c:tx>
            <c:strRef>
              <c:f>'Pivot_Tables '!$D$21:$D$22</c:f>
              <c:strCache>
                <c:ptCount val="1"/>
                <c:pt idx="0">
                  <c:v>Documentary</c:v>
                </c:pt>
              </c:strCache>
            </c:strRef>
          </c:tx>
          <c:spPr>
            <a:solidFill>
              <a:schemeClr val="accent3"/>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'!$D$23:$D$28</c:f>
              <c:numCache>
                <c:formatCode>General</c:formatCode>
                <c:ptCount val="5"/>
                <c:pt idx="0">
                  <c:v>36</c:v>
                </c:pt>
                <c:pt idx="1">
                  <c:v>21</c:v>
                </c:pt>
                <c:pt idx="2">
                  <c:v>22</c:v>
                </c:pt>
                <c:pt idx="3">
                  <c:v>22</c:v>
                </c:pt>
                <c:pt idx="4">
                  <c:v>29</c:v>
                </c:pt>
              </c:numCache>
            </c:numRef>
          </c:val>
          <c:extLst>
            <c:ext xmlns:c16="http://schemas.microsoft.com/office/drawing/2014/chart" uri="{C3380CC4-5D6E-409C-BE32-E72D297353CC}">
              <c16:uniqueId val="{00000002-393A-4047-94CD-DC1963E2A62D}"/>
            </c:ext>
          </c:extLst>
        </c:ser>
        <c:ser>
          <c:idx val="3"/>
          <c:order val="3"/>
          <c:tx>
            <c:strRef>
              <c:f>'Pivot_Tables '!$E$21:$E$22</c:f>
              <c:strCache>
                <c:ptCount val="1"/>
                <c:pt idx="0">
                  <c:v>Drama</c:v>
                </c:pt>
              </c:strCache>
            </c:strRef>
          </c:tx>
          <c:spPr>
            <a:solidFill>
              <a:schemeClr val="accent4"/>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'!$E$23:$E$28</c:f>
              <c:numCache>
                <c:formatCode>General</c:formatCode>
                <c:ptCount val="5"/>
                <c:pt idx="0">
                  <c:v>25</c:v>
                </c:pt>
                <c:pt idx="1">
                  <c:v>31</c:v>
                </c:pt>
                <c:pt idx="2">
                  <c:v>27</c:v>
                </c:pt>
                <c:pt idx="3">
                  <c:v>31</c:v>
                </c:pt>
                <c:pt idx="4">
                  <c:v>28</c:v>
                </c:pt>
              </c:numCache>
            </c:numRef>
          </c:val>
          <c:extLst>
            <c:ext xmlns:c16="http://schemas.microsoft.com/office/drawing/2014/chart" uri="{C3380CC4-5D6E-409C-BE32-E72D297353CC}">
              <c16:uniqueId val="{00000003-393A-4047-94CD-DC1963E2A62D}"/>
            </c:ext>
          </c:extLst>
        </c:ser>
        <c:ser>
          <c:idx val="4"/>
          <c:order val="4"/>
          <c:tx>
            <c:strRef>
              <c:f>'Pivot_Tables '!$F$21:$F$22</c:f>
              <c:strCache>
                <c:ptCount val="1"/>
                <c:pt idx="0">
                  <c:v>Horror</c:v>
                </c:pt>
              </c:strCache>
            </c:strRef>
          </c:tx>
          <c:spPr>
            <a:solidFill>
              <a:schemeClr val="accent5"/>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'!$F$23:$F$28</c:f>
              <c:numCache>
                <c:formatCode>General</c:formatCode>
                <c:ptCount val="5"/>
                <c:pt idx="0">
                  <c:v>23</c:v>
                </c:pt>
                <c:pt idx="1">
                  <c:v>36</c:v>
                </c:pt>
                <c:pt idx="2">
                  <c:v>34</c:v>
                </c:pt>
                <c:pt idx="3">
                  <c:v>32</c:v>
                </c:pt>
                <c:pt idx="4">
                  <c:v>32</c:v>
                </c:pt>
              </c:numCache>
            </c:numRef>
          </c:val>
          <c:extLst>
            <c:ext xmlns:c16="http://schemas.microsoft.com/office/drawing/2014/chart" uri="{C3380CC4-5D6E-409C-BE32-E72D297353CC}">
              <c16:uniqueId val="{00000004-393A-4047-94CD-DC1963E2A62D}"/>
            </c:ext>
          </c:extLst>
        </c:ser>
        <c:ser>
          <c:idx val="5"/>
          <c:order val="5"/>
          <c:tx>
            <c:strRef>
              <c:f>'Pivot_Tables '!$G$21:$G$22</c:f>
              <c:strCache>
                <c:ptCount val="1"/>
                <c:pt idx="0">
                  <c:v>Romance</c:v>
                </c:pt>
              </c:strCache>
            </c:strRef>
          </c:tx>
          <c:spPr>
            <a:solidFill>
              <a:schemeClr val="accent6"/>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'!$G$23:$G$28</c:f>
              <c:numCache>
                <c:formatCode>General</c:formatCode>
                <c:ptCount val="5"/>
                <c:pt idx="0">
                  <c:v>24</c:v>
                </c:pt>
                <c:pt idx="1">
                  <c:v>27</c:v>
                </c:pt>
                <c:pt idx="2">
                  <c:v>32</c:v>
                </c:pt>
                <c:pt idx="3">
                  <c:v>36</c:v>
                </c:pt>
                <c:pt idx="4">
                  <c:v>27</c:v>
                </c:pt>
              </c:numCache>
            </c:numRef>
          </c:val>
          <c:extLst>
            <c:ext xmlns:c16="http://schemas.microsoft.com/office/drawing/2014/chart" uri="{C3380CC4-5D6E-409C-BE32-E72D297353CC}">
              <c16:uniqueId val="{00000005-393A-4047-94CD-DC1963E2A62D}"/>
            </c:ext>
          </c:extLst>
        </c:ser>
        <c:ser>
          <c:idx val="6"/>
          <c:order val="6"/>
          <c:tx>
            <c:strRef>
              <c:f>'Pivot_Tables '!$H$21:$H$22</c:f>
              <c:strCache>
                <c:ptCount val="1"/>
                <c:pt idx="0">
                  <c:v>Sci-Fi</c:v>
                </c:pt>
              </c:strCache>
            </c:strRef>
          </c:tx>
          <c:spPr>
            <a:solidFill>
              <a:schemeClr val="accent1">
                <a:lumMod val="60000"/>
              </a:schemeClr>
            </a:solidFill>
            <a:ln>
              <a:noFill/>
            </a:ln>
            <a:effectLst/>
          </c:spPr>
          <c:invertIfNegative val="0"/>
          <c:cat>
            <c:strRef>
              <c:f>'Pivot_Tables '!$A$23:$A$28</c:f>
              <c:strCache>
                <c:ptCount val="5"/>
                <c:pt idx="0">
                  <c:v>18-24</c:v>
                </c:pt>
                <c:pt idx="1">
                  <c:v>25-34</c:v>
                </c:pt>
                <c:pt idx="2">
                  <c:v>35-44</c:v>
                </c:pt>
                <c:pt idx="3">
                  <c:v>45-54</c:v>
                </c:pt>
                <c:pt idx="4">
                  <c:v>55+</c:v>
                </c:pt>
              </c:strCache>
            </c:strRef>
          </c:cat>
          <c:val>
            <c:numRef>
              <c:f>'Pivot_Tables '!$H$23:$H$28</c:f>
              <c:numCache>
                <c:formatCode>General</c:formatCode>
                <c:ptCount val="5"/>
                <c:pt idx="0">
                  <c:v>23</c:v>
                </c:pt>
                <c:pt idx="1">
                  <c:v>23</c:v>
                </c:pt>
                <c:pt idx="2">
                  <c:v>31</c:v>
                </c:pt>
                <c:pt idx="3">
                  <c:v>27</c:v>
                </c:pt>
                <c:pt idx="4">
                  <c:v>25</c:v>
                </c:pt>
              </c:numCache>
            </c:numRef>
          </c:val>
          <c:extLst>
            <c:ext xmlns:c16="http://schemas.microsoft.com/office/drawing/2014/chart" uri="{C3380CC4-5D6E-409C-BE32-E72D297353CC}">
              <c16:uniqueId val="{00000006-393A-4047-94CD-DC1963E2A62D}"/>
            </c:ext>
          </c:extLst>
        </c:ser>
        <c:dLbls>
          <c:showLegendKey val="0"/>
          <c:showVal val="0"/>
          <c:showCatName val="0"/>
          <c:showSerName val="0"/>
          <c:showPercent val="0"/>
          <c:showBubbleSize val="0"/>
        </c:dLbls>
        <c:gapWidth val="150"/>
        <c:overlap val="100"/>
        <c:axId val="150566496"/>
        <c:axId val="150569856"/>
      </c:barChart>
      <c:catAx>
        <c:axId val="15056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9856"/>
        <c:crosses val="autoZero"/>
        <c:auto val="1"/>
        <c:lblAlgn val="ctr"/>
        <c:lblOffset val="100"/>
        <c:noMultiLvlLbl val="0"/>
      </c:catAx>
      <c:valAx>
        <c:axId val="150569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Device Usage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'Pivot_Tables '!$L$22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53-46C5-BD7F-81D89D7482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53-46C5-BD7F-81D89D7482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53-46C5-BD7F-81D89D7482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53-46C5-BD7F-81D89D7482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53-46C5-BD7F-81D89D748281}"/>
              </c:ext>
            </c:extLst>
          </c:dPt>
          <c:cat>
            <c:strRef>
              <c:f>'Pivot_Tables '!$K$23:$K$28</c:f>
              <c:strCache>
                <c:ptCount val="5"/>
                <c:pt idx="0">
                  <c:v>Desktop</c:v>
                </c:pt>
                <c:pt idx="1">
                  <c:v>Laptop</c:v>
                </c:pt>
                <c:pt idx="2">
                  <c:v>Smart TV</c:v>
                </c:pt>
                <c:pt idx="3">
                  <c:v>Smartphone</c:v>
                </c:pt>
                <c:pt idx="4">
                  <c:v>Tablet</c:v>
                </c:pt>
              </c:strCache>
            </c:strRef>
          </c:cat>
          <c:val>
            <c:numRef>
              <c:f>'Pivot_Tables '!$L$23:$L$28</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A-2653-46C5-BD7F-81D89D74828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Active vs Inactive Users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'Pivot_Tables '!$B$31</c:f>
              <c:strCache>
                <c:ptCount val="1"/>
                <c:pt idx="0">
                  <c:v>Count of User_ID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27-4A09-84D6-49959A3E89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27-4A09-84D6-49959A3E8927}"/>
              </c:ext>
            </c:extLst>
          </c:dPt>
          <c:cat>
            <c:strRef>
              <c:f>'Pivot_Tables '!$A$32:$A$34</c:f>
              <c:strCache>
                <c:ptCount val="2"/>
                <c:pt idx="0">
                  <c:v>Active</c:v>
                </c:pt>
                <c:pt idx="1">
                  <c:v>Inactive</c:v>
                </c:pt>
              </c:strCache>
            </c:strRef>
          </c:cat>
          <c:val>
            <c:numRef>
              <c:f>'Pivot_Tables '!$B$32:$B$34</c:f>
              <c:numCache>
                <c:formatCode>General</c:formatCode>
                <c:ptCount val="2"/>
                <c:pt idx="0">
                  <c:v>1000</c:v>
                </c:pt>
              </c:numCache>
            </c:numRef>
          </c:val>
          <c:extLst>
            <c:ext xmlns:c16="http://schemas.microsoft.com/office/drawing/2014/chart" uri="{C3380CC4-5D6E-409C-BE32-E72D297353CC}">
              <c16:uniqueId val="{00000004-1227-4A09-84D6-49959A3E8927}"/>
            </c:ext>
          </c:extLst>
        </c:ser>
        <c:ser>
          <c:idx val="1"/>
          <c:order val="1"/>
          <c:tx>
            <c:strRef>
              <c:f>'Pivot_Tables '!$C$31</c:f>
              <c:strCache>
                <c:ptCount val="1"/>
                <c:pt idx="0">
                  <c:v>Average of Loyalty_Points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1227-4A09-84D6-49959A3E89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1227-4A09-84D6-49959A3E8927}"/>
              </c:ext>
            </c:extLst>
          </c:dPt>
          <c:cat>
            <c:strRef>
              <c:f>'Pivot_Tables '!$A$32:$A$34</c:f>
              <c:strCache>
                <c:ptCount val="2"/>
                <c:pt idx="0">
                  <c:v>Active</c:v>
                </c:pt>
                <c:pt idx="1">
                  <c:v>Inactive</c:v>
                </c:pt>
              </c:strCache>
            </c:strRef>
          </c:cat>
          <c:val>
            <c:numRef>
              <c:f>'Pivot_Tables '!$C$32:$C$34</c:f>
              <c:numCache>
                <c:formatCode>General</c:formatCode>
                <c:ptCount val="2"/>
                <c:pt idx="0">
                  <c:v>2444.2170000000001</c:v>
                </c:pt>
              </c:numCache>
            </c:numRef>
          </c:val>
          <c:extLst>
            <c:ext xmlns:c16="http://schemas.microsoft.com/office/drawing/2014/chart" uri="{C3380CC4-5D6E-409C-BE32-E72D297353CC}">
              <c16:uniqueId val="{00000009-1227-4A09-84D6-49959A3E892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 Services_Kiran Patel.xlsx]Pivot_Tables !PivotTable6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Method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'!$B$44:$B$45</c:f>
              <c:strCache>
                <c:ptCount val="1"/>
                <c:pt idx="0">
                  <c:v>Credit Card</c:v>
                </c:pt>
              </c:strCache>
            </c:strRef>
          </c:tx>
          <c:spPr>
            <a:solidFill>
              <a:schemeClr val="accent1"/>
            </a:solidFill>
            <a:ln>
              <a:noFill/>
            </a:ln>
            <a:effectLst/>
          </c:spPr>
          <c:invertIfNegative val="0"/>
          <c:cat>
            <c:strRef>
              <c:f>'Pivot_Tables '!$A$46:$A$54</c:f>
              <c:strCache>
                <c:ptCount val="8"/>
                <c:pt idx="0">
                  <c:v>Australia</c:v>
                </c:pt>
                <c:pt idx="1">
                  <c:v>Canada</c:v>
                </c:pt>
                <c:pt idx="2">
                  <c:v>France</c:v>
                </c:pt>
                <c:pt idx="3">
                  <c:v>Germany</c:v>
                </c:pt>
                <c:pt idx="4">
                  <c:v>India</c:v>
                </c:pt>
                <c:pt idx="5">
                  <c:v>UK</c:v>
                </c:pt>
                <c:pt idx="6">
                  <c:v>USA</c:v>
                </c:pt>
                <c:pt idx="7">
                  <c:v>(blank)</c:v>
                </c:pt>
              </c:strCache>
            </c:strRef>
          </c:cat>
          <c:val>
            <c:numRef>
              <c:f>'Pivot_Tables '!$B$46:$B$54</c:f>
              <c:numCache>
                <c:formatCode>General</c:formatCode>
                <c:ptCount val="8"/>
                <c:pt idx="0">
                  <c:v>22</c:v>
                </c:pt>
                <c:pt idx="1">
                  <c:v>34</c:v>
                </c:pt>
                <c:pt idx="2">
                  <c:v>39</c:v>
                </c:pt>
                <c:pt idx="3">
                  <c:v>31</c:v>
                </c:pt>
                <c:pt idx="4">
                  <c:v>25</c:v>
                </c:pt>
                <c:pt idx="5">
                  <c:v>33</c:v>
                </c:pt>
                <c:pt idx="6">
                  <c:v>44</c:v>
                </c:pt>
              </c:numCache>
            </c:numRef>
          </c:val>
          <c:extLst>
            <c:ext xmlns:c16="http://schemas.microsoft.com/office/drawing/2014/chart" uri="{C3380CC4-5D6E-409C-BE32-E72D297353CC}">
              <c16:uniqueId val="{00000000-C90A-43DC-BBE8-3A3FEE68360D}"/>
            </c:ext>
          </c:extLst>
        </c:ser>
        <c:ser>
          <c:idx val="1"/>
          <c:order val="1"/>
          <c:tx>
            <c:strRef>
              <c:f>'Pivot_Tables '!$C$44:$C$45</c:f>
              <c:strCache>
                <c:ptCount val="1"/>
                <c:pt idx="0">
                  <c:v>Cryptocurrency</c:v>
                </c:pt>
              </c:strCache>
            </c:strRef>
          </c:tx>
          <c:spPr>
            <a:solidFill>
              <a:schemeClr val="accent2"/>
            </a:solidFill>
            <a:ln>
              <a:noFill/>
            </a:ln>
            <a:effectLst/>
          </c:spPr>
          <c:invertIfNegative val="0"/>
          <c:cat>
            <c:strRef>
              <c:f>'Pivot_Tables '!$A$46:$A$54</c:f>
              <c:strCache>
                <c:ptCount val="8"/>
                <c:pt idx="0">
                  <c:v>Australia</c:v>
                </c:pt>
                <c:pt idx="1">
                  <c:v>Canada</c:v>
                </c:pt>
                <c:pt idx="2">
                  <c:v>France</c:v>
                </c:pt>
                <c:pt idx="3">
                  <c:v>Germany</c:v>
                </c:pt>
                <c:pt idx="4">
                  <c:v>India</c:v>
                </c:pt>
                <c:pt idx="5">
                  <c:v>UK</c:v>
                </c:pt>
                <c:pt idx="6">
                  <c:v>USA</c:v>
                </c:pt>
                <c:pt idx="7">
                  <c:v>(blank)</c:v>
                </c:pt>
              </c:strCache>
            </c:strRef>
          </c:cat>
          <c:val>
            <c:numRef>
              <c:f>'Pivot_Tables '!$C$46:$C$54</c:f>
              <c:numCache>
                <c:formatCode>General</c:formatCode>
                <c:ptCount val="8"/>
                <c:pt idx="0">
                  <c:v>44</c:v>
                </c:pt>
                <c:pt idx="1">
                  <c:v>27</c:v>
                </c:pt>
                <c:pt idx="2">
                  <c:v>41</c:v>
                </c:pt>
                <c:pt idx="3">
                  <c:v>35</c:v>
                </c:pt>
                <c:pt idx="4">
                  <c:v>29</c:v>
                </c:pt>
                <c:pt idx="5">
                  <c:v>38</c:v>
                </c:pt>
                <c:pt idx="6">
                  <c:v>40</c:v>
                </c:pt>
              </c:numCache>
            </c:numRef>
          </c:val>
          <c:extLst>
            <c:ext xmlns:c16="http://schemas.microsoft.com/office/drawing/2014/chart" uri="{C3380CC4-5D6E-409C-BE32-E72D297353CC}">
              <c16:uniqueId val="{00000001-C90A-43DC-BBE8-3A3FEE68360D}"/>
            </c:ext>
          </c:extLst>
        </c:ser>
        <c:ser>
          <c:idx val="2"/>
          <c:order val="2"/>
          <c:tx>
            <c:strRef>
              <c:f>'Pivot_Tables '!$D$44:$D$45</c:f>
              <c:strCache>
                <c:ptCount val="1"/>
                <c:pt idx="0">
                  <c:v>Debit Card</c:v>
                </c:pt>
              </c:strCache>
            </c:strRef>
          </c:tx>
          <c:spPr>
            <a:solidFill>
              <a:schemeClr val="accent3"/>
            </a:solidFill>
            <a:ln>
              <a:noFill/>
            </a:ln>
            <a:effectLst/>
          </c:spPr>
          <c:invertIfNegative val="0"/>
          <c:cat>
            <c:strRef>
              <c:f>'Pivot_Tables '!$A$46:$A$54</c:f>
              <c:strCache>
                <c:ptCount val="8"/>
                <c:pt idx="0">
                  <c:v>Australia</c:v>
                </c:pt>
                <c:pt idx="1">
                  <c:v>Canada</c:v>
                </c:pt>
                <c:pt idx="2">
                  <c:v>France</c:v>
                </c:pt>
                <c:pt idx="3">
                  <c:v>Germany</c:v>
                </c:pt>
                <c:pt idx="4">
                  <c:v>India</c:v>
                </c:pt>
                <c:pt idx="5">
                  <c:v>UK</c:v>
                </c:pt>
                <c:pt idx="6">
                  <c:v>USA</c:v>
                </c:pt>
                <c:pt idx="7">
                  <c:v>(blank)</c:v>
                </c:pt>
              </c:strCache>
            </c:strRef>
          </c:cat>
          <c:val>
            <c:numRef>
              <c:f>'Pivot_Tables '!$D$46:$D$54</c:f>
              <c:numCache>
                <c:formatCode>General</c:formatCode>
                <c:ptCount val="8"/>
                <c:pt idx="0">
                  <c:v>38</c:v>
                </c:pt>
                <c:pt idx="1">
                  <c:v>36</c:v>
                </c:pt>
                <c:pt idx="2">
                  <c:v>31</c:v>
                </c:pt>
                <c:pt idx="3">
                  <c:v>43</c:v>
                </c:pt>
                <c:pt idx="4">
                  <c:v>39</c:v>
                </c:pt>
                <c:pt idx="5">
                  <c:v>31</c:v>
                </c:pt>
                <c:pt idx="6">
                  <c:v>31</c:v>
                </c:pt>
              </c:numCache>
            </c:numRef>
          </c:val>
          <c:extLst>
            <c:ext xmlns:c16="http://schemas.microsoft.com/office/drawing/2014/chart" uri="{C3380CC4-5D6E-409C-BE32-E72D297353CC}">
              <c16:uniqueId val="{00000002-C90A-43DC-BBE8-3A3FEE68360D}"/>
            </c:ext>
          </c:extLst>
        </c:ser>
        <c:ser>
          <c:idx val="3"/>
          <c:order val="3"/>
          <c:tx>
            <c:strRef>
              <c:f>'Pivot_Tables '!$E$44:$E$45</c:f>
              <c:strCache>
                <c:ptCount val="1"/>
                <c:pt idx="0">
                  <c:v>PayPal</c:v>
                </c:pt>
              </c:strCache>
            </c:strRef>
          </c:tx>
          <c:spPr>
            <a:solidFill>
              <a:schemeClr val="accent4"/>
            </a:solidFill>
            <a:ln>
              <a:noFill/>
            </a:ln>
            <a:effectLst/>
          </c:spPr>
          <c:invertIfNegative val="0"/>
          <c:cat>
            <c:strRef>
              <c:f>'Pivot_Tables '!$A$46:$A$54</c:f>
              <c:strCache>
                <c:ptCount val="8"/>
                <c:pt idx="0">
                  <c:v>Australia</c:v>
                </c:pt>
                <c:pt idx="1">
                  <c:v>Canada</c:v>
                </c:pt>
                <c:pt idx="2">
                  <c:v>France</c:v>
                </c:pt>
                <c:pt idx="3">
                  <c:v>Germany</c:v>
                </c:pt>
                <c:pt idx="4">
                  <c:v>India</c:v>
                </c:pt>
                <c:pt idx="5">
                  <c:v>UK</c:v>
                </c:pt>
                <c:pt idx="6">
                  <c:v>USA</c:v>
                </c:pt>
                <c:pt idx="7">
                  <c:v>(blank)</c:v>
                </c:pt>
              </c:strCache>
            </c:strRef>
          </c:cat>
          <c:val>
            <c:numRef>
              <c:f>'Pivot_Tables '!$E$46:$E$54</c:f>
              <c:numCache>
                <c:formatCode>General</c:formatCode>
                <c:ptCount val="8"/>
                <c:pt idx="0">
                  <c:v>36</c:v>
                </c:pt>
                <c:pt idx="1">
                  <c:v>42</c:v>
                </c:pt>
                <c:pt idx="2">
                  <c:v>40</c:v>
                </c:pt>
                <c:pt idx="3">
                  <c:v>37</c:v>
                </c:pt>
                <c:pt idx="4">
                  <c:v>23</c:v>
                </c:pt>
                <c:pt idx="5">
                  <c:v>48</c:v>
                </c:pt>
                <c:pt idx="6">
                  <c:v>43</c:v>
                </c:pt>
              </c:numCache>
            </c:numRef>
          </c:val>
          <c:extLst>
            <c:ext xmlns:c16="http://schemas.microsoft.com/office/drawing/2014/chart" uri="{C3380CC4-5D6E-409C-BE32-E72D297353CC}">
              <c16:uniqueId val="{00000003-C90A-43DC-BBE8-3A3FEE68360D}"/>
            </c:ext>
          </c:extLst>
        </c:ser>
        <c:ser>
          <c:idx val="4"/>
          <c:order val="4"/>
          <c:tx>
            <c:strRef>
              <c:f>'Pivot_Tables '!$F$44:$F$45</c:f>
              <c:strCache>
                <c:ptCount val="1"/>
                <c:pt idx="0">
                  <c:v>(blank)</c:v>
                </c:pt>
              </c:strCache>
            </c:strRef>
          </c:tx>
          <c:spPr>
            <a:solidFill>
              <a:schemeClr val="accent5"/>
            </a:solidFill>
            <a:ln>
              <a:noFill/>
            </a:ln>
            <a:effectLst/>
          </c:spPr>
          <c:invertIfNegative val="0"/>
          <c:cat>
            <c:strRef>
              <c:f>'Pivot_Tables '!$A$46:$A$54</c:f>
              <c:strCache>
                <c:ptCount val="8"/>
                <c:pt idx="0">
                  <c:v>Australia</c:v>
                </c:pt>
                <c:pt idx="1">
                  <c:v>Canada</c:v>
                </c:pt>
                <c:pt idx="2">
                  <c:v>France</c:v>
                </c:pt>
                <c:pt idx="3">
                  <c:v>Germany</c:v>
                </c:pt>
                <c:pt idx="4">
                  <c:v>India</c:v>
                </c:pt>
                <c:pt idx="5">
                  <c:v>UK</c:v>
                </c:pt>
                <c:pt idx="6">
                  <c:v>USA</c:v>
                </c:pt>
                <c:pt idx="7">
                  <c:v>(blank)</c:v>
                </c:pt>
              </c:strCache>
            </c:strRef>
          </c:cat>
          <c:val>
            <c:numRef>
              <c:f>'Pivot_Tables '!$F$46:$F$54</c:f>
              <c:numCache>
                <c:formatCode>General</c:formatCode>
                <c:ptCount val="8"/>
              </c:numCache>
            </c:numRef>
          </c:val>
          <c:extLst>
            <c:ext xmlns:c16="http://schemas.microsoft.com/office/drawing/2014/chart" uri="{C3380CC4-5D6E-409C-BE32-E72D297353CC}">
              <c16:uniqueId val="{00000006-C90A-43DC-BBE8-3A3FEE68360D}"/>
            </c:ext>
          </c:extLst>
        </c:ser>
        <c:dLbls>
          <c:showLegendKey val="0"/>
          <c:showVal val="0"/>
          <c:showCatName val="0"/>
          <c:showSerName val="0"/>
          <c:showPercent val="0"/>
          <c:showBubbleSize val="0"/>
        </c:dLbls>
        <c:gapWidth val="219"/>
        <c:overlap val="-27"/>
        <c:axId val="669069760"/>
        <c:axId val="669071680"/>
      </c:barChart>
      <c:catAx>
        <c:axId val="6690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071680"/>
        <c:crosses val="autoZero"/>
        <c:auto val="1"/>
        <c:lblAlgn val="ctr"/>
        <c:lblOffset val="100"/>
        <c:noMultiLvlLbl val="0"/>
      </c:catAx>
      <c:valAx>
        <c:axId val="66907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06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rtl="0"/>
            <a:r>
              <a:rPr lang="en-IN" sz="1800" b="0" i="0" baseline="0">
                <a:effectLst/>
              </a:rPr>
              <a:t>Loyalty Points Distribution</a:t>
            </a:r>
            <a:endParaRPr lang="en-IN" sz="1400">
              <a:effectLst/>
            </a:endParaRPr>
          </a:p>
        </cx:rich>
      </cx:tx>
    </cx:title>
    <cx:plotArea>
      <cx:plotAreaRegion>
        <cx:series layoutId="clusteredColumn" uniqueId="{48BF14E0-14DB-4AD8-A194-42B5784596C3}">
          <cx:tx>
            <cx:txData>
              <cx:f>_xlchart.v1.0</cx:f>
              <cx:v>Loyalty_Points</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IN"/>
              <a:t>Loyalty Points Distribution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580E6FD9-96F9-4AE4-ABDC-541C34CA3A9E}">
          <cx:tx>
            <cx:txData>
              <cx:f>_xlchart.v1.2</cx:f>
              <cx:v>Loyalty_Points</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horzOverflow="overflow" wrap="square" lIns="0" tIns="0" rIns="0" bIns="0" anchor="ctr" anchorCtr="1"/>
          <a:lstStyle/>
          <a:p>
            <a:pPr rtl="0"/>
            <a:r>
              <a:rPr lang="en-IN" sz="1800" b="0" i="0" baseline="0">
                <a:effectLst/>
              </a:rPr>
              <a:t>Loyalty Points Distribution</a:t>
            </a:r>
            <a:endParaRPr lang="en-IN" sz="1400">
              <a:effectLst/>
            </a:endParaRPr>
          </a:p>
        </cx:rich>
      </cx:tx>
    </cx:title>
    <cx:plotArea>
      <cx:plotAreaRegion>
        <cx:series layoutId="clusteredColumn" uniqueId="{48BF14E0-14DB-4AD8-A194-42B5784596C3}">
          <cx:tx>
            <cx:txData>
              <cx:f>_xlchart.v1.4</cx:f>
              <cx:v>Loyalty_Points</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microsoft.com/office/2014/relationships/chartEx" Target="../charts/chartEx2.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8</xdr:col>
      <xdr:colOff>640080</xdr:colOff>
      <xdr:row>5</xdr:row>
      <xdr:rowOff>148590</xdr:rowOff>
    </xdr:from>
    <xdr:to>
      <xdr:col>13</xdr:col>
      <xdr:colOff>746760</xdr:colOff>
      <xdr:row>20</xdr:row>
      <xdr:rowOff>148590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F5F95B7-DADD-F23D-FA8C-EA7E25B8A8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48600" y="10629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68580</xdr:colOff>
      <xdr:row>1</xdr:row>
      <xdr:rowOff>38100</xdr:rowOff>
    </xdr:from>
    <xdr:to>
      <xdr:col>7</xdr:col>
      <xdr:colOff>152400</xdr:colOff>
      <xdr:row>2</xdr:row>
      <xdr:rowOff>129540</xdr:rowOff>
    </xdr:to>
    <xdr:sp macro="" textlink="">
      <xdr:nvSpPr>
        <xdr:cNvPr id="2" name="Arrow: Bent-Up 1">
          <a:extLst>
            <a:ext uri="{FF2B5EF4-FFF2-40B4-BE49-F238E27FC236}">
              <a16:creationId xmlns:a16="http://schemas.microsoft.com/office/drawing/2014/main" id="{0AC4E88D-A672-E5F1-9108-30C4F374C650}"/>
            </a:ext>
          </a:extLst>
        </xdr:cNvPr>
        <xdr:cNvSpPr/>
      </xdr:nvSpPr>
      <xdr:spPr>
        <a:xfrm>
          <a:off x="5501640" y="220980"/>
          <a:ext cx="693420" cy="274320"/>
        </a:xfrm>
        <a:prstGeom prst="bentUpArrow">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236220</xdr:colOff>
      <xdr:row>0</xdr:row>
      <xdr:rowOff>64770</xdr:rowOff>
    </xdr:from>
    <xdr:to>
      <xdr:col>15</xdr:col>
      <xdr:colOff>220980</xdr:colOff>
      <xdr:row>11</xdr:row>
      <xdr:rowOff>121920</xdr:rowOff>
    </xdr:to>
    <xdr:graphicFrame macro="">
      <xdr:nvGraphicFramePr>
        <xdr:cNvPr id="3" name="Chart 2">
          <a:extLst>
            <a:ext uri="{FF2B5EF4-FFF2-40B4-BE49-F238E27FC236}">
              <a16:creationId xmlns:a16="http://schemas.microsoft.com/office/drawing/2014/main" id="{45761F9E-44AC-10F6-7F81-C61CF1D13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xdr:colOff>
      <xdr:row>5</xdr:row>
      <xdr:rowOff>49530</xdr:rowOff>
    </xdr:from>
    <xdr:to>
      <xdr:col>6</xdr:col>
      <xdr:colOff>632460</xdr:colOff>
      <xdr:row>20</xdr:row>
      <xdr:rowOff>49530</xdr:rowOff>
    </xdr:to>
    <xdr:graphicFrame macro="">
      <xdr:nvGraphicFramePr>
        <xdr:cNvPr id="4" name="Chart 3">
          <a:extLst>
            <a:ext uri="{FF2B5EF4-FFF2-40B4-BE49-F238E27FC236}">
              <a16:creationId xmlns:a16="http://schemas.microsoft.com/office/drawing/2014/main" id="{B5A9C815-A577-CEE0-6222-0E686FC75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190500</xdr:colOff>
      <xdr:row>19</xdr:row>
      <xdr:rowOff>114300</xdr:rowOff>
    </xdr:from>
    <xdr:to>
      <xdr:col>9</xdr:col>
      <xdr:colOff>487680</xdr:colOff>
      <xdr:row>29</xdr:row>
      <xdr:rowOff>83820</xdr:rowOff>
    </xdr:to>
    <xdr:graphicFrame macro="">
      <xdr:nvGraphicFramePr>
        <xdr:cNvPr id="5" name="Chart 4">
          <a:extLst>
            <a:ext uri="{FF2B5EF4-FFF2-40B4-BE49-F238E27FC236}">
              <a16:creationId xmlns:a16="http://schemas.microsoft.com/office/drawing/2014/main" id="{193545BE-B31D-3DFD-488B-CCC0383021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281940</xdr:colOff>
      <xdr:row>28</xdr:row>
      <xdr:rowOff>45720</xdr:rowOff>
    </xdr:from>
    <xdr:to>
      <xdr:col>9</xdr:col>
      <xdr:colOff>731520</xdr:colOff>
      <xdr:row>40</xdr:row>
      <xdr:rowOff>64770</xdr:rowOff>
    </xdr:to>
    <xdr:graphicFrame macro="">
      <xdr:nvGraphicFramePr>
        <xdr:cNvPr id="6" name="Chart 5">
          <a:extLst>
            <a:ext uri="{FF2B5EF4-FFF2-40B4-BE49-F238E27FC236}">
              <a16:creationId xmlns:a16="http://schemas.microsoft.com/office/drawing/2014/main" id="{9181A584-194D-2F42-922A-6DCD6F6FB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396240</xdr:colOff>
      <xdr:row>52</xdr:row>
      <xdr:rowOff>87630</xdr:rowOff>
    </xdr:from>
    <xdr:to>
      <xdr:col>6</xdr:col>
      <xdr:colOff>617220</xdr:colOff>
      <xdr:row>67</xdr:row>
      <xdr:rowOff>87630</xdr:rowOff>
    </xdr:to>
    <xdr:graphicFrame macro="">
      <xdr:nvGraphicFramePr>
        <xdr:cNvPr id="7" name="Chart 6">
          <a:extLst>
            <a:ext uri="{FF2B5EF4-FFF2-40B4-BE49-F238E27FC236}">
              <a16:creationId xmlns:a16="http://schemas.microsoft.com/office/drawing/2014/main" id="{E762BE76-92B1-EA2B-57EA-212C62FD9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160020</xdr:colOff>
      <xdr:row>8</xdr:row>
      <xdr:rowOff>53340</xdr:rowOff>
    </xdr:from>
    <xdr:to>
      <xdr:col>19</xdr:col>
      <xdr:colOff>396240</xdr:colOff>
      <xdr:row>20</xdr:row>
      <xdr:rowOff>102870</xdr:rowOff>
    </xdr:to>
    <xdr:graphicFrame macro="">
      <xdr:nvGraphicFramePr>
        <xdr:cNvPr id="8" name="Chart 7">
          <a:extLst>
            <a:ext uri="{FF2B5EF4-FFF2-40B4-BE49-F238E27FC236}">
              <a16:creationId xmlns:a16="http://schemas.microsoft.com/office/drawing/2014/main" id="{F9586361-3BB4-2B76-6C83-F12E30D50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476118</xdr:colOff>
      <xdr:row>2</xdr:row>
      <xdr:rowOff>133350</xdr:rowOff>
    </xdr:from>
    <xdr:to>
      <xdr:col>28</xdr:col>
      <xdr:colOff>476118</xdr:colOff>
      <xdr:row>17</xdr:row>
      <xdr:rowOff>133350</xdr:rowOff>
    </xdr:to>
    <xdr:graphicFrame macro="">
      <xdr:nvGraphicFramePr>
        <xdr:cNvPr id="9" name="Chart 8">
          <a:extLst>
            <a:ext uri="{FF2B5EF4-FFF2-40B4-BE49-F238E27FC236}">
              <a16:creationId xmlns:a16="http://schemas.microsoft.com/office/drawing/2014/main" id="{6D80D497-97A2-D5FF-CF79-A73547E77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209948</xdr:colOff>
      <xdr:row>18</xdr:row>
      <xdr:rowOff>142075</xdr:rowOff>
    </xdr:from>
    <xdr:to>
      <xdr:col>17</xdr:col>
      <xdr:colOff>1270368</xdr:colOff>
      <xdr:row>29</xdr:row>
      <xdr:rowOff>145884</xdr:rowOff>
    </xdr:to>
    <xdr:graphicFrame macro="">
      <xdr:nvGraphicFramePr>
        <xdr:cNvPr id="10" name="Chart 9">
          <a:extLst>
            <a:ext uri="{FF2B5EF4-FFF2-40B4-BE49-F238E27FC236}">
              <a16:creationId xmlns:a16="http://schemas.microsoft.com/office/drawing/2014/main" id="{186A7200-9550-A3CD-CF52-D3D3ADCBB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695213</xdr:colOff>
      <xdr:row>26</xdr:row>
      <xdr:rowOff>168761</xdr:rowOff>
    </xdr:from>
    <xdr:to>
      <xdr:col>20</xdr:col>
      <xdr:colOff>458993</xdr:colOff>
      <xdr:row>36</xdr:row>
      <xdr:rowOff>172571</xdr:rowOff>
    </xdr:to>
    <xdr:graphicFrame macro="">
      <xdr:nvGraphicFramePr>
        <xdr:cNvPr id="11" name="Chart 10">
          <a:extLst>
            <a:ext uri="{FF2B5EF4-FFF2-40B4-BE49-F238E27FC236}">
              <a16:creationId xmlns:a16="http://schemas.microsoft.com/office/drawing/2014/main" id="{6F9E8B78-84C3-8DDE-0911-175FB3609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91440</xdr:colOff>
      <xdr:row>29</xdr:row>
      <xdr:rowOff>144780</xdr:rowOff>
    </xdr:from>
    <xdr:to>
      <xdr:col>14</xdr:col>
      <xdr:colOff>228600</xdr:colOff>
      <xdr:row>41</xdr:row>
      <xdr:rowOff>144780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BCFDED95-2497-4A48-A284-6DA76330CF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447020" y="5448300"/>
              <a:ext cx="3611880" cy="2194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358140</xdr:colOff>
      <xdr:row>37</xdr:row>
      <xdr:rowOff>68580</xdr:rowOff>
    </xdr:from>
    <xdr:to>
      <xdr:col>18</xdr:col>
      <xdr:colOff>441960</xdr:colOff>
      <xdr:row>48</xdr:row>
      <xdr:rowOff>125730</xdr:rowOff>
    </xdr:to>
    <xdr:graphicFrame macro="">
      <xdr:nvGraphicFramePr>
        <xdr:cNvPr id="14" name="Chart 13">
          <a:extLst>
            <a:ext uri="{FF2B5EF4-FFF2-40B4-BE49-F238E27FC236}">
              <a16:creationId xmlns:a16="http://schemas.microsoft.com/office/drawing/2014/main" id="{C3715AAF-8E74-A69D-7340-1AAACCABD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236220</xdr:colOff>
      <xdr:row>43</xdr:row>
      <xdr:rowOff>34290</xdr:rowOff>
    </xdr:from>
    <xdr:to>
      <xdr:col>13</xdr:col>
      <xdr:colOff>571500</xdr:colOff>
      <xdr:row>58</xdr:row>
      <xdr:rowOff>34290</xdr:rowOff>
    </xdr:to>
    <xdr:graphicFrame macro="">
      <xdr:nvGraphicFramePr>
        <xdr:cNvPr id="15" name="Chart 14">
          <a:extLst>
            <a:ext uri="{FF2B5EF4-FFF2-40B4-BE49-F238E27FC236}">
              <a16:creationId xmlns:a16="http://schemas.microsoft.com/office/drawing/2014/main" id="{30E175CE-5641-C99B-D403-E46473919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137160</xdr:colOff>
      <xdr:row>60</xdr:row>
      <xdr:rowOff>34290</xdr:rowOff>
    </xdr:from>
    <xdr:to>
      <xdr:col>13</xdr:col>
      <xdr:colOff>472440</xdr:colOff>
      <xdr:row>75</xdr:row>
      <xdr:rowOff>34290</xdr:rowOff>
    </xdr:to>
    <xdr:graphicFrame macro="">
      <xdr:nvGraphicFramePr>
        <xdr:cNvPr id="16" name="Chart 15">
          <a:extLst>
            <a:ext uri="{FF2B5EF4-FFF2-40B4-BE49-F238E27FC236}">
              <a16:creationId xmlns:a16="http://schemas.microsoft.com/office/drawing/2014/main" id="{CE87F92D-8AF2-A428-350A-F894608E46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6</xdr:col>
      <xdr:colOff>289560</xdr:colOff>
      <xdr:row>69</xdr:row>
      <xdr:rowOff>22860</xdr:rowOff>
    </xdr:from>
    <xdr:to>
      <xdr:col>9</xdr:col>
      <xdr:colOff>356313</xdr:colOff>
      <xdr:row>82</xdr:row>
      <xdr:rowOff>112395</xdr:rowOff>
    </xdr:to>
    <mc:AlternateContent xmlns:mc="http://schemas.openxmlformats.org/markup-compatibility/2006" xmlns:a14="http://schemas.microsoft.com/office/drawing/2010/main">
      <mc:Choice Requires="a14">
        <xdr:graphicFrame macro="">
          <xdr:nvGraphicFramePr>
            <xdr:cNvPr id="17" name="Age_Group">
              <a:extLst>
                <a:ext uri="{FF2B5EF4-FFF2-40B4-BE49-F238E27FC236}">
                  <a16:creationId xmlns:a16="http://schemas.microsoft.com/office/drawing/2014/main" id="{97FD5075-F475-583C-8E6B-FE6C02E46804}"/>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556885" y="12510135"/>
              <a:ext cx="1832610" cy="2442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1181100</xdr:colOff>
      <xdr:row>68</xdr:row>
      <xdr:rowOff>121920</xdr:rowOff>
    </xdr:from>
    <xdr:to>
      <xdr:col>9</xdr:col>
      <xdr:colOff>1060516</xdr:colOff>
      <xdr:row>82</xdr:row>
      <xdr:rowOff>28575</xdr:rowOff>
    </xdr:to>
    <mc:AlternateContent xmlns:mc="http://schemas.openxmlformats.org/markup-compatibility/2006" xmlns:a14="http://schemas.microsoft.com/office/drawing/2010/main">
      <mc:Choice Requires="a14">
        <xdr:graphicFrame macro="">
          <xdr:nvGraphicFramePr>
            <xdr:cNvPr id="18" name="Country">
              <a:extLst>
                <a:ext uri="{FF2B5EF4-FFF2-40B4-BE49-F238E27FC236}">
                  <a16:creationId xmlns:a16="http://schemas.microsoft.com/office/drawing/2014/main" id="{ACB1EF6A-FF48-4D21-AF7C-9ED4CA8B0BC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200900" y="12428220"/>
              <a:ext cx="1826895" cy="2440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75886</xdr:colOff>
      <xdr:row>9</xdr:row>
      <xdr:rowOff>159392</xdr:rowOff>
    </xdr:from>
    <xdr:to>
      <xdr:col>9</xdr:col>
      <xdr:colOff>1142686</xdr:colOff>
      <xdr:row>23</xdr:row>
      <xdr:rowOff>96842</xdr:rowOff>
    </xdr:to>
    <mc:AlternateContent xmlns:mc="http://schemas.openxmlformats.org/markup-compatibility/2006">
      <mc:Choice xmlns:a14="http://schemas.microsoft.com/office/drawing/2010/main" Requires="a14">
        <xdr:graphicFrame macro="">
          <xdr:nvGraphicFramePr>
            <xdr:cNvPr id="21" name="Favorite_Genre 1">
              <a:extLst>
                <a:ext uri="{FF2B5EF4-FFF2-40B4-BE49-F238E27FC236}">
                  <a16:creationId xmlns:a16="http://schemas.microsoft.com/office/drawing/2014/main" id="{E068DDE5-4B0C-7ACA-28AC-CBD0A5B8EAF6}"/>
                </a:ext>
              </a:extLst>
            </xdr:cNvPr>
            <xdr:cNvGraphicFramePr/>
          </xdr:nvGraphicFramePr>
          <xdr:xfrm>
            <a:off x="0" y="0"/>
            <a:ext cx="0" cy="0"/>
          </xdr:xfrm>
          <a:graphic>
            <a:graphicData uri="http://schemas.microsoft.com/office/drawing/2010/slicer">
              <sle:slicer xmlns:sle="http://schemas.microsoft.com/office/drawing/2010/slicer" name="Favorite_Genre 1"/>
            </a:graphicData>
          </a:graphic>
        </xdr:graphicFrame>
      </mc:Choice>
      <mc:Fallback>
        <xdr:sp macro="" textlink="">
          <xdr:nvSpPr>
            <xdr:cNvPr id="0" name=""/>
            <xdr:cNvSpPr>
              <a:spLocks noTextEdit="1"/>
            </xdr:cNvSpPr>
          </xdr:nvSpPr>
          <xdr:spPr>
            <a:xfrm>
              <a:off x="5676979" y="178551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431198</xdr:colOff>
      <xdr:row>12</xdr:row>
      <xdr:rowOff>97410</xdr:rowOff>
    </xdr:from>
    <xdr:to>
      <xdr:col>9</xdr:col>
      <xdr:colOff>492472</xdr:colOff>
      <xdr:row>26</xdr:row>
      <xdr:rowOff>34859</xdr:rowOff>
    </xdr:to>
    <mc:AlternateContent xmlns:mc="http://schemas.openxmlformats.org/markup-compatibility/2006">
      <mc:Choice xmlns:a14="http://schemas.microsoft.com/office/drawing/2010/main" Requires="a14">
        <xdr:graphicFrame macro="">
          <xdr:nvGraphicFramePr>
            <xdr:cNvPr id="22" name="Age_Group 2">
              <a:extLst>
                <a:ext uri="{FF2B5EF4-FFF2-40B4-BE49-F238E27FC236}">
                  <a16:creationId xmlns:a16="http://schemas.microsoft.com/office/drawing/2014/main" id="{B7F47149-E6BF-2C84-1ADF-8A346EB54393}"/>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dr:sp macro="" textlink="">
          <xdr:nvSpPr>
            <xdr:cNvPr id="0" name=""/>
            <xdr:cNvSpPr>
              <a:spLocks noTextEdit="1"/>
            </xdr:cNvSpPr>
          </xdr:nvSpPr>
          <xdr:spPr>
            <a:xfrm>
              <a:off x="5026765" y="226557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259080</xdr:colOff>
      <xdr:row>16</xdr:row>
      <xdr:rowOff>7620</xdr:rowOff>
    </xdr:to>
    <xdr:graphicFrame macro="">
      <xdr:nvGraphicFramePr>
        <xdr:cNvPr id="2" name="Chart 1">
          <a:extLst>
            <a:ext uri="{FF2B5EF4-FFF2-40B4-BE49-F238E27FC236}">
              <a16:creationId xmlns:a16="http://schemas.microsoft.com/office/drawing/2014/main" id="{430E9E0E-F5DA-447B-BF50-CA91B4114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510540</xdr:colOff>
      <xdr:row>2</xdr:row>
      <xdr:rowOff>15240</xdr:rowOff>
    </xdr:from>
    <xdr:to>
      <xdr:col>14</xdr:col>
      <xdr:colOff>205740</xdr:colOff>
      <xdr:row>17</xdr:row>
      <xdr:rowOff>15240</xdr:rowOff>
    </xdr:to>
    <xdr:graphicFrame macro="">
      <xdr:nvGraphicFramePr>
        <xdr:cNvPr id="3" name="Chart 2">
          <a:extLst>
            <a:ext uri="{FF2B5EF4-FFF2-40B4-BE49-F238E27FC236}">
              <a16:creationId xmlns:a16="http://schemas.microsoft.com/office/drawing/2014/main" id="{0B6908AA-6385-45B2-AD06-C0408E7BF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487680</xdr:colOff>
      <xdr:row>2</xdr:row>
      <xdr:rowOff>83820</xdr:rowOff>
    </xdr:from>
    <xdr:to>
      <xdr:col>19</xdr:col>
      <xdr:colOff>297180</xdr:colOff>
      <xdr:row>16</xdr:row>
      <xdr:rowOff>175260</xdr:rowOff>
    </xdr:to>
    <xdr:graphicFrame macro="">
      <xdr:nvGraphicFramePr>
        <xdr:cNvPr id="4" name="Chart 3">
          <a:extLst>
            <a:ext uri="{FF2B5EF4-FFF2-40B4-BE49-F238E27FC236}">
              <a16:creationId xmlns:a16="http://schemas.microsoft.com/office/drawing/2014/main" id="{3923293E-20F6-4054-A112-D9A5656E6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586740</xdr:colOff>
      <xdr:row>2</xdr:row>
      <xdr:rowOff>23707</xdr:rowOff>
    </xdr:from>
    <xdr:to>
      <xdr:col>27</xdr:col>
      <xdr:colOff>281940</xdr:colOff>
      <xdr:row>17</xdr:row>
      <xdr:rowOff>23707</xdr:rowOff>
    </xdr:to>
    <xdr:graphicFrame macro="">
      <xdr:nvGraphicFramePr>
        <xdr:cNvPr id="5" name="Chart 4">
          <a:extLst>
            <a:ext uri="{FF2B5EF4-FFF2-40B4-BE49-F238E27FC236}">
              <a16:creationId xmlns:a16="http://schemas.microsoft.com/office/drawing/2014/main" id="{6D558ED3-11B2-4139-987B-8A8F225EE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550333</xdr:colOff>
      <xdr:row>18</xdr:row>
      <xdr:rowOff>33867</xdr:rowOff>
    </xdr:from>
    <xdr:to>
      <xdr:col>10</xdr:col>
      <xdr:colOff>323638</xdr:colOff>
      <xdr:row>27</xdr:row>
      <xdr:rowOff>136737</xdr:rowOff>
    </xdr:to>
    <xdr:graphicFrame macro="">
      <xdr:nvGraphicFramePr>
        <xdr:cNvPr id="6" name="Chart 5">
          <a:extLst>
            <a:ext uri="{FF2B5EF4-FFF2-40B4-BE49-F238E27FC236}">
              <a16:creationId xmlns:a16="http://schemas.microsoft.com/office/drawing/2014/main" id="{4A05463F-458A-4907-89A9-AA5F708E9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482600</xdr:colOff>
      <xdr:row>18</xdr:row>
      <xdr:rowOff>42333</xdr:rowOff>
    </xdr:from>
    <xdr:to>
      <xdr:col>15</xdr:col>
      <xdr:colOff>516467</xdr:colOff>
      <xdr:row>28</xdr:row>
      <xdr:rowOff>106468</xdr:rowOff>
    </xdr:to>
    <xdr:graphicFrame macro="">
      <xdr:nvGraphicFramePr>
        <xdr:cNvPr id="7" name="Chart 6">
          <a:extLst>
            <a:ext uri="{FF2B5EF4-FFF2-40B4-BE49-F238E27FC236}">
              <a16:creationId xmlns:a16="http://schemas.microsoft.com/office/drawing/2014/main" id="{1EEFC7B1-399A-4A0A-9B7F-7B2B6B614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186268</xdr:colOff>
      <xdr:row>17</xdr:row>
      <xdr:rowOff>152399</xdr:rowOff>
    </xdr:from>
    <xdr:to>
      <xdr:col>22</xdr:col>
      <xdr:colOff>194734</xdr:colOff>
      <xdr:row>29</xdr:row>
      <xdr:rowOff>23282</xdr:rowOff>
    </xdr:to>
    <xdr:graphicFrame macro="">
      <xdr:nvGraphicFramePr>
        <xdr:cNvPr id="8" name="Chart 7">
          <a:extLst>
            <a:ext uri="{FF2B5EF4-FFF2-40B4-BE49-F238E27FC236}">
              <a16:creationId xmlns:a16="http://schemas.microsoft.com/office/drawing/2014/main" id="{D444F581-ADC4-4D4A-B96B-671B3E7AC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30</xdr:col>
      <xdr:colOff>428897</xdr:colOff>
      <xdr:row>2</xdr:row>
      <xdr:rowOff>26005</xdr:rowOff>
    </xdr:from>
    <xdr:to>
      <xdr:col>33</xdr:col>
      <xdr:colOff>428897</xdr:colOff>
      <xdr:row>15</xdr:row>
      <xdr:rowOff>71514</xdr:rowOff>
    </xdr:to>
    <mc:AlternateContent xmlns:mc="http://schemas.openxmlformats.org/markup-compatibility/2006" xmlns:a14="http://schemas.microsoft.com/office/drawing/2010/main">
      <mc:Choice Requires="a14">
        <xdr:graphicFrame macro="">
          <xdr:nvGraphicFramePr>
            <xdr:cNvPr id="10" name="Favorite_Genre">
              <a:extLst>
                <a:ext uri="{FF2B5EF4-FFF2-40B4-BE49-F238E27FC236}">
                  <a16:creationId xmlns:a16="http://schemas.microsoft.com/office/drawing/2014/main" id="{1F31A514-416C-32BE-6E51-2B2C8127A55D}"/>
                </a:ext>
              </a:extLst>
            </xdr:cNvPr>
            <xdr:cNvGraphicFramePr/>
          </xdr:nvGraphicFramePr>
          <xdr:xfrm>
            <a:off x="0" y="0"/>
            <a:ext cx="0" cy="0"/>
          </xdr:xfrm>
          <a:graphic>
            <a:graphicData uri="http://schemas.microsoft.com/office/drawing/2010/slicer">
              <sle:slicer xmlns:sle="http://schemas.microsoft.com/office/drawing/2010/slicer" name="Favorite_Genre"/>
            </a:graphicData>
          </a:graphic>
        </xdr:graphicFrame>
      </mc:Choice>
      <mc:Fallback xmlns="">
        <xdr:sp macro="" textlink="">
          <xdr:nvSpPr>
            <xdr:cNvPr id="0" name=""/>
            <xdr:cNvSpPr>
              <a:spLocks noTextEdit="1"/>
            </xdr:cNvSpPr>
          </xdr:nvSpPr>
          <xdr:spPr>
            <a:xfrm>
              <a:off x="18716897" y="568930"/>
              <a:ext cx="1828800" cy="2398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449459</xdr:colOff>
      <xdr:row>16</xdr:row>
      <xdr:rowOff>108253</xdr:rowOff>
    </xdr:from>
    <xdr:to>
      <xdr:col>33</xdr:col>
      <xdr:colOff>449459</xdr:colOff>
      <xdr:row>29</xdr:row>
      <xdr:rowOff>152552</xdr:rowOff>
    </xdr:to>
    <mc:AlternateContent xmlns:mc="http://schemas.openxmlformats.org/markup-compatibility/2006" xmlns:a14="http://schemas.microsoft.com/office/drawing/2010/main">
      <mc:Choice Requires="a14">
        <xdr:graphicFrame macro="">
          <xdr:nvGraphicFramePr>
            <xdr:cNvPr id="11" name="Age_Group 1">
              <a:extLst>
                <a:ext uri="{FF2B5EF4-FFF2-40B4-BE49-F238E27FC236}">
                  <a16:creationId xmlns:a16="http://schemas.microsoft.com/office/drawing/2014/main" id="{688981A3-6037-BA4D-FA20-0B59F9304FE6}"/>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8737459" y="3184828"/>
              <a:ext cx="1828800" cy="2396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472439</xdr:colOff>
      <xdr:row>16</xdr:row>
      <xdr:rowOff>74386</xdr:rowOff>
    </xdr:from>
    <xdr:to>
      <xdr:col>30</xdr:col>
      <xdr:colOff>472439</xdr:colOff>
      <xdr:row>29</xdr:row>
      <xdr:rowOff>119894</xdr:rowOff>
    </xdr:to>
    <mc:AlternateContent xmlns:mc="http://schemas.openxmlformats.org/markup-compatibility/2006" xmlns:a14="http://schemas.microsoft.com/office/drawing/2010/main">
      <mc:Choice Requires="a14">
        <xdr:graphicFrame macro="">
          <xdr:nvGraphicFramePr>
            <xdr:cNvPr id="12" name="Membership_Status">
              <a:extLst>
                <a:ext uri="{FF2B5EF4-FFF2-40B4-BE49-F238E27FC236}">
                  <a16:creationId xmlns:a16="http://schemas.microsoft.com/office/drawing/2014/main" id="{7BE263D5-10AA-A5AA-C13C-C406AA7810D6}"/>
                </a:ext>
              </a:extLst>
            </xdr:cNvPr>
            <xdr:cNvGraphicFramePr/>
          </xdr:nvGraphicFramePr>
          <xdr:xfrm>
            <a:off x="0" y="0"/>
            <a:ext cx="0" cy="0"/>
          </xdr:xfrm>
          <a:graphic>
            <a:graphicData uri="http://schemas.microsoft.com/office/drawing/2010/slicer">
              <sle:slicer xmlns:sle="http://schemas.microsoft.com/office/drawing/2010/slicer" name="Membership_Status"/>
            </a:graphicData>
          </a:graphic>
        </xdr:graphicFrame>
      </mc:Choice>
      <mc:Fallback xmlns="">
        <xdr:sp macro="" textlink="">
          <xdr:nvSpPr>
            <xdr:cNvPr id="0" name=""/>
            <xdr:cNvSpPr>
              <a:spLocks noTextEdit="1"/>
            </xdr:cNvSpPr>
          </xdr:nvSpPr>
          <xdr:spPr>
            <a:xfrm>
              <a:off x="16931639" y="3150961"/>
              <a:ext cx="1828800" cy="2398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76200</xdr:colOff>
      <xdr:row>29</xdr:row>
      <xdr:rowOff>110066</xdr:rowOff>
    </xdr:from>
    <xdr:to>
      <xdr:col>17</xdr:col>
      <xdr:colOff>287655</xdr:colOff>
      <xdr:row>44</xdr:row>
      <xdr:rowOff>30691</xdr:rowOff>
    </xdr:to>
    <xdr:graphicFrame macro="">
      <xdr:nvGraphicFramePr>
        <xdr:cNvPr id="13" name="Chart 12">
          <a:extLst>
            <a:ext uri="{FF2B5EF4-FFF2-40B4-BE49-F238E27FC236}">
              <a16:creationId xmlns:a16="http://schemas.microsoft.com/office/drawing/2014/main" id="{6CBDEB4C-27E8-44E4-B5F2-0509F867B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27</xdr:col>
      <xdr:colOff>371203</xdr:colOff>
      <xdr:row>2</xdr:row>
      <xdr:rowOff>50076</xdr:rowOff>
    </xdr:from>
    <xdr:to>
      <xdr:col>30</xdr:col>
      <xdr:colOff>371203</xdr:colOff>
      <xdr:row>15</xdr:row>
      <xdr:rowOff>111308</xdr:rowOff>
    </xdr:to>
    <mc:AlternateContent xmlns:mc="http://schemas.openxmlformats.org/markup-compatibility/2006" xmlns:a14="http://schemas.microsoft.com/office/drawing/2010/main">
      <mc:Choice Requires="a14">
        <xdr:graphicFrame macro="[0]!Country1_Click">
          <xdr:nvGraphicFramePr>
            <xdr:cNvPr id="14" name="Country 1">
              <a:extLst>
                <a:ext uri="{FF2B5EF4-FFF2-40B4-BE49-F238E27FC236}">
                  <a16:creationId xmlns:a16="http://schemas.microsoft.com/office/drawing/2014/main" id="{46BC458C-6D32-4851-B782-51E8B32CC64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830403" y="593001"/>
              <a:ext cx="1828800" cy="2413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276225</xdr:colOff>
      <xdr:row>18</xdr:row>
      <xdr:rowOff>47624</xdr:rowOff>
    </xdr:from>
    <xdr:to>
      <xdr:col>27</xdr:col>
      <xdr:colOff>171450</xdr:colOff>
      <xdr:row>30</xdr:row>
      <xdr:rowOff>57149</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6143AA9B-2242-4BA9-872F-CCDC48C8AA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3687425" y="3522344"/>
              <a:ext cx="2943225" cy="22879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3.44435046296" createdVersion="8" refreshedVersion="8" minRefreshableVersion="3" recordCount="1001" xr:uid="{EBA81D47-7C64-4677-BC30-446FB5B39C0D}">
  <cacheSource type="worksheet">
    <worksheetSource ref="B1:D1048576" sheet="Calculated_Fields"/>
  </cacheSource>
  <cacheFields count="6">
    <cacheField name="Revenue_Category" numFmtId="0">
      <sharedItems containsBlank="1" count="3">
        <s v="Basic"/>
        <s v="Premium"/>
        <m/>
      </sharedItems>
    </cacheField>
    <cacheField name="Monthly_Price" numFmtId="0">
      <sharedItems containsString="0" containsBlank="1" containsNumber="1" minValue="7.99" maxValue="15.99"/>
    </cacheField>
    <cacheField name="User_ID" numFmtId="0">
      <sharedItems containsString="0" containsBlank="1" containsNumber="1" containsInteger="1" minValue="1003" maxValue="9996"/>
    </cacheField>
    <cacheField name="Average Revenue Per User" numFmtId="0" formula="Monthly_Price/User_ID" databaseField="0"/>
    <cacheField name="Field1" numFmtId="0" formula=" 0" databaseField="0"/>
    <cacheField name="Field2" numFmtId="0" formula=" 0"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3.453401736107" createdVersion="8" refreshedVersion="8" minRefreshableVersion="3" recordCount="1001" xr:uid="{475CB387-5594-4EA2-BC5C-C354D58C3CC1}">
  <cacheSource type="worksheet">
    <worksheetSource ref="E1:G1048576" sheet="Calculated_Fields"/>
  </cacheSource>
  <cacheFields count="3">
    <cacheField name="Favorite_Genre" numFmtId="0">
      <sharedItems containsBlank="1" count="8">
        <s v="Action"/>
        <s v="Drama"/>
        <s v="Sci-Fi"/>
        <s v="Documentary"/>
        <s v="Horror"/>
        <s v="Comedy"/>
        <s v="Romance"/>
        <m/>
      </sharedItems>
    </cacheField>
    <cacheField name="Watch_Hours" numFmtId="0">
      <sharedItems containsString="0" containsBlank="1" containsNumber="1" containsInteger="1" minValue="10" maxValue="500"/>
    </cacheField>
    <cacheField name="Age_Group" numFmtId="0">
      <sharedItems containsBlank="1" count="6">
        <s v="35-44"/>
        <s v="25-34"/>
        <s v="18-24"/>
        <s v="45-54"/>
        <s v="55+"/>
        <m/>
      </sharedItems>
    </cacheField>
  </cacheFields>
  <extLst>
    <ext xmlns:x14="http://schemas.microsoft.com/office/spreadsheetml/2009/9/main" uri="{725AE2AE-9491-48be-B2B4-4EB974FC3084}">
      <x14:pivotCacheDefinition pivotCacheId="206218575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3.523201504628" createdVersion="8" refreshedVersion="8" minRefreshableVersion="3" recordCount="1001" xr:uid="{8448573E-4832-4AC6-9D29-65EA812218F0}">
  <cacheSource type="worksheet">
    <worksheetSource ref="D1:F1048576" sheet="Calculated_Fields"/>
  </cacheSource>
  <cacheFields count="3">
    <cacheField name="User_ID" numFmtId="0">
      <sharedItems containsString="0" containsBlank="1" containsNumber="1" containsInteger="1" minValue="1003" maxValue="9996"/>
    </cacheField>
    <cacheField name="Favorite_Genre" numFmtId="0">
      <sharedItems containsBlank="1" count="8">
        <s v="Action"/>
        <s v="Drama"/>
        <s v="Sci-Fi"/>
        <s v="Documentary"/>
        <s v="Horror"/>
        <s v="Comedy"/>
        <s v="Romance"/>
        <m/>
      </sharedItems>
    </cacheField>
    <cacheField name="Age_Group" numFmtId="0">
      <sharedItems containsBlank="1" count="6">
        <s v="35-44"/>
        <s v="25-34"/>
        <s v="18-24"/>
        <s v="45-54"/>
        <s v="55+"/>
        <m/>
      </sharedItems>
    </cacheField>
  </cacheFields>
  <extLst>
    <ext xmlns:x14="http://schemas.microsoft.com/office/spreadsheetml/2009/9/main" uri="{725AE2AE-9491-48be-B2B4-4EB974FC3084}">
      <x14:pivotCacheDefinition pivotCacheId="58755249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3.527316203705" createdVersion="8" refreshedVersion="8" minRefreshableVersion="3" recordCount="1001" xr:uid="{EF6FDCBB-4F00-4574-BCB7-C07EA5E17F3B}">
  <cacheSource type="worksheet">
    <worksheetSource ref="H1:J1048576" sheet="Calculated_Fields"/>
  </cacheSource>
  <cacheFields count="3">
    <cacheField name="Membership_Status" numFmtId="0">
      <sharedItems containsBlank="1" count="2">
        <s v="Active"/>
        <m/>
      </sharedItems>
    </cacheField>
    <cacheField name="Loyalty_Points" numFmtId="0">
      <sharedItems containsString="0" containsBlank="1" containsNumber="1" containsInteger="1" minValue="3" maxValue="4990"/>
    </cacheField>
    <cacheField name="User_ID" numFmtId="0">
      <sharedItems containsString="0" containsBlank="1" containsNumber="1" containsInteger="1" minValue="1003" maxValue="9996"/>
    </cacheField>
  </cacheFields>
  <extLst>
    <ext xmlns:x14="http://schemas.microsoft.com/office/spreadsheetml/2009/9/main" uri="{725AE2AE-9491-48be-B2B4-4EB974FC3084}">
      <x14:pivotCacheDefinition pivotCacheId="145223008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3.528912152775" createdVersion="8" refreshedVersion="8" minRefreshableVersion="3" recordCount="1001" xr:uid="{974C1E62-3DCC-4F8E-B03E-BC19224B02F3}">
  <cacheSource type="worksheet">
    <worksheetSource ref="J1:L1048576" sheet="Calculated_Fields"/>
  </cacheSource>
  <cacheFields count="3">
    <cacheField name="User_ID" numFmtId="0">
      <sharedItems containsString="0" containsBlank="1" containsNumber="1" containsInteger="1" minValue="1003" maxValue="9996"/>
    </cacheField>
    <cacheField name="Country" numFmtId="0">
      <sharedItems containsBlank="1" count="8">
        <s v="USA"/>
        <s v="Canada"/>
        <s v="UK"/>
        <s v="India"/>
        <s v="Australia"/>
        <s v="Germany"/>
        <s v="France"/>
        <m/>
      </sharedItems>
    </cacheField>
    <cacheField name="Payment_Method" numFmtId="0">
      <sharedItems containsBlank="1" count="5">
        <s v="PayPal"/>
        <s v="Debit Card"/>
        <s v="Credit Card"/>
        <s v="Cryptocurrency"/>
        <m/>
      </sharedItems>
    </cacheField>
  </cacheFields>
  <extLst>
    <ext xmlns:x14="http://schemas.microsoft.com/office/spreadsheetml/2009/9/main" uri="{725AE2AE-9491-48be-B2B4-4EB974FC3084}">
      <x14:pivotCacheDefinition pivotCacheId="28953422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3.624200578706" createdVersion="8" refreshedVersion="8" minRefreshableVersion="3" recordCount="1001" xr:uid="{906BB6D1-608F-4E4F-BA3B-3E533227CE69}">
  <cacheSource type="worksheet">
    <worksheetSource ref="M1:O1048576" sheet="Calculated_Fields"/>
  </cacheSource>
  <cacheFields count="3">
    <cacheField name="Total_Movies_Watched" numFmtId="0">
      <sharedItems containsString="0" containsBlank="1" containsNumber="1" containsInteger="1" minValue="12" maxValue="1000"/>
    </cacheField>
    <cacheField name="Total_Series_Watched" numFmtId="0">
      <sharedItems containsString="0" containsBlank="1" containsNumber="1" containsInteger="1" minValue="1" maxValue="200"/>
    </cacheField>
    <cacheField name="Age_Group" numFmtId="0">
      <sharedItems containsBlank="1" count="6">
        <s v="35-44"/>
        <s v="25-34"/>
        <s v="18-24"/>
        <s v="45-54"/>
        <s v="55+"/>
        <m/>
      </sharedItems>
    </cacheField>
  </cacheFields>
  <extLst>
    <ext xmlns:x14="http://schemas.microsoft.com/office/spreadsheetml/2009/9/main" uri="{725AE2AE-9491-48be-B2B4-4EB974FC3084}">
      <x14:pivotCacheDefinition pivotCacheId="161172520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3.626056365742" createdVersion="8" refreshedVersion="8" minRefreshableVersion="3" recordCount="1001" xr:uid="{86755553-D7E1-4014-A4FD-F9F1DA5CF45A}">
  <cacheSource type="worksheet">
    <worksheetSource ref="P1:P1048576" sheet="Calculated_Fields"/>
  </cacheSource>
  <cacheFields count="2">
    <cacheField name="Recommended_Content_Count" numFmtId="0">
      <sharedItems containsString="0" containsBlank="1" containsNumber="1" containsInteger="1" minValue="0" maxValue="100" count="102">
        <n v="84"/>
        <n v="69"/>
        <n v="56"/>
        <n v="47"/>
        <n v="39"/>
        <n v="71"/>
        <n v="1"/>
        <n v="32"/>
        <n v="26"/>
        <n v="90"/>
        <n v="57"/>
        <n v="38"/>
        <n v="62"/>
        <n v="0"/>
        <n v="25"/>
        <n v="65"/>
        <n v="50"/>
        <n v="11"/>
        <n v="78"/>
        <n v="42"/>
        <n v="3"/>
        <n v="27"/>
        <n v="60"/>
        <n v="91"/>
        <n v="76"/>
        <n v="98"/>
        <n v="85"/>
        <n v="58"/>
        <n v="97"/>
        <n v="66"/>
        <n v="45"/>
        <n v="14"/>
        <n v="12"/>
        <n v="99"/>
        <n v="7"/>
        <n v="72"/>
        <n v="33"/>
        <n v="79"/>
        <n v="55"/>
        <n v="8"/>
        <n v="63"/>
        <n v="96"/>
        <n v="40"/>
        <n v="94"/>
        <n v="13"/>
        <n v="82"/>
        <n v="22"/>
        <n v="61"/>
        <n v="15"/>
        <n v="95"/>
        <n v="24"/>
        <n v="88"/>
        <n v="44"/>
        <n v="68"/>
        <n v="80"/>
        <n v="30"/>
        <n v="53"/>
        <n v="18"/>
        <n v="36"/>
        <n v="73"/>
        <n v="48"/>
        <n v="64"/>
        <n v="87"/>
        <n v="46"/>
        <n v="52"/>
        <n v="6"/>
        <n v="20"/>
        <n v="93"/>
        <n v="21"/>
        <n v="4"/>
        <n v="77"/>
        <n v="17"/>
        <n v="28"/>
        <n v="23"/>
        <n v="81"/>
        <n v="83"/>
        <n v="59"/>
        <n v="49"/>
        <n v="5"/>
        <n v="67"/>
        <n v="43"/>
        <n v="41"/>
        <n v="51"/>
        <n v="89"/>
        <n v="54"/>
        <n v="70"/>
        <n v="37"/>
        <n v="9"/>
        <n v="16"/>
        <n v="86"/>
        <n v="100"/>
        <n v="34"/>
        <n v="92"/>
        <n v="35"/>
        <n v="29"/>
        <n v="10"/>
        <n v="19"/>
        <n v="31"/>
        <n v="74"/>
        <n v="2"/>
        <n v="75"/>
        <m/>
      </sharedItems>
    </cacheField>
    <cacheField name="Watch_Hours" numFmtId="0">
      <sharedItems containsString="0" containsBlank="1" containsNumber="1" containsInteger="1" minValue="10" maxValue="50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3.628845486113" createdVersion="8" refreshedVersion="8" minRefreshableVersion="3" recordCount="1001" xr:uid="{5FAA7A24-4284-4AB9-A352-49502F77D2F9}">
  <cacheSource type="worksheet">
    <worksheetSource ref="P1:Q1048576" sheet="Calculated_Fields"/>
  </cacheSource>
  <cacheFields count="3">
    <cacheField name="User_ID" numFmtId="0">
      <sharedItems containsString="0" containsBlank="1" containsNumber="1" containsInteger="1" minValue="1003" maxValue="9996"/>
    </cacheField>
    <cacheField name="First_Device_Used" numFmtId="0">
      <sharedItems containsBlank="1" count="6">
        <s v="Smartphone"/>
        <s v="Desktop"/>
        <s v="Smart TV"/>
        <s v="Laptop"/>
        <s v="Tablet"/>
        <m/>
      </sharedItems>
    </cacheField>
    <cacheField name="Percentage" numFmtId="0" formula="User_ID /1000" databaseField="0"/>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3.974396412035" createdVersion="8" refreshedVersion="8" minRefreshableVersion="3" recordCount="1001" xr:uid="{CE181D76-5D7F-4E99-AF8C-0F012DFC8FC5}">
  <cacheSource type="worksheet">
    <worksheetSource ref="P1:R1048576" sheet="Calculated_Fields"/>
  </cacheSource>
  <cacheFields count="3">
    <cacheField name="User_ID" numFmtId="0">
      <sharedItems containsString="0" containsBlank="1" containsNumber="1" containsInteger="1" minValue="1003" maxValue="9996"/>
    </cacheField>
    <cacheField name="Has_Downloaded_Content" numFmtId="0">
      <sharedItems containsBlank="1" count="3">
        <b v="0"/>
        <b v="1"/>
        <m/>
      </sharedItems>
    </cacheField>
    <cacheField name="Membership_Status" numFmtId="0">
      <sharedItems containsBlank="1" count="2">
        <s v="Active"/>
        <m/>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63.861849537039" backgroundQuery="1" createdVersion="8" refreshedVersion="8" minRefreshableVersion="3" recordCount="0" supportSubquery="1" supportAdvancedDrill="1" xr:uid="{7E1984A8-83CC-4BB1-8FE1-79234A86F164}">
  <cacheSource type="external" connectionId="1"/>
  <cacheFields count="2">
    <cacheField name="[Range].[Primary_Watch_Time].[Primary_Watch_Time]" caption="Primary_Watch_Time" numFmtId="0" hierarchy="1" level="1">
      <sharedItems count="4">
        <s v="Afternoon"/>
        <s v="Evening"/>
        <s v="Late Night"/>
        <s v="Morning"/>
      </sharedItems>
    </cacheField>
    <cacheField name="[Measures].[Average of Watch_Hours]" caption="Average of Watch_Hours" numFmtId="0" hierarchy="9" level="32767"/>
  </cacheFields>
  <cacheHierarchies count="13">
    <cacheHierarchy uniqueName="[Range].[Watch_Hours]" caption="Watch_Hours" attribute="1" defaultMemberUniqueName="[Range].[Watch_Hours].[All]" allUniqueName="[Range].[Watch_Hours].[All]" dimensionUniqueName="[Range]" displayFolder="" count="0" memberValueDatatype="20" unbalanced="0"/>
    <cacheHierarchy uniqueName="[Range].[Primary_Watch_Time]" caption="Primary_Watch_Time" attribute="1" defaultMemberUniqueName="[Range].[Primary_Watch_Time].[All]" allUniqueName="[Range].[Primary_Watch_Time].[All]" dimensionUniqueName="[Range]" displayFolder="" count="2" memberValueDatatype="130" unbalanced="0">
      <fieldsUsage count="2">
        <fieldUsage x="-1"/>
        <fieldUsage x="0"/>
      </fieldsUsage>
    </cacheHierarchy>
    <cacheHierarchy uniqueName="[Range 1].[User_ID]" caption="User_ID" attribute="1" defaultMemberUniqueName="[Range 1].[User_ID].[All]" allUniqueName="[Range 1].[User_ID].[All]" dimensionUniqueName="[Range 1]" displayFolder="" count="0" memberValueDatatype="20" unbalanced="0"/>
    <cacheHierarchy uniqueName="[Range 1].[Country]" caption="Country" attribute="1" defaultMemberUniqueName="[Range 1].[Country].[All]" allUniqueName="[Range 1].[Country].[All]" dimensionUniqueName="[Range 1]" displayFolder="" count="0" memberValueDatatype="130" unbalanced="0"/>
    <cacheHierarchy uniqueName="[Range 1].[Monthly_Price]" caption="Monthly_Price" attribute="1" defaultMemberUniqueName="[Range 1].[Monthly_Price].[All]" allUniqueName="[Range 1].[Monthly_Price].[All]" dimensionUniqueName="[Range 1]"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Watch_Hours]" caption="Sum of Watch_Hours" measure="1" displayFolder="" measureGroup="Range" count="0" hidden="1">
      <extLst>
        <ext xmlns:x15="http://schemas.microsoft.com/office/spreadsheetml/2010/11/main" uri="{B97F6D7D-B522-45F9-BDA1-12C45D357490}">
          <x15:cacheHierarchy aggregatedColumn="0"/>
        </ext>
      </extLst>
    </cacheHierarchy>
    <cacheHierarchy uniqueName="[Measures].[Average of Watch_Hours]" caption="Average of Watch_Hours"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User_ID]" caption="Sum of User_ID" measure="1" displayFolder="" measureGroup="Range 1" count="0" hidden="1">
      <extLst>
        <ext xmlns:x15="http://schemas.microsoft.com/office/spreadsheetml/2010/11/main" uri="{B97F6D7D-B522-45F9-BDA1-12C45D357490}">
          <x15:cacheHierarchy aggregatedColumn="2"/>
        </ext>
      </extLst>
    </cacheHierarchy>
    <cacheHierarchy uniqueName="[Measures].[Count of User_ID]" caption="Count of User_ID" measure="1" displayFolder="" measureGroup="Range 1" count="0" hidden="1">
      <extLst>
        <ext xmlns:x15="http://schemas.microsoft.com/office/spreadsheetml/2010/11/main" uri="{B97F6D7D-B522-45F9-BDA1-12C45D357490}">
          <x15:cacheHierarchy aggregatedColumn="2"/>
        </ext>
      </extLst>
    </cacheHierarchy>
    <cacheHierarchy uniqueName="[Measures].[Sum of Monthly_Price]" caption="Sum of Monthly_Price" measure="1" displayFolder="" measureGroup="Range 1"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63.977531828707" backgroundQuery="1" createdVersion="8" refreshedVersion="8" minRefreshableVersion="3" recordCount="0" supportSubquery="1" supportAdvancedDrill="1" xr:uid="{062720B0-04A6-4404-BCBB-21529A61E4B3}">
  <cacheSource type="external" connectionId="1"/>
  <cacheFields count="3">
    <cacheField name="[Measures].[Count of User_ID]" caption="Count of User_ID" numFmtId="0" hierarchy="11" level="32767"/>
    <cacheField name="[Range 1].[Country].[Country]" caption="Country" numFmtId="0" hierarchy="3" level="1">
      <sharedItems count="7">
        <s v="Australia"/>
        <s v="Canada"/>
        <s v="France"/>
        <s v="Germany"/>
        <s v="India"/>
        <s v="UK"/>
        <s v="USA"/>
      </sharedItems>
    </cacheField>
    <cacheField name="[Measures].[Sum of Monthly_Price]" caption="Sum of Monthly_Price" numFmtId="0" hierarchy="12" level="32767"/>
  </cacheFields>
  <cacheHierarchies count="13">
    <cacheHierarchy uniqueName="[Range].[Watch_Hours]" caption="Watch_Hours" attribute="1" defaultMemberUniqueName="[Range].[Watch_Hours].[All]" allUniqueName="[Range].[Watch_Hours].[All]" dimensionUniqueName="[Range]" displayFolder="" count="0" memberValueDatatype="20" unbalanced="0"/>
    <cacheHierarchy uniqueName="[Range].[Primary_Watch_Time]" caption="Primary_Watch_Time" attribute="1" defaultMemberUniqueName="[Range].[Primary_Watch_Time].[All]" allUniqueName="[Range].[Primary_Watch_Time].[All]" dimensionUniqueName="[Range]" displayFolder="" count="0" memberValueDatatype="130" unbalanced="0"/>
    <cacheHierarchy uniqueName="[Range 1].[User_ID]" caption="User_ID" attribute="1" defaultMemberUniqueName="[Range 1].[User_ID].[All]" allUniqueName="[Range 1].[User_ID].[All]" dimensionUniqueName="[Range 1]" displayFolder="" count="0" memberValueDatatype="20" unbalanced="0"/>
    <cacheHierarchy uniqueName="[Range 1].[Country]" caption="Country" attribute="1" defaultMemberUniqueName="[Range 1].[Country].[All]" allUniqueName="[Range 1].[Country].[All]" dimensionUniqueName="[Range 1]" displayFolder="" count="2" memberValueDatatype="130" unbalanced="0">
      <fieldsUsage count="2">
        <fieldUsage x="-1"/>
        <fieldUsage x="1"/>
      </fieldsUsage>
    </cacheHierarchy>
    <cacheHierarchy uniqueName="[Range 1].[Monthly_Price]" caption="Monthly_Price" attribute="1" defaultMemberUniqueName="[Range 1].[Monthly_Price].[All]" allUniqueName="[Range 1].[Monthly_Price].[All]" dimensionUniqueName="[Range 1]"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Watch_Hours]" caption="Sum of Watch_Hours" measure="1" displayFolder="" measureGroup="Range" count="0" hidden="1">
      <extLst>
        <ext xmlns:x15="http://schemas.microsoft.com/office/spreadsheetml/2010/11/main" uri="{B97F6D7D-B522-45F9-BDA1-12C45D357490}">
          <x15:cacheHierarchy aggregatedColumn="0"/>
        </ext>
      </extLst>
    </cacheHierarchy>
    <cacheHierarchy uniqueName="[Measures].[Average of Watch_Hours]" caption="Average of Watch_Hours" measure="1" displayFolder="" measureGroup="Range" count="0" hidden="1">
      <extLst>
        <ext xmlns:x15="http://schemas.microsoft.com/office/spreadsheetml/2010/11/main" uri="{B97F6D7D-B522-45F9-BDA1-12C45D357490}">
          <x15:cacheHierarchy aggregatedColumn="0"/>
        </ext>
      </extLst>
    </cacheHierarchy>
    <cacheHierarchy uniqueName="[Measures].[Sum of User_ID]" caption="Sum of User_ID" measure="1" displayFolder="" measureGroup="Range 1" count="0" hidden="1">
      <extLst>
        <ext xmlns:x15="http://schemas.microsoft.com/office/spreadsheetml/2010/11/main" uri="{B97F6D7D-B522-45F9-BDA1-12C45D357490}">
          <x15:cacheHierarchy aggregatedColumn="2"/>
        </ext>
      </extLst>
    </cacheHierarchy>
    <cacheHierarchy uniqueName="[Measures].[Count of User_ID]" caption="Count of User_ID" measure="1" displayFolder="" measureGroup="Range 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Monthly_Price]" caption="Sum of Monthly_Price" measure="1" displayFolder="" measureGroup="Range 1"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3.978856134258" createdVersion="8" refreshedVersion="8" minRefreshableVersion="3" recordCount="1001" xr:uid="{C37517B5-9103-4FE9-9E22-D2F54B716C34}">
  <cacheSource type="worksheet">
    <worksheetSource ref="O1:R1048576" sheet="Calculated_Fields"/>
  </cacheSource>
  <cacheFields count="4">
    <cacheField name="Age_Group" numFmtId="0">
      <sharedItems containsBlank="1" count="6">
        <s v="35-44"/>
        <s v="25-34"/>
        <s v="18-24"/>
        <s v="45-54"/>
        <s v="55+"/>
        <m/>
      </sharedItems>
    </cacheField>
    <cacheField name="Country" numFmtId="0">
      <sharedItems containsBlank="1" count="8">
        <s v="USA"/>
        <s v="Canada"/>
        <s v="UK"/>
        <s v="India"/>
        <s v="Australia"/>
        <s v="Germany"/>
        <s v="France"/>
        <m/>
      </sharedItems>
    </cacheField>
    <cacheField name="Watch_Hours" numFmtId="0">
      <sharedItems containsString="0" containsBlank="1" containsNumber="1" containsInteger="1" minValue="10" maxValue="500"/>
    </cacheField>
    <cacheField name="Language_Preference" numFmtId="0">
      <sharedItems containsBlank="1" count="7">
        <s v="Hindi"/>
        <s v="German"/>
        <s v="Mandarin"/>
        <s v="Spanish"/>
        <s v="English"/>
        <s v="French"/>
        <m/>
      </sharedItems>
    </cacheField>
  </cacheFields>
  <extLst>
    <ext xmlns:x14="http://schemas.microsoft.com/office/spreadsheetml/2009/9/main" uri="{725AE2AE-9491-48be-B2B4-4EB974FC3084}">
      <x14:pivotCacheDefinition pivotCacheId="623990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n v="7.99"/>
    <n v="2518"/>
  </r>
  <r>
    <x v="0"/>
    <n v="7.99"/>
    <n v="6430"/>
  </r>
  <r>
    <x v="1"/>
    <n v="11.99"/>
    <n v="1798"/>
  </r>
  <r>
    <x v="1"/>
    <n v="15.99"/>
    <n v="5255"/>
  </r>
  <r>
    <x v="1"/>
    <n v="11.99"/>
    <n v="2854"/>
  </r>
  <r>
    <x v="1"/>
    <n v="15.99"/>
    <n v="6735"/>
  </r>
  <r>
    <x v="0"/>
    <n v="7.99"/>
    <n v="2995"/>
  </r>
  <r>
    <x v="1"/>
    <n v="15.99"/>
    <n v="5120"/>
  </r>
  <r>
    <x v="1"/>
    <n v="15.99"/>
    <n v="6063"/>
  </r>
  <r>
    <x v="0"/>
    <n v="7.99"/>
    <n v="6896"/>
  </r>
  <r>
    <x v="1"/>
    <n v="11.99"/>
    <n v="8447"/>
  </r>
  <r>
    <x v="1"/>
    <n v="15.99"/>
    <n v="1433"/>
  </r>
  <r>
    <x v="0"/>
    <n v="7.99"/>
    <n v="4511"/>
  </r>
  <r>
    <x v="0"/>
    <n v="7.99"/>
    <n v="9966"/>
  </r>
  <r>
    <x v="0"/>
    <n v="7.99"/>
    <n v="7093"/>
  </r>
  <r>
    <x v="1"/>
    <n v="11.99"/>
    <n v="4351"/>
  </r>
  <r>
    <x v="0"/>
    <n v="7.99"/>
    <n v="6007"/>
  </r>
  <r>
    <x v="0"/>
    <n v="7.99"/>
    <n v="9710"/>
  </r>
  <r>
    <x v="1"/>
    <n v="15.99"/>
    <n v="9034"/>
  </r>
  <r>
    <x v="1"/>
    <n v="15.99"/>
    <n v="6197"/>
  </r>
  <r>
    <x v="0"/>
    <n v="7.99"/>
    <n v="2820"/>
  </r>
  <r>
    <x v="1"/>
    <n v="15.99"/>
    <n v="1101"/>
  </r>
  <r>
    <x v="1"/>
    <n v="15.99"/>
    <n v="1650"/>
  </r>
  <r>
    <x v="1"/>
    <n v="15.99"/>
    <n v="4884"/>
  </r>
  <r>
    <x v="1"/>
    <n v="11.99"/>
    <n v="8321"/>
  </r>
  <r>
    <x v="0"/>
    <n v="7.99"/>
    <n v="2381"/>
  </r>
  <r>
    <x v="1"/>
    <n v="11.99"/>
    <n v="9507"/>
  </r>
  <r>
    <x v="1"/>
    <n v="15.99"/>
    <n v="2851"/>
  </r>
  <r>
    <x v="1"/>
    <n v="11.99"/>
    <n v="4083"/>
  </r>
  <r>
    <x v="1"/>
    <n v="11.99"/>
    <n v="4608"/>
  </r>
  <r>
    <x v="0"/>
    <n v="7.99"/>
    <n v="4815"/>
  </r>
  <r>
    <x v="1"/>
    <n v="11.99"/>
    <n v="9597"/>
  </r>
  <r>
    <x v="1"/>
    <n v="11.99"/>
    <n v="6566"/>
  </r>
  <r>
    <x v="1"/>
    <n v="11.99"/>
    <n v="1419"/>
  </r>
  <r>
    <x v="0"/>
    <n v="7.99"/>
    <n v="9470"/>
  </r>
  <r>
    <x v="0"/>
    <n v="7.99"/>
    <n v="4989"/>
  </r>
  <r>
    <x v="1"/>
    <n v="15.99"/>
    <n v="9389"/>
  </r>
  <r>
    <x v="1"/>
    <n v="11.99"/>
    <n v="7728"/>
  </r>
  <r>
    <x v="1"/>
    <n v="15.99"/>
    <n v="7943"/>
  </r>
  <r>
    <x v="1"/>
    <n v="11.99"/>
    <n v="2490"/>
  </r>
  <r>
    <x v="1"/>
    <n v="15.99"/>
    <n v="5042"/>
  </r>
  <r>
    <x v="1"/>
    <n v="15.99"/>
    <n v="3620"/>
  </r>
  <r>
    <x v="0"/>
    <n v="7.99"/>
    <n v="8976"/>
  </r>
  <r>
    <x v="1"/>
    <n v="11.99"/>
    <n v="1570"/>
  </r>
  <r>
    <x v="1"/>
    <n v="11.99"/>
    <n v="7709"/>
  </r>
  <r>
    <x v="1"/>
    <n v="11.99"/>
    <n v="9503"/>
  </r>
  <r>
    <x v="1"/>
    <n v="15.99"/>
    <n v="9564"/>
  </r>
  <r>
    <x v="0"/>
    <n v="7.99"/>
    <n v="8934"/>
  </r>
  <r>
    <x v="1"/>
    <n v="15.99"/>
    <n v="1222"/>
  </r>
  <r>
    <x v="1"/>
    <n v="11.99"/>
    <n v="5762"/>
  </r>
  <r>
    <x v="1"/>
    <n v="11.99"/>
    <n v="4066"/>
  </r>
  <r>
    <x v="1"/>
    <n v="11.99"/>
    <n v="6469"/>
  </r>
  <r>
    <x v="1"/>
    <n v="11.99"/>
    <n v="1364"/>
  </r>
  <r>
    <x v="1"/>
    <n v="15.99"/>
    <n v="4197"/>
  </r>
  <r>
    <x v="1"/>
    <n v="15.99"/>
    <n v="9700"/>
  </r>
  <r>
    <x v="1"/>
    <n v="11.99"/>
    <n v="5644"/>
  </r>
  <r>
    <x v="1"/>
    <n v="11.99"/>
    <n v="5420"/>
  </r>
  <r>
    <x v="0"/>
    <n v="7.99"/>
    <n v="7560"/>
  </r>
  <r>
    <x v="0"/>
    <n v="7.99"/>
    <n v="9644"/>
  </r>
  <r>
    <x v="1"/>
    <n v="15.99"/>
    <n v="7239"/>
  </r>
  <r>
    <x v="1"/>
    <n v="11.99"/>
    <n v="6415"/>
  </r>
  <r>
    <x v="1"/>
    <n v="11.99"/>
    <n v="9020"/>
  </r>
  <r>
    <x v="0"/>
    <n v="7.99"/>
    <n v="2324"/>
  </r>
  <r>
    <x v="0"/>
    <n v="7.99"/>
    <n v="1354"/>
  </r>
  <r>
    <x v="1"/>
    <n v="15.99"/>
    <n v="4019"/>
  </r>
  <r>
    <x v="1"/>
    <n v="11.99"/>
    <n v="6178"/>
  </r>
  <r>
    <x v="0"/>
    <n v="7.99"/>
    <n v="8673"/>
  </r>
  <r>
    <x v="1"/>
    <n v="15.99"/>
    <n v="8250"/>
  </r>
  <r>
    <x v="0"/>
    <n v="7.99"/>
    <n v="1609"/>
  </r>
  <r>
    <x v="1"/>
    <n v="15.99"/>
    <n v="3806"/>
  </r>
  <r>
    <x v="0"/>
    <n v="7.99"/>
    <n v="7973"/>
  </r>
  <r>
    <x v="1"/>
    <n v="15.99"/>
    <n v="7948"/>
  </r>
  <r>
    <x v="1"/>
    <n v="11.99"/>
    <n v="3195"/>
  </r>
  <r>
    <x v="1"/>
    <n v="11.99"/>
    <n v="6285"/>
  </r>
  <r>
    <x v="0"/>
    <n v="7.99"/>
    <n v="4303"/>
  </r>
  <r>
    <x v="1"/>
    <n v="11.99"/>
    <n v="7751"/>
  </r>
  <r>
    <x v="1"/>
    <n v="15.99"/>
    <n v="7813"/>
  </r>
  <r>
    <x v="1"/>
    <n v="15.99"/>
    <n v="9028"/>
  </r>
  <r>
    <x v="1"/>
    <n v="15.99"/>
    <n v="6109"/>
  </r>
  <r>
    <x v="0"/>
    <n v="7.99"/>
    <n v="2565"/>
  </r>
  <r>
    <x v="1"/>
    <n v="15.99"/>
    <n v="7551"/>
  </r>
  <r>
    <x v="0"/>
    <n v="7.99"/>
    <n v="6398"/>
  </r>
  <r>
    <x v="1"/>
    <n v="11.99"/>
    <n v="4982"/>
  </r>
  <r>
    <x v="1"/>
    <n v="11.99"/>
    <n v="8108"/>
  </r>
  <r>
    <x v="0"/>
    <n v="7.99"/>
    <n v="6779"/>
  </r>
  <r>
    <x v="1"/>
    <n v="11.99"/>
    <n v="1169"/>
  </r>
  <r>
    <x v="0"/>
    <n v="7.99"/>
    <n v="5067"/>
  </r>
  <r>
    <x v="0"/>
    <n v="7.99"/>
    <n v="5299"/>
  </r>
  <r>
    <x v="0"/>
    <n v="7.99"/>
    <n v="3978"/>
  </r>
  <r>
    <x v="1"/>
    <n v="15.99"/>
    <n v="8634"/>
  </r>
  <r>
    <x v="1"/>
    <n v="11.99"/>
    <n v="9635"/>
  </r>
  <r>
    <x v="1"/>
    <n v="15.99"/>
    <n v="1776"/>
  </r>
  <r>
    <x v="1"/>
    <n v="11.99"/>
    <n v="9703"/>
  </r>
  <r>
    <x v="1"/>
    <n v="15.99"/>
    <n v="3498"/>
  </r>
  <r>
    <x v="0"/>
    <n v="7.99"/>
    <n v="4260"/>
  </r>
  <r>
    <x v="1"/>
    <n v="11.99"/>
    <n v="7152"/>
  </r>
  <r>
    <x v="0"/>
    <n v="7.99"/>
    <n v="2457"/>
  </r>
  <r>
    <x v="1"/>
    <n v="11.99"/>
    <n v="8530"/>
  </r>
  <r>
    <x v="0"/>
    <n v="7.99"/>
    <n v="9131"/>
  </r>
  <r>
    <x v="0"/>
    <n v="7.99"/>
    <n v="9770"/>
  </r>
  <r>
    <x v="0"/>
    <n v="7.99"/>
    <n v="8095"/>
  </r>
  <r>
    <x v="1"/>
    <n v="11.99"/>
    <n v="3763"/>
  </r>
  <r>
    <x v="1"/>
    <n v="15.99"/>
    <n v="4346"/>
  </r>
  <r>
    <x v="0"/>
    <n v="7.99"/>
    <n v="5866"/>
  </r>
  <r>
    <x v="1"/>
    <n v="11.99"/>
    <n v="5865"/>
  </r>
  <r>
    <x v="0"/>
    <n v="7.99"/>
    <n v="9398"/>
  </r>
  <r>
    <x v="0"/>
    <n v="7.99"/>
    <n v="9695"/>
  </r>
  <r>
    <x v="1"/>
    <n v="15.99"/>
    <n v="8805"/>
  </r>
  <r>
    <x v="1"/>
    <n v="15.99"/>
    <n v="8353"/>
  </r>
  <r>
    <x v="0"/>
    <n v="7.99"/>
    <n v="3178"/>
  </r>
  <r>
    <x v="1"/>
    <n v="11.99"/>
    <n v="4917"/>
  </r>
  <r>
    <x v="0"/>
    <n v="7.99"/>
    <n v="8878"/>
  </r>
  <r>
    <x v="1"/>
    <n v="15.99"/>
    <n v="3810"/>
  </r>
  <r>
    <x v="0"/>
    <n v="7.99"/>
    <n v="9353"/>
  </r>
  <r>
    <x v="1"/>
    <n v="15.99"/>
    <n v="1672"/>
  </r>
  <r>
    <x v="1"/>
    <n v="11.99"/>
    <n v="6650"/>
  </r>
  <r>
    <x v="1"/>
    <n v="15.99"/>
    <n v="2581"/>
  </r>
  <r>
    <x v="0"/>
    <n v="7.99"/>
    <n v="6860"/>
  </r>
  <r>
    <x v="0"/>
    <n v="7.99"/>
    <n v="4584"/>
  </r>
  <r>
    <x v="1"/>
    <n v="11.99"/>
    <n v="3354"/>
  </r>
  <r>
    <x v="1"/>
    <n v="11.99"/>
    <n v="4668"/>
  </r>
  <r>
    <x v="1"/>
    <n v="11.99"/>
    <n v="6684"/>
  </r>
  <r>
    <x v="1"/>
    <n v="15.99"/>
    <n v="8058"/>
  </r>
  <r>
    <x v="1"/>
    <n v="15.99"/>
    <n v="3035"/>
  </r>
  <r>
    <x v="1"/>
    <n v="11.99"/>
    <n v="2146"/>
  </r>
  <r>
    <x v="1"/>
    <n v="15.99"/>
    <n v="5761"/>
  </r>
  <r>
    <x v="1"/>
    <n v="15.99"/>
    <n v="5256"/>
  </r>
  <r>
    <x v="1"/>
    <n v="15.99"/>
    <n v="5995"/>
  </r>
  <r>
    <x v="1"/>
    <n v="11.99"/>
    <n v="4155"/>
  </r>
  <r>
    <x v="1"/>
    <n v="11.99"/>
    <n v="1851"/>
  </r>
  <r>
    <x v="1"/>
    <n v="15.99"/>
    <n v="8068"/>
  </r>
  <r>
    <x v="0"/>
    <n v="7.99"/>
    <n v="8425"/>
  </r>
  <r>
    <x v="1"/>
    <n v="11.99"/>
    <n v="4706"/>
  </r>
  <r>
    <x v="1"/>
    <n v="15.99"/>
    <n v="7544"/>
  </r>
  <r>
    <x v="1"/>
    <n v="11.99"/>
    <n v="4029"/>
  </r>
  <r>
    <x v="0"/>
    <n v="7.99"/>
    <n v="6117"/>
  </r>
  <r>
    <x v="1"/>
    <n v="11.99"/>
    <n v="1408"/>
  </r>
  <r>
    <x v="0"/>
    <n v="7.99"/>
    <n v="8396"/>
  </r>
  <r>
    <x v="0"/>
    <n v="7.99"/>
    <n v="6806"/>
  </r>
  <r>
    <x v="1"/>
    <n v="11.99"/>
    <n v="3496"/>
  </r>
  <r>
    <x v="1"/>
    <n v="15.99"/>
    <n v="7840"/>
  </r>
  <r>
    <x v="1"/>
    <n v="11.99"/>
    <n v="2099"/>
  </r>
  <r>
    <x v="0"/>
    <n v="7.99"/>
    <n v="6518"/>
  </r>
  <r>
    <x v="1"/>
    <n v="11.99"/>
    <n v="1976"/>
  </r>
  <r>
    <x v="1"/>
    <n v="11.99"/>
    <n v="8777"/>
  </r>
  <r>
    <x v="1"/>
    <n v="11.99"/>
    <n v="1576"/>
  </r>
  <r>
    <x v="1"/>
    <n v="11.99"/>
    <n v="7979"/>
  </r>
  <r>
    <x v="1"/>
    <n v="15.99"/>
    <n v="6300"/>
  </r>
  <r>
    <x v="1"/>
    <n v="11.99"/>
    <n v="1003"/>
  </r>
  <r>
    <x v="0"/>
    <n v="7.99"/>
    <n v="8238"/>
  </r>
  <r>
    <x v="0"/>
    <n v="7.99"/>
    <n v="8261"/>
  </r>
  <r>
    <x v="1"/>
    <n v="11.99"/>
    <n v="7729"/>
  </r>
  <r>
    <x v="1"/>
    <n v="11.99"/>
    <n v="8616"/>
  </r>
  <r>
    <x v="1"/>
    <n v="15.99"/>
    <n v="9734"/>
  </r>
  <r>
    <x v="0"/>
    <n v="7.99"/>
    <n v="2086"/>
  </r>
  <r>
    <x v="1"/>
    <n v="15.99"/>
    <n v="8721"/>
  </r>
  <r>
    <x v="0"/>
    <n v="7.99"/>
    <n v="1075"/>
  </r>
  <r>
    <x v="1"/>
    <n v="15.99"/>
    <n v="2690"/>
  </r>
  <r>
    <x v="1"/>
    <n v="11.99"/>
    <n v="7654"/>
  </r>
  <r>
    <x v="1"/>
    <n v="15.99"/>
    <n v="7577"/>
  </r>
  <r>
    <x v="1"/>
    <n v="11.99"/>
    <n v="9814"/>
  </r>
  <r>
    <x v="0"/>
    <n v="7.99"/>
    <n v="5423"/>
  </r>
  <r>
    <x v="1"/>
    <n v="11.99"/>
    <n v="2660"/>
  </r>
  <r>
    <x v="1"/>
    <n v="11.99"/>
    <n v="4206"/>
  </r>
  <r>
    <x v="1"/>
    <n v="11.99"/>
    <n v="5269"/>
  </r>
  <r>
    <x v="0"/>
    <n v="7.99"/>
    <n v="7922"/>
  </r>
  <r>
    <x v="0"/>
    <n v="7.99"/>
    <n v="7829"/>
  </r>
  <r>
    <x v="0"/>
    <n v="7.99"/>
    <n v="1715"/>
  </r>
  <r>
    <x v="1"/>
    <n v="11.99"/>
    <n v="2639"/>
  </r>
  <r>
    <x v="1"/>
    <n v="11.99"/>
    <n v="1801"/>
  </r>
  <r>
    <x v="1"/>
    <n v="11.99"/>
    <n v="9163"/>
  </r>
  <r>
    <x v="0"/>
    <n v="7.99"/>
    <n v="1284"/>
  </r>
  <r>
    <x v="1"/>
    <n v="15.99"/>
    <n v="8774"/>
  </r>
  <r>
    <x v="1"/>
    <n v="15.99"/>
    <n v="3866"/>
  </r>
  <r>
    <x v="0"/>
    <n v="7.99"/>
    <n v="4477"/>
  </r>
  <r>
    <x v="1"/>
    <n v="11.99"/>
    <n v="4829"/>
  </r>
  <r>
    <x v="0"/>
    <n v="7.99"/>
    <n v="1257"/>
  </r>
  <r>
    <x v="1"/>
    <n v="11.99"/>
    <n v="1897"/>
  </r>
  <r>
    <x v="0"/>
    <n v="7.99"/>
    <n v="3603"/>
  </r>
  <r>
    <x v="0"/>
    <n v="7.99"/>
    <n v="9256"/>
  </r>
  <r>
    <x v="1"/>
    <n v="11.99"/>
    <n v="9469"/>
  </r>
  <r>
    <x v="0"/>
    <n v="7.99"/>
    <n v="7136"/>
  </r>
  <r>
    <x v="1"/>
    <n v="15.99"/>
    <n v="2321"/>
  </r>
  <r>
    <x v="1"/>
    <n v="15.99"/>
    <n v="4243"/>
  </r>
  <r>
    <x v="0"/>
    <n v="7.99"/>
    <n v="8015"/>
  </r>
  <r>
    <x v="0"/>
    <n v="7.99"/>
    <n v="3440"/>
  </r>
  <r>
    <x v="1"/>
    <n v="11.99"/>
    <n v="9914"/>
  </r>
  <r>
    <x v="1"/>
    <n v="11.99"/>
    <n v="5045"/>
  </r>
  <r>
    <x v="1"/>
    <n v="11.99"/>
    <n v="1379"/>
  </r>
  <r>
    <x v="1"/>
    <n v="11.99"/>
    <n v="6099"/>
  </r>
  <r>
    <x v="1"/>
    <n v="15.99"/>
    <n v="4696"/>
  </r>
  <r>
    <x v="0"/>
    <n v="7.99"/>
    <n v="4808"/>
  </r>
  <r>
    <x v="0"/>
    <n v="7.99"/>
    <n v="3633"/>
  </r>
  <r>
    <x v="1"/>
    <n v="15.99"/>
    <n v="4979"/>
  </r>
  <r>
    <x v="0"/>
    <n v="7.99"/>
    <n v="2214"/>
  </r>
  <r>
    <x v="1"/>
    <n v="15.99"/>
    <n v="6606"/>
  </r>
  <r>
    <x v="0"/>
    <n v="7.99"/>
    <n v="4246"/>
  </r>
  <r>
    <x v="0"/>
    <n v="7.99"/>
    <n v="2836"/>
  </r>
  <r>
    <x v="1"/>
    <n v="15.99"/>
    <n v="6963"/>
  </r>
  <r>
    <x v="1"/>
    <n v="11.99"/>
    <n v="2243"/>
  </r>
  <r>
    <x v="1"/>
    <n v="11.99"/>
    <n v="5081"/>
  </r>
  <r>
    <x v="1"/>
    <n v="11.99"/>
    <n v="4171"/>
  </r>
  <r>
    <x v="1"/>
    <n v="11.99"/>
    <n v="7399"/>
  </r>
  <r>
    <x v="1"/>
    <n v="11.99"/>
    <n v="1110"/>
  </r>
  <r>
    <x v="0"/>
    <n v="7.99"/>
    <n v="5630"/>
  </r>
  <r>
    <x v="0"/>
    <n v="7.99"/>
    <n v="9430"/>
  </r>
  <r>
    <x v="1"/>
    <n v="15.99"/>
    <n v="7436"/>
  </r>
  <r>
    <x v="1"/>
    <n v="11.99"/>
    <n v="2147"/>
  </r>
  <r>
    <x v="1"/>
    <n v="11.99"/>
    <n v="3264"/>
  </r>
  <r>
    <x v="1"/>
    <n v="11.99"/>
    <n v="1214"/>
  </r>
  <r>
    <x v="1"/>
    <n v="11.99"/>
    <n v="6050"/>
  </r>
  <r>
    <x v="1"/>
    <n v="11.99"/>
    <n v="7395"/>
  </r>
  <r>
    <x v="1"/>
    <n v="11.99"/>
    <n v="3904"/>
  </r>
  <r>
    <x v="0"/>
    <n v="7.99"/>
    <n v="6545"/>
  </r>
  <r>
    <x v="1"/>
    <n v="15.99"/>
    <n v="3131"/>
  </r>
  <r>
    <x v="1"/>
    <n v="11.99"/>
    <n v="8589"/>
  </r>
  <r>
    <x v="1"/>
    <n v="11.99"/>
    <n v="2908"/>
  </r>
  <r>
    <x v="1"/>
    <n v="11.99"/>
    <n v="5209"/>
  </r>
  <r>
    <x v="1"/>
    <n v="15.99"/>
    <n v="2319"/>
  </r>
  <r>
    <x v="1"/>
    <n v="11.99"/>
    <n v="9026"/>
  </r>
  <r>
    <x v="1"/>
    <n v="15.99"/>
    <n v="2723"/>
  </r>
  <r>
    <x v="0"/>
    <n v="7.99"/>
    <n v="5487"/>
  </r>
  <r>
    <x v="0"/>
    <n v="7.99"/>
    <n v="4656"/>
  </r>
  <r>
    <x v="1"/>
    <n v="15.99"/>
    <n v="5718"/>
  </r>
  <r>
    <x v="0"/>
    <n v="7.99"/>
    <n v="1215"/>
  </r>
  <r>
    <x v="1"/>
    <n v="15.99"/>
    <n v="3427"/>
  </r>
  <r>
    <x v="0"/>
    <n v="7.99"/>
    <n v="2428"/>
  </r>
  <r>
    <x v="1"/>
    <n v="11.99"/>
    <n v="1947"/>
  </r>
  <r>
    <x v="1"/>
    <n v="15.99"/>
    <n v="5036"/>
  </r>
  <r>
    <x v="1"/>
    <n v="15.99"/>
    <n v="5857"/>
  </r>
  <r>
    <x v="0"/>
    <n v="7.99"/>
    <n v="8770"/>
  </r>
  <r>
    <x v="1"/>
    <n v="11.99"/>
    <n v="4118"/>
  </r>
  <r>
    <x v="1"/>
    <n v="15.99"/>
    <n v="7162"/>
  </r>
  <r>
    <x v="0"/>
    <n v="7.99"/>
    <n v="9278"/>
  </r>
  <r>
    <x v="0"/>
    <n v="7.99"/>
    <n v="5406"/>
  </r>
  <r>
    <x v="1"/>
    <n v="15.99"/>
    <n v="4641"/>
  </r>
  <r>
    <x v="1"/>
    <n v="15.99"/>
    <n v="3969"/>
  </r>
  <r>
    <x v="0"/>
    <n v="7.99"/>
    <n v="3078"/>
  </r>
  <r>
    <x v="1"/>
    <n v="15.99"/>
    <n v="2808"/>
  </r>
  <r>
    <x v="1"/>
    <n v="11.99"/>
    <n v="7484"/>
  </r>
  <r>
    <x v="1"/>
    <n v="11.99"/>
    <n v="2396"/>
  </r>
  <r>
    <x v="0"/>
    <n v="7.99"/>
    <n v="2472"/>
  </r>
  <r>
    <x v="1"/>
    <n v="11.99"/>
    <n v="7939"/>
  </r>
  <r>
    <x v="0"/>
    <n v="7.99"/>
    <n v="8269"/>
  </r>
  <r>
    <x v="1"/>
    <n v="15.99"/>
    <n v="9073"/>
  </r>
  <r>
    <x v="0"/>
    <n v="7.99"/>
    <n v="9879"/>
  </r>
  <r>
    <x v="1"/>
    <n v="15.99"/>
    <n v="3822"/>
  </r>
  <r>
    <x v="1"/>
    <n v="15.99"/>
    <n v="9183"/>
  </r>
  <r>
    <x v="1"/>
    <n v="15.99"/>
    <n v="8674"/>
  </r>
  <r>
    <x v="0"/>
    <n v="7.99"/>
    <n v="2481"/>
  </r>
  <r>
    <x v="0"/>
    <n v="7.99"/>
    <n v="8729"/>
  </r>
  <r>
    <x v="0"/>
    <n v="7.99"/>
    <n v="5534"/>
  </r>
  <r>
    <x v="1"/>
    <n v="11.99"/>
    <n v="9785"/>
  </r>
  <r>
    <x v="1"/>
    <n v="11.99"/>
    <n v="9609"/>
  </r>
  <r>
    <x v="1"/>
    <n v="15.99"/>
    <n v="2829"/>
  </r>
  <r>
    <x v="1"/>
    <n v="11.99"/>
    <n v="1714"/>
  </r>
  <r>
    <x v="0"/>
    <n v="7.99"/>
    <n v="4475"/>
  </r>
  <r>
    <x v="0"/>
    <n v="7.99"/>
    <n v="9820"/>
  </r>
  <r>
    <x v="1"/>
    <n v="11.99"/>
    <n v="3261"/>
  </r>
  <r>
    <x v="1"/>
    <n v="11.99"/>
    <n v="6130"/>
  </r>
  <r>
    <x v="0"/>
    <n v="7.99"/>
    <n v="9399"/>
  </r>
  <r>
    <x v="1"/>
    <n v="15.99"/>
    <n v="6047"/>
  </r>
  <r>
    <x v="0"/>
    <n v="7.99"/>
    <n v="7789"/>
  </r>
  <r>
    <x v="1"/>
    <n v="11.99"/>
    <n v="6111"/>
  </r>
  <r>
    <x v="0"/>
    <n v="7.99"/>
    <n v="4968"/>
  </r>
  <r>
    <x v="1"/>
    <n v="15.99"/>
    <n v="2739"/>
  </r>
  <r>
    <x v="1"/>
    <n v="11.99"/>
    <n v="6974"/>
  </r>
  <r>
    <x v="1"/>
    <n v="15.99"/>
    <n v="1784"/>
  </r>
  <r>
    <x v="1"/>
    <n v="11.99"/>
    <n v="8077"/>
  </r>
  <r>
    <x v="0"/>
    <n v="7.99"/>
    <n v="2727"/>
  </r>
  <r>
    <x v="1"/>
    <n v="11.99"/>
    <n v="7661"/>
  </r>
  <r>
    <x v="1"/>
    <n v="15.99"/>
    <n v="5083"/>
  </r>
  <r>
    <x v="1"/>
    <n v="11.99"/>
    <n v="7275"/>
  </r>
  <r>
    <x v="1"/>
    <n v="11.99"/>
    <n v="7316"/>
  </r>
  <r>
    <x v="1"/>
    <n v="15.99"/>
    <n v="4497"/>
  </r>
  <r>
    <x v="1"/>
    <n v="11.99"/>
    <n v="8685"/>
  </r>
  <r>
    <x v="1"/>
    <n v="15.99"/>
    <n v="8583"/>
  </r>
  <r>
    <x v="0"/>
    <n v="7.99"/>
    <n v="1062"/>
  </r>
  <r>
    <x v="0"/>
    <n v="7.99"/>
    <n v="2593"/>
  </r>
  <r>
    <x v="1"/>
    <n v="11.99"/>
    <n v="3951"/>
  </r>
  <r>
    <x v="1"/>
    <n v="15.99"/>
    <n v="8580"/>
  </r>
  <r>
    <x v="1"/>
    <n v="15.99"/>
    <n v="4372"/>
  </r>
  <r>
    <x v="1"/>
    <n v="15.99"/>
    <n v="4463"/>
  </r>
  <r>
    <x v="1"/>
    <n v="11.99"/>
    <n v="7498"/>
  </r>
  <r>
    <x v="1"/>
    <n v="11.99"/>
    <n v="9618"/>
  </r>
  <r>
    <x v="1"/>
    <n v="11.99"/>
    <n v="1813"/>
  </r>
  <r>
    <x v="1"/>
    <n v="15.99"/>
    <n v="3009"/>
  </r>
  <r>
    <x v="1"/>
    <n v="15.99"/>
    <n v="8210"/>
  </r>
  <r>
    <x v="1"/>
    <n v="11.99"/>
    <n v="8439"/>
  </r>
  <r>
    <x v="1"/>
    <n v="11.99"/>
    <n v="8310"/>
  </r>
  <r>
    <x v="0"/>
    <n v="7.99"/>
    <n v="6369"/>
  </r>
  <r>
    <x v="1"/>
    <n v="15.99"/>
    <n v="5721"/>
  </r>
  <r>
    <x v="1"/>
    <n v="11.99"/>
    <n v="4204"/>
  </r>
  <r>
    <x v="0"/>
    <n v="7.99"/>
    <n v="5666"/>
  </r>
  <r>
    <x v="0"/>
    <n v="7.99"/>
    <n v="5943"/>
  </r>
  <r>
    <x v="1"/>
    <n v="11.99"/>
    <n v="3202"/>
  </r>
  <r>
    <x v="1"/>
    <n v="11.99"/>
    <n v="4512"/>
  </r>
  <r>
    <x v="0"/>
    <n v="7.99"/>
    <n v="2075"/>
  </r>
  <r>
    <x v="1"/>
    <n v="15.99"/>
    <n v="4057"/>
  </r>
  <r>
    <x v="1"/>
    <n v="11.99"/>
    <n v="5537"/>
  </r>
  <r>
    <x v="1"/>
    <n v="11.99"/>
    <n v="9520"/>
  </r>
  <r>
    <x v="1"/>
    <n v="15.99"/>
    <n v="1081"/>
  </r>
  <r>
    <x v="0"/>
    <n v="7.99"/>
    <n v="7621"/>
  </r>
  <r>
    <x v="1"/>
    <n v="11.99"/>
    <n v="4558"/>
  </r>
  <r>
    <x v="1"/>
    <n v="11.99"/>
    <n v="6628"/>
  </r>
  <r>
    <x v="1"/>
    <n v="15.99"/>
    <n v="7643"/>
  </r>
  <r>
    <x v="1"/>
    <n v="11.99"/>
    <n v="4709"/>
  </r>
  <r>
    <x v="0"/>
    <n v="7.99"/>
    <n v="8408"/>
  </r>
  <r>
    <x v="1"/>
    <n v="15.99"/>
    <n v="3530"/>
  </r>
  <r>
    <x v="1"/>
    <n v="11.99"/>
    <n v="3779"/>
  </r>
  <r>
    <x v="0"/>
    <n v="7.99"/>
    <n v="8564"/>
  </r>
  <r>
    <x v="1"/>
    <n v="15.99"/>
    <n v="8731"/>
  </r>
  <r>
    <x v="1"/>
    <n v="15.99"/>
    <n v="5000"/>
  </r>
  <r>
    <x v="1"/>
    <n v="15.99"/>
    <n v="3882"/>
  </r>
  <r>
    <x v="1"/>
    <n v="11.99"/>
    <n v="4551"/>
  </r>
  <r>
    <x v="1"/>
    <n v="15.99"/>
    <n v="7970"/>
  </r>
  <r>
    <x v="1"/>
    <n v="11.99"/>
    <n v="2466"/>
  </r>
  <r>
    <x v="1"/>
    <n v="11.99"/>
    <n v="1303"/>
  </r>
  <r>
    <x v="0"/>
    <n v="7.99"/>
    <n v="9832"/>
  </r>
  <r>
    <x v="1"/>
    <n v="11.99"/>
    <n v="3618"/>
  </r>
  <r>
    <x v="0"/>
    <n v="7.99"/>
    <n v="7424"/>
  </r>
  <r>
    <x v="1"/>
    <n v="11.99"/>
    <n v="8414"/>
  </r>
  <r>
    <x v="0"/>
    <n v="7.99"/>
    <n v="5688"/>
  </r>
  <r>
    <x v="1"/>
    <n v="15.99"/>
    <n v="2062"/>
  </r>
  <r>
    <x v="0"/>
    <n v="7.99"/>
    <n v="5031"/>
  </r>
  <r>
    <x v="1"/>
    <n v="15.99"/>
    <n v="1162"/>
  </r>
  <r>
    <x v="1"/>
    <n v="11.99"/>
    <n v="6564"/>
  </r>
  <r>
    <x v="1"/>
    <n v="11.99"/>
    <n v="9298"/>
  </r>
  <r>
    <x v="1"/>
    <n v="11.99"/>
    <n v="4216"/>
  </r>
  <r>
    <x v="0"/>
    <n v="7.99"/>
    <n v="3677"/>
  </r>
  <r>
    <x v="1"/>
    <n v="11.99"/>
    <n v="8453"/>
  </r>
  <r>
    <x v="1"/>
    <n v="15.99"/>
    <n v="6231"/>
  </r>
  <r>
    <x v="0"/>
    <n v="7.99"/>
    <n v="1481"/>
  </r>
  <r>
    <x v="1"/>
    <n v="11.99"/>
    <n v="7400"/>
  </r>
  <r>
    <x v="0"/>
    <n v="7.99"/>
    <n v="7447"/>
  </r>
  <r>
    <x v="0"/>
    <n v="7.99"/>
    <n v="4597"/>
  </r>
  <r>
    <x v="0"/>
    <n v="7.99"/>
    <n v="3173"/>
  </r>
  <r>
    <x v="0"/>
    <n v="7.99"/>
    <n v="9514"/>
  </r>
  <r>
    <x v="0"/>
    <n v="7.99"/>
    <n v="4985"/>
  </r>
  <r>
    <x v="0"/>
    <n v="7.99"/>
    <n v="4486"/>
  </r>
  <r>
    <x v="0"/>
    <n v="7.99"/>
    <n v="8756"/>
  </r>
  <r>
    <x v="0"/>
    <n v="7.99"/>
    <n v="9121"/>
  </r>
  <r>
    <x v="0"/>
    <n v="7.99"/>
    <n v="6471"/>
  </r>
  <r>
    <x v="0"/>
    <n v="7.99"/>
    <n v="6601"/>
  </r>
  <r>
    <x v="1"/>
    <n v="15.99"/>
    <n v="4340"/>
  </r>
  <r>
    <x v="1"/>
    <n v="15.99"/>
    <n v="5112"/>
  </r>
  <r>
    <x v="1"/>
    <n v="11.99"/>
    <n v="5700"/>
  </r>
  <r>
    <x v="1"/>
    <n v="15.99"/>
    <n v="8617"/>
  </r>
  <r>
    <x v="1"/>
    <n v="15.99"/>
    <n v="9149"/>
  </r>
  <r>
    <x v="1"/>
    <n v="15.99"/>
    <n v="8651"/>
  </r>
  <r>
    <x v="1"/>
    <n v="15.99"/>
    <n v="1495"/>
  </r>
  <r>
    <x v="1"/>
    <n v="15.99"/>
    <n v="7359"/>
  </r>
  <r>
    <x v="1"/>
    <n v="15.99"/>
    <n v="6525"/>
  </r>
  <r>
    <x v="0"/>
    <n v="7.99"/>
    <n v="7207"/>
  </r>
  <r>
    <x v="1"/>
    <n v="15.99"/>
    <n v="2361"/>
  </r>
  <r>
    <x v="1"/>
    <n v="15.99"/>
    <n v="8766"/>
  </r>
  <r>
    <x v="0"/>
    <n v="7.99"/>
    <n v="7236"/>
  </r>
  <r>
    <x v="1"/>
    <n v="11.99"/>
    <n v="8605"/>
  </r>
  <r>
    <x v="1"/>
    <n v="15.99"/>
    <n v="1055"/>
  </r>
  <r>
    <x v="1"/>
    <n v="15.99"/>
    <n v="7986"/>
  </r>
  <r>
    <x v="1"/>
    <n v="15.99"/>
    <n v="6170"/>
  </r>
  <r>
    <x v="1"/>
    <n v="11.99"/>
    <n v="7172"/>
  </r>
  <r>
    <x v="1"/>
    <n v="15.99"/>
    <n v="7408"/>
  </r>
  <r>
    <x v="1"/>
    <n v="11.99"/>
    <n v="7274"/>
  </r>
  <r>
    <x v="1"/>
    <n v="15.99"/>
    <n v="6001"/>
  </r>
  <r>
    <x v="0"/>
    <n v="7.99"/>
    <n v="9418"/>
  </r>
  <r>
    <x v="1"/>
    <n v="11.99"/>
    <n v="9354"/>
  </r>
  <r>
    <x v="1"/>
    <n v="15.99"/>
    <n v="8122"/>
  </r>
  <r>
    <x v="1"/>
    <n v="11.99"/>
    <n v="1765"/>
  </r>
  <r>
    <x v="1"/>
    <n v="15.99"/>
    <n v="5352"/>
  </r>
  <r>
    <x v="1"/>
    <n v="11.99"/>
    <n v="7578"/>
  </r>
  <r>
    <x v="1"/>
    <n v="15.99"/>
    <n v="8912"/>
  </r>
  <r>
    <x v="0"/>
    <n v="7.99"/>
    <n v="6641"/>
  </r>
  <r>
    <x v="1"/>
    <n v="11.99"/>
    <n v="9664"/>
  </r>
  <r>
    <x v="1"/>
    <n v="15.99"/>
    <n v="9134"/>
  </r>
  <r>
    <x v="0"/>
    <n v="7.99"/>
    <n v="6663"/>
  </r>
  <r>
    <x v="1"/>
    <n v="15.99"/>
    <n v="9800"/>
  </r>
  <r>
    <x v="0"/>
    <n v="7.99"/>
    <n v="2363"/>
  </r>
  <r>
    <x v="0"/>
    <n v="7.99"/>
    <n v="4875"/>
  </r>
  <r>
    <x v="1"/>
    <n v="11.99"/>
    <n v="8961"/>
  </r>
  <r>
    <x v="1"/>
    <n v="15.99"/>
    <n v="1539"/>
  </r>
  <r>
    <x v="1"/>
    <n v="11.99"/>
    <n v="4037"/>
  </r>
  <r>
    <x v="0"/>
    <n v="7.99"/>
    <n v="4239"/>
  </r>
  <r>
    <x v="0"/>
    <n v="7.99"/>
    <n v="4364"/>
  </r>
  <r>
    <x v="1"/>
    <n v="15.99"/>
    <n v="8946"/>
  </r>
  <r>
    <x v="0"/>
    <n v="7.99"/>
    <n v="5911"/>
  </r>
  <r>
    <x v="1"/>
    <n v="15.99"/>
    <n v="8033"/>
  </r>
  <r>
    <x v="1"/>
    <n v="11.99"/>
    <n v="6603"/>
  </r>
  <r>
    <x v="0"/>
    <n v="7.99"/>
    <n v="9630"/>
  </r>
  <r>
    <x v="1"/>
    <n v="11.99"/>
    <n v="1691"/>
  </r>
  <r>
    <x v="0"/>
    <n v="7.99"/>
    <n v="5590"/>
  </r>
  <r>
    <x v="1"/>
    <n v="11.99"/>
    <n v="8645"/>
  </r>
  <r>
    <x v="0"/>
    <n v="7.99"/>
    <n v="7663"/>
  </r>
  <r>
    <x v="0"/>
    <n v="7.99"/>
    <n v="2647"/>
  </r>
  <r>
    <x v="1"/>
    <n v="11.99"/>
    <n v="6539"/>
  </r>
  <r>
    <x v="0"/>
    <n v="7.99"/>
    <n v="3472"/>
  </r>
  <r>
    <x v="0"/>
    <n v="7.99"/>
    <n v="4314"/>
  </r>
  <r>
    <x v="1"/>
    <n v="11.99"/>
    <n v="6739"/>
  </r>
  <r>
    <x v="1"/>
    <n v="11.99"/>
    <n v="6368"/>
  </r>
  <r>
    <x v="1"/>
    <n v="15.99"/>
    <n v="7309"/>
  </r>
  <r>
    <x v="0"/>
    <n v="7.99"/>
    <n v="3976"/>
  </r>
  <r>
    <x v="1"/>
    <n v="11.99"/>
    <n v="7230"/>
  </r>
  <r>
    <x v="1"/>
    <n v="15.99"/>
    <n v="8888"/>
  </r>
  <r>
    <x v="0"/>
    <n v="7.99"/>
    <n v="1194"/>
  </r>
  <r>
    <x v="1"/>
    <n v="11.99"/>
    <n v="6983"/>
  </r>
  <r>
    <x v="1"/>
    <n v="11.99"/>
    <n v="1413"/>
  </r>
  <r>
    <x v="1"/>
    <n v="11.99"/>
    <n v="9509"/>
  </r>
  <r>
    <x v="0"/>
    <n v="7.99"/>
    <n v="6330"/>
  </r>
  <r>
    <x v="1"/>
    <n v="11.99"/>
    <n v="2504"/>
  </r>
  <r>
    <x v="1"/>
    <n v="11.99"/>
    <n v="6593"/>
  </r>
  <r>
    <x v="1"/>
    <n v="11.99"/>
    <n v="9537"/>
  </r>
  <r>
    <x v="0"/>
    <n v="7.99"/>
    <n v="9628"/>
  </r>
  <r>
    <x v="0"/>
    <n v="7.99"/>
    <n v="4024"/>
  </r>
  <r>
    <x v="0"/>
    <n v="7.99"/>
    <n v="5321"/>
  </r>
  <r>
    <x v="0"/>
    <n v="7.99"/>
    <n v="3926"/>
  </r>
  <r>
    <x v="0"/>
    <n v="7.99"/>
    <n v="8738"/>
  </r>
  <r>
    <x v="1"/>
    <n v="11.99"/>
    <n v="2701"/>
  </r>
  <r>
    <x v="1"/>
    <n v="15.99"/>
    <n v="5339"/>
  </r>
  <r>
    <x v="0"/>
    <n v="7.99"/>
    <n v="1612"/>
  </r>
  <r>
    <x v="0"/>
    <n v="7.99"/>
    <n v="5407"/>
  </r>
  <r>
    <x v="1"/>
    <n v="15.99"/>
    <n v="8225"/>
  </r>
  <r>
    <x v="1"/>
    <n v="11.99"/>
    <n v="4714"/>
  </r>
  <r>
    <x v="1"/>
    <n v="11.99"/>
    <n v="3826"/>
  </r>
  <r>
    <x v="1"/>
    <n v="15.99"/>
    <n v="3781"/>
  </r>
  <r>
    <x v="0"/>
    <n v="7.99"/>
    <n v="5635"/>
  </r>
  <r>
    <x v="0"/>
    <n v="7.99"/>
    <n v="2291"/>
  </r>
  <r>
    <x v="0"/>
    <n v="7.99"/>
    <n v="3119"/>
  </r>
  <r>
    <x v="0"/>
    <n v="7.99"/>
    <n v="5280"/>
  </r>
  <r>
    <x v="1"/>
    <n v="15.99"/>
    <n v="2546"/>
  </r>
  <r>
    <x v="0"/>
    <n v="7.99"/>
    <n v="5975"/>
  </r>
  <r>
    <x v="0"/>
    <n v="7.99"/>
    <n v="9113"/>
  </r>
  <r>
    <x v="1"/>
    <n v="15.99"/>
    <n v="6250"/>
  </r>
  <r>
    <x v="0"/>
    <n v="7.99"/>
    <n v="6190"/>
  </r>
  <r>
    <x v="0"/>
    <n v="7.99"/>
    <n v="5713"/>
  </r>
  <r>
    <x v="0"/>
    <n v="7.99"/>
    <n v="1932"/>
  </r>
  <r>
    <x v="0"/>
    <n v="7.99"/>
    <n v="6527"/>
  </r>
  <r>
    <x v="1"/>
    <n v="11.99"/>
    <n v="9363"/>
  </r>
  <r>
    <x v="1"/>
    <n v="15.99"/>
    <n v="5019"/>
  </r>
  <r>
    <x v="1"/>
    <n v="15.99"/>
    <n v="9258"/>
  </r>
  <r>
    <x v="1"/>
    <n v="11.99"/>
    <n v="7512"/>
  </r>
  <r>
    <x v="1"/>
    <n v="11.99"/>
    <n v="8195"/>
  </r>
  <r>
    <x v="1"/>
    <n v="11.99"/>
    <n v="8242"/>
  </r>
  <r>
    <x v="1"/>
    <n v="15.99"/>
    <n v="2220"/>
  </r>
  <r>
    <x v="1"/>
    <n v="11.99"/>
    <n v="9308"/>
  </r>
  <r>
    <x v="0"/>
    <n v="7.99"/>
    <n v="3437"/>
  </r>
  <r>
    <x v="1"/>
    <n v="11.99"/>
    <n v="8305"/>
  </r>
  <r>
    <x v="0"/>
    <n v="7.99"/>
    <n v="6773"/>
  </r>
  <r>
    <x v="1"/>
    <n v="11.99"/>
    <n v="3010"/>
  </r>
  <r>
    <x v="0"/>
    <n v="7.99"/>
    <n v="3622"/>
  </r>
  <r>
    <x v="1"/>
    <n v="11.99"/>
    <n v="6006"/>
  </r>
  <r>
    <x v="1"/>
    <n v="15.99"/>
    <n v="1338"/>
  </r>
  <r>
    <x v="1"/>
    <n v="15.99"/>
    <n v="6722"/>
  </r>
  <r>
    <x v="0"/>
    <n v="7.99"/>
    <n v="5871"/>
  </r>
  <r>
    <x v="1"/>
    <n v="15.99"/>
    <n v="9290"/>
  </r>
  <r>
    <x v="0"/>
    <n v="7.99"/>
    <n v="8567"/>
  </r>
  <r>
    <x v="1"/>
    <n v="11.99"/>
    <n v="5253"/>
  </r>
  <r>
    <x v="1"/>
    <n v="11.99"/>
    <n v="8172"/>
  </r>
  <r>
    <x v="0"/>
    <n v="7.99"/>
    <n v="2154"/>
  </r>
  <r>
    <x v="1"/>
    <n v="15.99"/>
    <n v="5013"/>
  </r>
  <r>
    <x v="0"/>
    <n v="7.99"/>
    <n v="4211"/>
  </r>
  <r>
    <x v="0"/>
    <n v="7.99"/>
    <n v="4408"/>
  </r>
  <r>
    <x v="1"/>
    <n v="11.99"/>
    <n v="8473"/>
  </r>
  <r>
    <x v="0"/>
    <n v="7.99"/>
    <n v="7510"/>
  </r>
  <r>
    <x v="0"/>
    <n v="7.99"/>
    <n v="5376"/>
  </r>
  <r>
    <x v="0"/>
    <n v="7.99"/>
    <n v="8005"/>
  </r>
  <r>
    <x v="1"/>
    <n v="15.99"/>
    <n v="7439"/>
  </r>
  <r>
    <x v="1"/>
    <n v="15.99"/>
    <n v="3699"/>
  </r>
  <r>
    <x v="1"/>
    <n v="15.99"/>
    <n v="3162"/>
  </r>
  <r>
    <x v="1"/>
    <n v="15.99"/>
    <n v="8798"/>
  </r>
  <r>
    <x v="1"/>
    <n v="11.99"/>
    <n v="6400"/>
  </r>
  <r>
    <x v="1"/>
    <n v="15.99"/>
    <n v="9404"/>
  </r>
  <r>
    <x v="1"/>
    <n v="11.99"/>
    <n v="8151"/>
  </r>
  <r>
    <x v="1"/>
    <n v="11.99"/>
    <n v="7742"/>
  </r>
  <r>
    <x v="0"/>
    <n v="7.99"/>
    <n v="4553"/>
  </r>
  <r>
    <x v="0"/>
    <n v="7.99"/>
    <n v="6919"/>
  </r>
  <r>
    <x v="1"/>
    <n v="11.99"/>
    <n v="7168"/>
  </r>
  <r>
    <x v="1"/>
    <n v="15.99"/>
    <n v="6474"/>
  </r>
  <r>
    <x v="0"/>
    <n v="7.99"/>
    <n v="4242"/>
  </r>
  <r>
    <x v="0"/>
    <n v="7.99"/>
    <n v="3395"/>
  </r>
  <r>
    <x v="1"/>
    <n v="15.99"/>
    <n v="8694"/>
  </r>
  <r>
    <x v="0"/>
    <n v="7.99"/>
    <n v="7150"/>
  </r>
  <r>
    <x v="1"/>
    <n v="11.99"/>
    <n v="4111"/>
  </r>
  <r>
    <x v="0"/>
    <n v="7.99"/>
    <n v="3532"/>
  </r>
  <r>
    <x v="1"/>
    <n v="15.99"/>
    <n v="5375"/>
  </r>
  <r>
    <x v="1"/>
    <n v="11.99"/>
    <n v="8881"/>
  </r>
  <r>
    <x v="1"/>
    <n v="15.99"/>
    <n v="1235"/>
  </r>
  <r>
    <x v="1"/>
    <n v="15.99"/>
    <n v="2533"/>
  </r>
  <r>
    <x v="1"/>
    <n v="11.99"/>
    <n v="2734"/>
  </r>
  <r>
    <x v="1"/>
    <n v="11.99"/>
    <n v="4129"/>
  </r>
  <r>
    <x v="1"/>
    <n v="11.99"/>
    <n v="3762"/>
  </r>
  <r>
    <x v="1"/>
    <n v="11.99"/>
    <n v="4341"/>
  </r>
  <r>
    <x v="1"/>
    <n v="11.99"/>
    <n v="6638"/>
  </r>
  <r>
    <x v="1"/>
    <n v="15.99"/>
    <n v="5861"/>
  </r>
  <r>
    <x v="0"/>
    <n v="7.99"/>
    <n v="8815"/>
  </r>
  <r>
    <x v="0"/>
    <n v="7.99"/>
    <n v="8793"/>
  </r>
  <r>
    <x v="0"/>
    <n v="7.99"/>
    <n v="3469"/>
  </r>
  <r>
    <x v="1"/>
    <n v="15.99"/>
    <n v="3654"/>
  </r>
  <r>
    <x v="1"/>
    <n v="11.99"/>
    <n v="9555"/>
  </r>
  <r>
    <x v="0"/>
    <n v="7.99"/>
    <n v="4028"/>
  </r>
  <r>
    <x v="1"/>
    <n v="11.99"/>
    <n v="9499"/>
  </r>
  <r>
    <x v="1"/>
    <n v="11.99"/>
    <n v="8628"/>
  </r>
  <r>
    <x v="1"/>
    <n v="15.99"/>
    <n v="9942"/>
  </r>
  <r>
    <x v="1"/>
    <n v="15.99"/>
    <n v="4044"/>
  </r>
  <r>
    <x v="0"/>
    <n v="7.99"/>
    <n v="8143"/>
  </r>
  <r>
    <x v="1"/>
    <n v="15.99"/>
    <n v="3984"/>
  </r>
  <r>
    <x v="1"/>
    <n v="11.99"/>
    <n v="9294"/>
  </r>
  <r>
    <x v="0"/>
    <n v="7.99"/>
    <n v="4769"/>
  </r>
  <r>
    <x v="1"/>
    <n v="11.99"/>
    <n v="8864"/>
  </r>
  <r>
    <x v="1"/>
    <n v="15.99"/>
    <n v="1857"/>
  </r>
  <r>
    <x v="1"/>
    <n v="11.99"/>
    <n v="5566"/>
  </r>
  <r>
    <x v="0"/>
    <n v="7.99"/>
    <n v="1373"/>
  </r>
  <r>
    <x v="0"/>
    <n v="7.99"/>
    <n v="6345"/>
  </r>
  <r>
    <x v="1"/>
    <n v="11.99"/>
    <n v="3234"/>
  </r>
  <r>
    <x v="0"/>
    <n v="7.99"/>
    <n v="6998"/>
  </r>
  <r>
    <x v="0"/>
    <n v="7.99"/>
    <n v="5809"/>
  </r>
  <r>
    <x v="1"/>
    <n v="11.99"/>
    <n v="6522"/>
  </r>
  <r>
    <x v="0"/>
    <n v="7.99"/>
    <n v="3892"/>
  </r>
  <r>
    <x v="0"/>
    <n v="7.99"/>
    <n v="4427"/>
  </r>
  <r>
    <x v="1"/>
    <n v="15.99"/>
    <n v="8145"/>
  </r>
  <r>
    <x v="1"/>
    <n v="11.99"/>
    <n v="1150"/>
  </r>
  <r>
    <x v="0"/>
    <n v="7.99"/>
    <n v="7366"/>
  </r>
  <r>
    <x v="1"/>
    <n v="11.99"/>
    <n v="3004"/>
  </r>
  <r>
    <x v="1"/>
    <n v="15.99"/>
    <n v="9934"/>
  </r>
  <r>
    <x v="0"/>
    <n v="7.99"/>
    <n v="1228"/>
  </r>
  <r>
    <x v="0"/>
    <n v="7.99"/>
    <n v="5806"/>
  </r>
  <r>
    <x v="0"/>
    <n v="7.99"/>
    <n v="7538"/>
  </r>
  <r>
    <x v="1"/>
    <n v="11.99"/>
    <n v="1035"/>
  </r>
  <r>
    <x v="1"/>
    <n v="11.99"/>
    <n v="8399"/>
  </r>
  <r>
    <x v="1"/>
    <n v="11.99"/>
    <n v="1912"/>
  </r>
  <r>
    <x v="1"/>
    <n v="15.99"/>
    <n v="6604"/>
  </r>
  <r>
    <x v="1"/>
    <n v="11.99"/>
    <n v="8952"/>
  </r>
  <r>
    <x v="1"/>
    <n v="11.99"/>
    <n v="2549"/>
  </r>
  <r>
    <x v="1"/>
    <n v="15.99"/>
    <n v="8954"/>
  </r>
  <r>
    <x v="1"/>
    <n v="11.99"/>
    <n v="1922"/>
  </r>
  <r>
    <x v="1"/>
    <n v="15.99"/>
    <n v="9861"/>
  </r>
  <r>
    <x v="1"/>
    <n v="15.99"/>
    <n v="4383"/>
  </r>
  <r>
    <x v="1"/>
    <n v="11.99"/>
    <n v="4328"/>
  </r>
  <r>
    <x v="0"/>
    <n v="7.99"/>
    <n v="4622"/>
  </r>
  <r>
    <x v="0"/>
    <n v="7.99"/>
    <n v="7828"/>
  </r>
  <r>
    <x v="0"/>
    <n v="7.99"/>
    <n v="1393"/>
  </r>
  <r>
    <x v="1"/>
    <n v="15.99"/>
    <n v="9239"/>
  </r>
  <r>
    <x v="1"/>
    <n v="11.99"/>
    <n v="1636"/>
  </r>
  <r>
    <x v="1"/>
    <n v="15.99"/>
    <n v="4401"/>
  </r>
  <r>
    <x v="1"/>
    <n v="15.99"/>
    <n v="7135"/>
  </r>
  <r>
    <x v="1"/>
    <n v="11.99"/>
    <n v="8923"/>
  </r>
  <r>
    <x v="1"/>
    <n v="15.99"/>
    <n v="9748"/>
  </r>
  <r>
    <x v="1"/>
    <n v="15.99"/>
    <n v="7046"/>
  </r>
  <r>
    <x v="0"/>
    <n v="7.99"/>
    <n v="9688"/>
  </r>
  <r>
    <x v="1"/>
    <n v="15.99"/>
    <n v="6720"/>
  </r>
  <r>
    <x v="0"/>
    <n v="7.99"/>
    <n v="2766"/>
  </r>
  <r>
    <x v="1"/>
    <n v="11.99"/>
    <n v="3847"/>
  </r>
  <r>
    <x v="1"/>
    <n v="15.99"/>
    <n v="8554"/>
  </r>
  <r>
    <x v="0"/>
    <n v="7.99"/>
    <n v="6569"/>
  </r>
  <r>
    <x v="1"/>
    <n v="15.99"/>
    <n v="6391"/>
  </r>
  <r>
    <x v="1"/>
    <n v="15.99"/>
    <n v="4883"/>
  </r>
  <r>
    <x v="0"/>
    <n v="7.99"/>
    <n v="4530"/>
  </r>
  <r>
    <x v="1"/>
    <n v="11.99"/>
    <n v="6531"/>
  </r>
  <r>
    <x v="0"/>
    <n v="7.99"/>
    <n v="9701"/>
  </r>
  <r>
    <x v="0"/>
    <n v="7.99"/>
    <n v="4702"/>
  </r>
  <r>
    <x v="1"/>
    <n v="11.99"/>
    <n v="3163"/>
  </r>
  <r>
    <x v="1"/>
    <n v="15.99"/>
    <n v="8719"/>
  </r>
  <r>
    <x v="1"/>
    <n v="15.99"/>
    <n v="1282"/>
  </r>
  <r>
    <x v="1"/>
    <n v="15.99"/>
    <n v="4538"/>
  </r>
  <r>
    <x v="1"/>
    <n v="15.99"/>
    <n v="9538"/>
  </r>
  <r>
    <x v="1"/>
    <n v="11.99"/>
    <n v="5109"/>
  </r>
  <r>
    <x v="1"/>
    <n v="15.99"/>
    <n v="7947"/>
  </r>
  <r>
    <x v="0"/>
    <n v="7.99"/>
    <n v="7546"/>
  </r>
  <r>
    <x v="0"/>
    <n v="7.99"/>
    <n v="4213"/>
  </r>
  <r>
    <x v="0"/>
    <n v="7.99"/>
    <n v="3135"/>
  </r>
  <r>
    <x v="0"/>
    <n v="7.99"/>
    <n v="9916"/>
  </r>
  <r>
    <x v="0"/>
    <n v="7.99"/>
    <n v="2784"/>
  </r>
  <r>
    <x v="1"/>
    <n v="15.99"/>
    <n v="5916"/>
  </r>
  <r>
    <x v="1"/>
    <n v="11.99"/>
    <n v="1674"/>
  </r>
  <r>
    <x v="1"/>
    <n v="11.99"/>
    <n v="2095"/>
  </r>
  <r>
    <x v="0"/>
    <n v="7.99"/>
    <n v="9594"/>
  </r>
  <r>
    <x v="0"/>
    <n v="7.99"/>
    <n v="6750"/>
  </r>
  <r>
    <x v="0"/>
    <n v="7.99"/>
    <n v="7235"/>
  </r>
  <r>
    <x v="1"/>
    <n v="11.99"/>
    <n v="3910"/>
  </r>
  <r>
    <x v="1"/>
    <n v="11.99"/>
    <n v="8190"/>
  </r>
  <r>
    <x v="0"/>
    <n v="7.99"/>
    <n v="5315"/>
  </r>
  <r>
    <x v="1"/>
    <n v="15.99"/>
    <n v="7503"/>
  </r>
  <r>
    <x v="1"/>
    <n v="11.99"/>
    <n v="5788"/>
  </r>
  <r>
    <x v="1"/>
    <n v="15.99"/>
    <n v="7030"/>
  </r>
  <r>
    <x v="1"/>
    <n v="15.99"/>
    <n v="6619"/>
  </r>
  <r>
    <x v="0"/>
    <n v="7.99"/>
    <n v="6319"/>
  </r>
  <r>
    <x v="1"/>
    <n v="15.99"/>
    <n v="6268"/>
  </r>
  <r>
    <x v="1"/>
    <n v="11.99"/>
    <n v="5016"/>
  </r>
  <r>
    <x v="1"/>
    <n v="15.99"/>
    <n v="3888"/>
  </r>
  <r>
    <x v="1"/>
    <n v="11.99"/>
    <n v="9918"/>
  </r>
  <r>
    <x v="0"/>
    <n v="7.99"/>
    <n v="7305"/>
  </r>
  <r>
    <x v="1"/>
    <n v="11.99"/>
    <n v="5719"/>
  </r>
  <r>
    <x v="1"/>
    <n v="11.99"/>
    <n v="2334"/>
  </r>
  <r>
    <x v="1"/>
    <n v="11.99"/>
    <n v="1006"/>
  </r>
  <r>
    <x v="1"/>
    <n v="15.99"/>
    <n v="6719"/>
  </r>
  <r>
    <x v="1"/>
    <n v="15.99"/>
    <n v="6138"/>
  </r>
  <r>
    <x v="1"/>
    <n v="11.99"/>
    <n v="1255"/>
  </r>
  <r>
    <x v="1"/>
    <n v="11.99"/>
    <n v="5528"/>
  </r>
  <r>
    <x v="0"/>
    <n v="7.99"/>
    <n v="2517"/>
  </r>
  <r>
    <x v="1"/>
    <n v="15.99"/>
    <n v="9593"/>
  </r>
  <r>
    <x v="1"/>
    <n v="11.99"/>
    <n v="7507"/>
  </r>
  <r>
    <x v="1"/>
    <n v="15.99"/>
    <n v="2884"/>
  </r>
  <r>
    <x v="1"/>
    <n v="15.99"/>
    <n v="6374"/>
  </r>
  <r>
    <x v="1"/>
    <n v="15.99"/>
    <n v="6888"/>
  </r>
  <r>
    <x v="1"/>
    <n v="15.99"/>
    <n v="2788"/>
  </r>
  <r>
    <x v="0"/>
    <n v="7.99"/>
    <n v="7892"/>
  </r>
  <r>
    <x v="1"/>
    <n v="15.99"/>
    <n v="4576"/>
  </r>
  <r>
    <x v="1"/>
    <n v="11.99"/>
    <n v="8901"/>
  </r>
  <r>
    <x v="0"/>
    <n v="7.99"/>
    <n v="5147"/>
  </r>
  <r>
    <x v="0"/>
    <n v="7.99"/>
    <n v="8646"/>
  </r>
  <r>
    <x v="0"/>
    <n v="7.99"/>
    <n v="8343"/>
  </r>
  <r>
    <x v="1"/>
    <n v="15.99"/>
    <n v="9332"/>
  </r>
  <r>
    <x v="1"/>
    <n v="11.99"/>
    <n v="7398"/>
  </r>
  <r>
    <x v="1"/>
    <n v="11.99"/>
    <n v="3572"/>
  </r>
  <r>
    <x v="1"/>
    <n v="11.99"/>
    <n v="4590"/>
  </r>
  <r>
    <x v="0"/>
    <n v="7.99"/>
    <n v="1831"/>
  </r>
  <r>
    <x v="1"/>
    <n v="15.99"/>
    <n v="6899"/>
  </r>
  <r>
    <x v="1"/>
    <n v="15.99"/>
    <n v="1148"/>
  </r>
  <r>
    <x v="1"/>
    <n v="11.99"/>
    <n v="3745"/>
  </r>
  <r>
    <x v="1"/>
    <n v="11.99"/>
    <n v="5084"/>
  </r>
  <r>
    <x v="1"/>
    <n v="11.99"/>
    <n v="7179"/>
  </r>
  <r>
    <x v="1"/>
    <n v="11.99"/>
    <n v="1005"/>
  </r>
  <r>
    <x v="1"/>
    <n v="11.99"/>
    <n v="6405"/>
  </r>
  <r>
    <x v="0"/>
    <n v="7.99"/>
    <n v="5215"/>
  </r>
  <r>
    <x v="1"/>
    <n v="15.99"/>
    <n v="7525"/>
  </r>
  <r>
    <x v="1"/>
    <n v="11.99"/>
    <n v="9115"/>
  </r>
  <r>
    <x v="1"/>
    <n v="15.99"/>
    <n v="6454"/>
  </r>
  <r>
    <x v="1"/>
    <n v="15.99"/>
    <n v="4781"/>
  </r>
  <r>
    <x v="1"/>
    <n v="11.99"/>
    <n v="5040"/>
  </r>
  <r>
    <x v="0"/>
    <n v="7.99"/>
    <n v="3209"/>
  </r>
  <r>
    <x v="1"/>
    <n v="15.99"/>
    <n v="8703"/>
  </r>
  <r>
    <x v="1"/>
    <n v="15.99"/>
    <n v="2536"/>
  </r>
  <r>
    <x v="0"/>
    <n v="7.99"/>
    <n v="2057"/>
  </r>
  <r>
    <x v="1"/>
    <n v="11.99"/>
    <n v="5627"/>
  </r>
  <r>
    <x v="1"/>
    <n v="15.99"/>
    <n v="4763"/>
  </r>
  <r>
    <x v="1"/>
    <n v="11.99"/>
    <n v="4577"/>
  </r>
  <r>
    <x v="1"/>
    <n v="15.99"/>
    <n v="5216"/>
  </r>
  <r>
    <x v="1"/>
    <n v="11.99"/>
    <n v="3941"/>
  </r>
  <r>
    <x v="1"/>
    <n v="15.99"/>
    <n v="4396"/>
  </r>
  <r>
    <x v="0"/>
    <n v="7.99"/>
    <n v="4865"/>
  </r>
  <r>
    <x v="0"/>
    <n v="7.99"/>
    <n v="2497"/>
  </r>
  <r>
    <x v="1"/>
    <n v="11.99"/>
    <n v="4945"/>
  </r>
  <r>
    <x v="0"/>
    <n v="7.99"/>
    <n v="5227"/>
  </r>
  <r>
    <x v="1"/>
    <n v="11.99"/>
    <n v="2150"/>
  </r>
  <r>
    <x v="0"/>
    <n v="7.99"/>
    <n v="7145"/>
  </r>
  <r>
    <x v="0"/>
    <n v="7.99"/>
    <n v="2040"/>
  </r>
  <r>
    <x v="0"/>
    <n v="7.99"/>
    <n v="4191"/>
  </r>
  <r>
    <x v="1"/>
    <n v="15.99"/>
    <n v="4336"/>
  </r>
  <r>
    <x v="1"/>
    <n v="11.99"/>
    <n v="5438"/>
  </r>
  <r>
    <x v="0"/>
    <n v="7.99"/>
    <n v="9857"/>
  </r>
  <r>
    <x v="1"/>
    <n v="15.99"/>
    <n v="4767"/>
  </r>
  <r>
    <x v="1"/>
    <n v="15.99"/>
    <n v="9374"/>
  </r>
  <r>
    <x v="0"/>
    <n v="7.99"/>
    <n v="3918"/>
  </r>
  <r>
    <x v="1"/>
    <n v="11.99"/>
    <n v="9866"/>
  </r>
  <r>
    <x v="1"/>
    <n v="11.99"/>
    <n v="6389"/>
  </r>
  <r>
    <x v="1"/>
    <n v="15.99"/>
    <n v="8733"/>
  </r>
  <r>
    <x v="1"/>
    <n v="15.99"/>
    <n v="8105"/>
  </r>
  <r>
    <x v="1"/>
    <n v="15.99"/>
    <n v="3443"/>
  </r>
  <r>
    <x v="0"/>
    <n v="7.99"/>
    <n v="2664"/>
  </r>
  <r>
    <x v="1"/>
    <n v="15.99"/>
    <n v="1782"/>
  </r>
  <r>
    <x v="0"/>
    <n v="7.99"/>
    <n v="1337"/>
  </r>
  <r>
    <x v="0"/>
    <n v="7.99"/>
    <n v="5901"/>
  </r>
  <r>
    <x v="1"/>
    <n v="15.99"/>
    <n v="2731"/>
  </r>
  <r>
    <x v="0"/>
    <n v="7.99"/>
    <n v="8307"/>
  </r>
  <r>
    <x v="1"/>
    <n v="11.99"/>
    <n v="8019"/>
  </r>
  <r>
    <x v="1"/>
    <n v="15.99"/>
    <n v="4847"/>
  </r>
  <r>
    <x v="0"/>
    <n v="7.99"/>
    <n v="9822"/>
  </r>
  <r>
    <x v="0"/>
    <n v="7.99"/>
    <n v="9141"/>
  </r>
  <r>
    <x v="0"/>
    <n v="7.99"/>
    <n v="7539"/>
  </r>
  <r>
    <x v="1"/>
    <n v="11.99"/>
    <n v="1390"/>
  </r>
  <r>
    <x v="1"/>
    <n v="15.99"/>
    <n v="9505"/>
  </r>
  <r>
    <x v="0"/>
    <n v="7.99"/>
    <n v="6741"/>
  </r>
  <r>
    <x v="1"/>
    <n v="11.99"/>
    <n v="1790"/>
  </r>
  <r>
    <x v="0"/>
    <n v="7.99"/>
    <n v="6491"/>
  </r>
  <r>
    <x v="0"/>
    <n v="7.99"/>
    <n v="3102"/>
  </r>
  <r>
    <x v="1"/>
    <n v="11.99"/>
    <n v="1300"/>
  </r>
  <r>
    <x v="1"/>
    <n v="15.99"/>
    <n v="5410"/>
  </r>
  <r>
    <x v="1"/>
    <n v="11.99"/>
    <n v="2714"/>
  </r>
  <r>
    <x v="0"/>
    <n v="7.99"/>
    <n v="4700"/>
  </r>
  <r>
    <x v="1"/>
    <n v="15.99"/>
    <n v="7589"/>
  </r>
  <r>
    <x v="1"/>
    <n v="11.99"/>
    <n v="6866"/>
  </r>
  <r>
    <x v="1"/>
    <n v="15.99"/>
    <n v="6960"/>
  </r>
  <r>
    <x v="1"/>
    <n v="15.99"/>
    <n v="5808"/>
  </r>
  <r>
    <x v="1"/>
    <n v="15.99"/>
    <n v="5525"/>
  </r>
  <r>
    <x v="1"/>
    <n v="15.99"/>
    <n v="1272"/>
  </r>
  <r>
    <x v="0"/>
    <n v="7.99"/>
    <n v="8063"/>
  </r>
  <r>
    <x v="1"/>
    <n v="15.99"/>
    <n v="1856"/>
  </r>
  <r>
    <x v="1"/>
    <n v="11.99"/>
    <n v="2830"/>
  </r>
  <r>
    <x v="1"/>
    <n v="15.99"/>
    <n v="3287"/>
  </r>
  <r>
    <x v="1"/>
    <n v="15.99"/>
    <n v="5679"/>
  </r>
  <r>
    <x v="1"/>
    <n v="11.99"/>
    <n v="6399"/>
  </r>
  <r>
    <x v="1"/>
    <n v="11.99"/>
    <n v="8753"/>
  </r>
  <r>
    <x v="1"/>
    <n v="15.99"/>
    <n v="9267"/>
  </r>
  <r>
    <x v="0"/>
    <n v="7.99"/>
    <n v="9846"/>
  </r>
  <r>
    <x v="1"/>
    <n v="15.99"/>
    <n v="2382"/>
  </r>
  <r>
    <x v="0"/>
    <n v="7.99"/>
    <n v="3593"/>
  </r>
  <r>
    <x v="0"/>
    <n v="7.99"/>
    <n v="4097"/>
  </r>
  <r>
    <x v="1"/>
    <n v="15.99"/>
    <n v="2886"/>
  </r>
  <r>
    <x v="0"/>
    <n v="7.99"/>
    <n v="3255"/>
  </r>
  <r>
    <x v="1"/>
    <n v="11.99"/>
    <n v="6752"/>
  </r>
  <r>
    <x v="1"/>
    <n v="11.99"/>
    <n v="7945"/>
  </r>
  <r>
    <x v="0"/>
    <n v="7.99"/>
    <n v="6658"/>
  </r>
  <r>
    <x v="1"/>
    <n v="11.99"/>
    <n v="5468"/>
  </r>
  <r>
    <x v="1"/>
    <n v="15.99"/>
    <n v="7451"/>
  </r>
  <r>
    <x v="1"/>
    <n v="11.99"/>
    <n v="1253"/>
  </r>
  <r>
    <x v="0"/>
    <n v="7.99"/>
    <n v="6746"/>
  </r>
  <r>
    <x v="0"/>
    <n v="7.99"/>
    <n v="8089"/>
  </r>
  <r>
    <x v="0"/>
    <n v="7.99"/>
    <n v="8045"/>
  </r>
  <r>
    <x v="1"/>
    <n v="11.99"/>
    <n v="9417"/>
  </r>
  <r>
    <x v="1"/>
    <n v="15.99"/>
    <n v="3217"/>
  </r>
  <r>
    <x v="1"/>
    <n v="15.99"/>
    <n v="4234"/>
  </r>
  <r>
    <x v="1"/>
    <n v="15.99"/>
    <n v="1118"/>
  </r>
  <r>
    <x v="1"/>
    <n v="15.99"/>
    <n v="4027"/>
  </r>
  <r>
    <x v="1"/>
    <n v="11.99"/>
    <n v="8451"/>
  </r>
  <r>
    <x v="1"/>
    <n v="15.99"/>
    <n v="6647"/>
  </r>
  <r>
    <x v="1"/>
    <n v="11.99"/>
    <n v="4002"/>
  </r>
  <r>
    <x v="0"/>
    <n v="7.99"/>
    <n v="6910"/>
  </r>
  <r>
    <x v="1"/>
    <n v="15.99"/>
    <n v="3164"/>
  </r>
  <r>
    <x v="1"/>
    <n v="15.99"/>
    <n v="2400"/>
  </r>
  <r>
    <x v="1"/>
    <n v="15.99"/>
    <n v="5499"/>
  </r>
  <r>
    <x v="1"/>
    <n v="15.99"/>
    <n v="7221"/>
  </r>
  <r>
    <x v="1"/>
    <n v="11.99"/>
    <n v="4556"/>
  </r>
  <r>
    <x v="1"/>
    <n v="11.99"/>
    <n v="7175"/>
  </r>
  <r>
    <x v="1"/>
    <n v="15.99"/>
    <n v="7072"/>
  </r>
  <r>
    <x v="1"/>
    <n v="15.99"/>
    <n v="4320"/>
  </r>
  <r>
    <x v="1"/>
    <n v="15.99"/>
    <n v="3558"/>
  </r>
  <r>
    <x v="1"/>
    <n v="11.99"/>
    <n v="8581"/>
  </r>
  <r>
    <x v="1"/>
    <n v="15.99"/>
    <n v="5827"/>
  </r>
  <r>
    <x v="1"/>
    <n v="11.99"/>
    <n v="6929"/>
  </r>
  <r>
    <x v="1"/>
    <n v="15.99"/>
    <n v="9179"/>
  </r>
  <r>
    <x v="0"/>
    <n v="7.99"/>
    <n v="7580"/>
  </r>
  <r>
    <x v="1"/>
    <n v="15.99"/>
    <n v="3858"/>
  </r>
  <r>
    <x v="1"/>
    <n v="11.99"/>
    <n v="8627"/>
  </r>
  <r>
    <x v="1"/>
    <n v="15.99"/>
    <n v="7552"/>
  </r>
  <r>
    <x v="1"/>
    <n v="11.99"/>
    <n v="6020"/>
  </r>
  <r>
    <x v="0"/>
    <n v="7.99"/>
    <n v="9408"/>
  </r>
  <r>
    <x v="1"/>
    <n v="15.99"/>
    <n v="9990"/>
  </r>
  <r>
    <x v="1"/>
    <n v="15.99"/>
    <n v="3687"/>
  </r>
  <r>
    <x v="1"/>
    <n v="15.99"/>
    <n v="4540"/>
  </r>
  <r>
    <x v="1"/>
    <n v="15.99"/>
    <n v="8264"/>
  </r>
  <r>
    <x v="0"/>
    <n v="7.99"/>
    <n v="7448"/>
  </r>
  <r>
    <x v="0"/>
    <n v="7.99"/>
    <n v="1123"/>
  </r>
  <r>
    <x v="1"/>
    <n v="11.99"/>
    <n v="4103"/>
  </r>
  <r>
    <x v="0"/>
    <n v="7.99"/>
    <n v="2904"/>
  </r>
  <r>
    <x v="0"/>
    <n v="7.99"/>
    <n v="5634"/>
  </r>
  <r>
    <x v="0"/>
    <n v="7.99"/>
    <n v="5360"/>
  </r>
  <r>
    <x v="1"/>
    <n v="15.99"/>
    <n v="8571"/>
  </r>
  <r>
    <x v="1"/>
    <n v="11.99"/>
    <n v="9439"/>
  </r>
  <r>
    <x v="1"/>
    <n v="15.99"/>
    <n v="8356"/>
  </r>
  <r>
    <x v="1"/>
    <n v="15.99"/>
    <n v="2039"/>
  </r>
  <r>
    <x v="0"/>
    <n v="7.99"/>
    <n v="2613"/>
  </r>
  <r>
    <x v="0"/>
    <n v="7.99"/>
    <n v="8226"/>
  </r>
  <r>
    <x v="0"/>
    <n v="7.99"/>
    <n v="1425"/>
  </r>
  <r>
    <x v="1"/>
    <n v="15.99"/>
    <n v="4479"/>
  </r>
  <r>
    <x v="0"/>
    <n v="7.99"/>
    <n v="3393"/>
  </r>
  <r>
    <x v="0"/>
    <n v="7.99"/>
    <n v="8528"/>
  </r>
  <r>
    <x v="0"/>
    <n v="7.99"/>
    <n v="9372"/>
  </r>
  <r>
    <x v="1"/>
    <n v="15.99"/>
    <n v="5469"/>
  </r>
  <r>
    <x v="1"/>
    <n v="11.99"/>
    <n v="2603"/>
  </r>
  <r>
    <x v="1"/>
    <n v="15.99"/>
    <n v="5306"/>
  </r>
  <r>
    <x v="1"/>
    <n v="15.99"/>
    <n v="7869"/>
  </r>
  <r>
    <x v="1"/>
    <n v="15.99"/>
    <n v="1699"/>
  </r>
  <r>
    <x v="1"/>
    <n v="15.99"/>
    <n v="3214"/>
  </r>
  <r>
    <x v="1"/>
    <n v="11.99"/>
    <n v="1050"/>
  </r>
  <r>
    <x v="1"/>
    <n v="15.99"/>
    <n v="3325"/>
  </r>
  <r>
    <x v="1"/>
    <n v="15.99"/>
    <n v="1970"/>
  </r>
  <r>
    <x v="1"/>
    <n v="11.99"/>
    <n v="6272"/>
  </r>
  <r>
    <x v="0"/>
    <n v="7.99"/>
    <n v="4745"/>
  </r>
  <r>
    <x v="1"/>
    <n v="15.99"/>
    <n v="8867"/>
  </r>
  <r>
    <x v="0"/>
    <n v="7.99"/>
    <n v="4901"/>
  </r>
  <r>
    <x v="1"/>
    <n v="11.99"/>
    <n v="9575"/>
  </r>
  <r>
    <x v="1"/>
    <n v="11.99"/>
    <n v="4471"/>
  </r>
  <r>
    <x v="1"/>
    <n v="11.99"/>
    <n v="1385"/>
  </r>
  <r>
    <x v="1"/>
    <n v="11.99"/>
    <n v="4302"/>
  </r>
  <r>
    <x v="1"/>
    <n v="15.99"/>
    <n v="4738"/>
  </r>
  <r>
    <x v="1"/>
    <n v="11.99"/>
    <n v="2441"/>
  </r>
  <r>
    <x v="1"/>
    <n v="15.99"/>
    <n v="6546"/>
  </r>
  <r>
    <x v="1"/>
    <n v="15.99"/>
    <n v="5459"/>
  </r>
  <r>
    <x v="0"/>
    <n v="7.99"/>
    <n v="7051"/>
  </r>
  <r>
    <x v="1"/>
    <n v="15.99"/>
    <n v="6671"/>
  </r>
  <r>
    <x v="1"/>
    <n v="15.99"/>
    <n v="6013"/>
  </r>
  <r>
    <x v="0"/>
    <n v="7.99"/>
    <n v="9996"/>
  </r>
  <r>
    <x v="1"/>
    <n v="15.99"/>
    <n v="4851"/>
  </r>
  <r>
    <x v="1"/>
    <n v="11.99"/>
    <n v="2498"/>
  </r>
  <r>
    <x v="0"/>
    <n v="7.99"/>
    <n v="6208"/>
  </r>
  <r>
    <x v="1"/>
    <n v="11.99"/>
    <n v="7171"/>
  </r>
  <r>
    <x v="1"/>
    <n v="15.99"/>
    <n v="7667"/>
  </r>
  <r>
    <x v="1"/>
    <n v="15.99"/>
    <n v="4912"/>
  </r>
  <r>
    <x v="1"/>
    <n v="15.99"/>
    <n v="7975"/>
  </r>
  <r>
    <x v="1"/>
    <n v="15.99"/>
    <n v="6804"/>
  </r>
  <r>
    <x v="1"/>
    <n v="11.99"/>
    <n v="3877"/>
  </r>
  <r>
    <x v="1"/>
    <n v="15.99"/>
    <n v="8768"/>
  </r>
  <r>
    <x v="0"/>
    <n v="7.99"/>
    <n v="1420"/>
  </r>
  <r>
    <x v="1"/>
    <n v="11.99"/>
    <n v="2306"/>
  </r>
  <r>
    <x v="1"/>
    <n v="11.99"/>
    <n v="2079"/>
  </r>
  <r>
    <x v="0"/>
    <n v="7.99"/>
    <n v="3554"/>
  </r>
  <r>
    <x v="1"/>
    <n v="15.99"/>
    <n v="7616"/>
  </r>
  <r>
    <x v="1"/>
    <n v="15.99"/>
    <n v="5650"/>
  </r>
  <r>
    <x v="0"/>
    <n v="7.99"/>
    <n v="9385"/>
  </r>
  <r>
    <x v="0"/>
    <n v="7.99"/>
    <n v="2482"/>
  </r>
  <r>
    <x v="1"/>
    <n v="11.99"/>
    <n v="9017"/>
  </r>
  <r>
    <x v="1"/>
    <n v="11.99"/>
    <n v="7001"/>
  </r>
  <r>
    <x v="1"/>
    <n v="11.99"/>
    <n v="2942"/>
  </r>
  <r>
    <x v="0"/>
    <n v="7.99"/>
    <n v="8833"/>
  </r>
  <r>
    <x v="0"/>
    <n v="7.99"/>
    <n v="8079"/>
  </r>
  <r>
    <x v="1"/>
    <n v="11.99"/>
    <n v="3797"/>
  </r>
  <r>
    <x v="1"/>
    <n v="15.99"/>
    <n v="7268"/>
  </r>
  <r>
    <x v="1"/>
    <n v="11.99"/>
    <n v="9803"/>
  </r>
  <r>
    <x v="1"/>
    <n v="15.99"/>
    <n v="2165"/>
  </r>
  <r>
    <x v="1"/>
    <n v="11.99"/>
    <n v="1528"/>
  </r>
  <r>
    <x v="1"/>
    <n v="11.99"/>
    <n v="5978"/>
  </r>
  <r>
    <x v="1"/>
    <n v="11.99"/>
    <n v="5967"/>
  </r>
  <r>
    <x v="1"/>
    <n v="11.99"/>
    <n v="4254"/>
  </r>
  <r>
    <x v="0"/>
    <n v="7.99"/>
    <n v="2186"/>
  </r>
  <r>
    <x v="1"/>
    <n v="15.99"/>
    <n v="7644"/>
  </r>
  <r>
    <x v="0"/>
    <n v="7.99"/>
    <n v="5897"/>
  </r>
  <r>
    <x v="1"/>
    <n v="11.99"/>
    <n v="7465"/>
  </r>
  <r>
    <x v="0"/>
    <n v="7.99"/>
    <n v="3724"/>
  </r>
  <r>
    <x v="1"/>
    <n v="15.99"/>
    <n v="2914"/>
  </r>
  <r>
    <x v="1"/>
    <n v="11.99"/>
    <n v="4110"/>
  </r>
  <r>
    <x v="1"/>
    <n v="15.99"/>
    <n v="6944"/>
  </r>
  <r>
    <x v="1"/>
    <n v="11.99"/>
    <n v="3639"/>
  </r>
  <r>
    <x v="1"/>
    <n v="11.99"/>
    <n v="8416"/>
  </r>
  <r>
    <x v="0"/>
    <n v="7.99"/>
    <n v="7753"/>
  </r>
  <r>
    <x v="1"/>
    <n v="11.99"/>
    <n v="9528"/>
  </r>
  <r>
    <x v="1"/>
    <n v="11.99"/>
    <n v="2960"/>
  </r>
  <r>
    <x v="1"/>
    <n v="15.99"/>
    <n v="1090"/>
  </r>
  <r>
    <x v="1"/>
    <n v="11.99"/>
    <n v="2410"/>
  </r>
  <r>
    <x v="1"/>
    <n v="11.99"/>
    <n v="1575"/>
  </r>
  <r>
    <x v="1"/>
    <n v="11.99"/>
    <n v="9259"/>
  </r>
  <r>
    <x v="1"/>
    <n v="15.99"/>
    <n v="2170"/>
  </r>
  <r>
    <x v="0"/>
    <n v="7.99"/>
    <n v="2237"/>
  </r>
  <r>
    <x v="1"/>
    <n v="15.99"/>
    <n v="2697"/>
  </r>
  <r>
    <x v="0"/>
    <n v="7.99"/>
    <n v="4488"/>
  </r>
  <r>
    <x v="1"/>
    <n v="11.99"/>
    <n v="5291"/>
  </r>
  <r>
    <x v="1"/>
    <n v="11.99"/>
    <n v="6287"/>
  </r>
  <r>
    <x v="1"/>
    <n v="15.99"/>
    <n v="1953"/>
  </r>
  <r>
    <x v="1"/>
    <n v="15.99"/>
    <n v="3457"/>
  </r>
  <r>
    <x v="0"/>
    <n v="7.99"/>
    <n v="6504"/>
  </r>
  <r>
    <x v="1"/>
    <n v="11.99"/>
    <n v="7463"/>
  </r>
  <r>
    <x v="1"/>
    <n v="11.99"/>
    <n v="3898"/>
  </r>
  <r>
    <x v="0"/>
    <n v="7.99"/>
    <n v="8481"/>
  </r>
  <r>
    <x v="0"/>
    <n v="7.99"/>
    <n v="7810"/>
  </r>
  <r>
    <x v="1"/>
    <n v="11.99"/>
    <n v="6534"/>
  </r>
  <r>
    <x v="1"/>
    <n v="15.99"/>
    <n v="6025"/>
  </r>
  <r>
    <x v="0"/>
    <n v="7.99"/>
    <n v="5825"/>
  </r>
  <r>
    <x v="1"/>
    <n v="15.99"/>
    <n v="1185"/>
  </r>
  <r>
    <x v="1"/>
    <n v="11.99"/>
    <n v="4392"/>
  </r>
  <r>
    <x v="0"/>
    <n v="7.99"/>
    <n v="5785"/>
  </r>
  <r>
    <x v="1"/>
    <n v="15.99"/>
    <n v="4718"/>
  </r>
  <r>
    <x v="1"/>
    <n v="11.99"/>
    <n v="3992"/>
  </r>
  <r>
    <x v="1"/>
    <n v="11.99"/>
    <n v="6100"/>
  </r>
  <r>
    <x v="0"/>
    <n v="7.99"/>
    <n v="8495"/>
  </r>
  <r>
    <x v="0"/>
    <n v="7.99"/>
    <n v="3083"/>
  </r>
  <r>
    <x v="0"/>
    <n v="7.99"/>
    <n v="9936"/>
  </r>
  <r>
    <x v="1"/>
    <n v="15.99"/>
    <n v="2418"/>
  </r>
  <r>
    <x v="1"/>
    <n v="11.99"/>
    <n v="4089"/>
  </r>
  <r>
    <x v="1"/>
    <n v="11.99"/>
    <n v="8876"/>
  </r>
  <r>
    <x v="1"/>
    <n v="15.99"/>
    <n v="3959"/>
  </r>
  <r>
    <x v="0"/>
    <n v="7.99"/>
    <n v="2011"/>
  </r>
  <r>
    <x v="1"/>
    <n v="11.99"/>
    <n v="7896"/>
  </r>
  <r>
    <x v="1"/>
    <n v="11.99"/>
    <n v="5495"/>
  </r>
  <r>
    <x v="1"/>
    <n v="11.99"/>
    <n v="6219"/>
  </r>
  <r>
    <x v="1"/>
    <n v="15.99"/>
    <n v="4458"/>
  </r>
  <r>
    <x v="1"/>
    <n v="15.99"/>
    <n v="4115"/>
  </r>
  <r>
    <x v="1"/>
    <n v="15.99"/>
    <n v="6586"/>
  </r>
  <r>
    <x v="1"/>
    <n v="15.99"/>
    <n v="3985"/>
  </r>
  <r>
    <x v="1"/>
    <n v="11.99"/>
    <n v="8501"/>
  </r>
  <r>
    <x v="1"/>
    <n v="11.99"/>
    <n v="4048"/>
  </r>
  <r>
    <x v="1"/>
    <n v="11.99"/>
    <n v="4466"/>
  </r>
  <r>
    <x v="0"/>
    <n v="7.99"/>
    <n v="5479"/>
  </r>
  <r>
    <x v="1"/>
    <n v="15.99"/>
    <n v="2480"/>
  </r>
  <r>
    <x v="1"/>
    <n v="15.99"/>
    <n v="6288"/>
  </r>
  <r>
    <x v="1"/>
    <n v="11.99"/>
    <n v="9973"/>
  </r>
  <r>
    <x v="0"/>
    <n v="7.99"/>
    <n v="6078"/>
  </r>
  <r>
    <x v="1"/>
    <n v="15.99"/>
    <n v="5362"/>
  </r>
  <r>
    <x v="0"/>
    <n v="7.99"/>
    <n v="1687"/>
  </r>
  <r>
    <x v="1"/>
    <n v="15.99"/>
    <n v="8986"/>
  </r>
  <r>
    <x v="0"/>
    <n v="7.99"/>
    <n v="5994"/>
  </r>
  <r>
    <x v="1"/>
    <n v="15.99"/>
    <n v="6293"/>
  </r>
  <r>
    <x v="1"/>
    <n v="11.99"/>
    <n v="7558"/>
  </r>
  <r>
    <x v="1"/>
    <n v="11.99"/>
    <n v="1805"/>
  </r>
  <r>
    <x v="1"/>
    <n v="15.99"/>
    <n v="1661"/>
  </r>
  <r>
    <x v="1"/>
    <n v="15.99"/>
    <n v="8960"/>
  </r>
  <r>
    <x v="0"/>
    <n v="7.99"/>
    <n v="6131"/>
  </r>
  <r>
    <x v="1"/>
    <n v="11.99"/>
    <n v="4114"/>
  </r>
  <r>
    <x v="0"/>
    <n v="7.99"/>
    <n v="4833"/>
  </r>
  <r>
    <x v="0"/>
    <n v="7.99"/>
    <n v="2401"/>
  </r>
  <r>
    <x v="0"/>
    <n v="7.99"/>
    <n v="1037"/>
  </r>
  <r>
    <x v="1"/>
    <n v="15.99"/>
    <n v="2675"/>
  </r>
  <r>
    <x v="1"/>
    <n v="11.99"/>
    <n v="1665"/>
  </r>
  <r>
    <x v="1"/>
    <n v="11.99"/>
    <n v="5671"/>
  </r>
  <r>
    <x v="0"/>
    <n v="7.99"/>
    <n v="5153"/>
  </r>
  <r>
    <x v="1"/>
    <n v="11.99"/>
    <n v="1114"/>
  </r>
  <r>
    <x v="1"/>
    <n v="11.99"/>
    <n v="6180"/>
  </r>
  <r>
    <x v="0"/>
    <n v="7.99"/>
    <n v="8237"/>
  </r>
  <r>
    <x v="1"/>
    <n v="11.99"/>
    <n v="9500"/>
  </r>
  <r>
    <x v="1"/>
    <n v="11.99"/>
    <n v="7476"/>
  </r>
  <r>
    <x v="1"/>
    <n v="11.99"/>
    <n v="9908"/>
  </r>
  <r>
    <x v="0"/>
    <n v="7.99"/>
    <n v="1534"/>
  </r>
  <r>
    <x v="1"/>
    <n v="15.99"/>
    <n v="4613"/>
  </r>
  <r>
    <x v="0"/>
    <n v="7.99"/>
    <n v="5063"/>
  </r>
  <r>
    <x v="0"/>
    <n v="7.99"/>
    <n v="4548"/>
  </r>
  <r>
    <x v="1"/>
    <n v="15.99"/>
    <n v="7556"/>
  </r>
  <r>
    <x v="1"/>
    <n v="15.99"/>
    <n v="1846"/>
  </r>
  <r>
    <x v="1"/>
    <n v="11.99"/>
    <n v="7088"/>
  </r>
  <r>
    <x v="1"/>
    <n v="11.99"/>
    <n v="1179"/>
  </r>
  <r>
    <x v="0"/>
    <n v="7.99"/>
    <n v="2190"/>
  </r>
  <r>
    <x v="1"/>
    <n v="15.99"/>
    <n v="2847"/>
  </r>
  <r>
    <x v="1"/>
    <n v="11.99"/>
    <n v="6570"/>
  </r>
  <r>
    <x v="1"/>
    <n v="11.99"/>
    <n v="1149"/>
  </r>
  <r>
    <x v="1"/>
    <n v="11.99"/>
    <n v="1336"/>
  </r>
  <r>
    <x v="1"/>
    <n v="15.99"/>
    <n v="6956"/>
  </r>
  <r>
    <x v="1"/>
    <n v="11.99"/>
    <n v="7015"/>
  </r>
  <r>
    <x v="1"/>
    <n v="15.99"/>
    <n v="4104"/>
  </r>
  <r>
    <x v="1"/>
    <n v="15.99"/>
    <n v="9413"/>
  </r>
  <r>
    <x v="1"/>
    <n v="15.99"/>
    <n v="8300"/>
  </r>
  <r>
    <x v="0"/>
    <n v="7.99"/>
    <n v="5126"/>
  </r>
  <r>
    <x v="1"/>
    <n v="15.99"/>
    <n v="1754"/>
  </r>
  <r>
    <x v="0"/>
    <n v="7.99"/>
    <n v="7089"/>
  </r>
  <r>
    <x v="0"/>
    <n v="7.99"/>
    <n v="1697"/>
  </r>
  <r>
    <x v="1"/>
    <n v="15.99"/>
    <n v="4768"/>
  </r>
  <r>
    <x v="1"/>
    <n v="15.99"/>
    <n v="4205"/>
  </r>
  <r>
    <x v="0"/>
    <n v="7.99"/>
    <n v="8844"/>
  </r>
  <r>
    <x v="0"/>
    <n v="7.99"/>
    <n v="1103"/>
  </r>
  <r>
    <x v="0"/>
    <n v="7.99"/>
    <n v="2180"/>
  </r>
  <r>
    <x v="1"/>
    <n v="15.99"/>
    <n v="6607"/>
  </r>
  <r>
    <x v="1"/>
    <n v="11.99"/>
    <n v="7949"/>
  </r>
  <r>
    <x v="0"/>
    <n v="7.99"/>
    <n v="5337"/>
  </r>
  <r>
    <x v="0"/>
    <n v="7.99"/>
    <n v="8477"/>
  </r>
  <r>
    <x v="0"/>
    <n v="7.99"/>
    <n v="7673"/>
  </r>
  <r>
    <x v="1"/>
    <n v="11.99"/>
    <n v="6113"/>
  </r>
  <r>
    <x v="1"/>
    <n v="11.99"/>
    <n v="7457"/>
  </r>
  <r>
    <x v="0"/>
    <n v="7.99"/>
    <n v="6639"/>
  </r>
  <r>
    <x v="0"/>
    <n v="7.99"/>
    <n v="5220"/>
  </r>
  <r>
    <x v="0"/>
    <n v="7.99"/>
    <n v="6970"/>
  </r>
  <r>
    <x v="0"/>
    <n v="7.99"/>
    <n v="6705"/>
  </r>
  <r>
    <x v="1"/>
    <n v="15.99"/>
    <n v="2477"/>
  </r>
  <r>
    <x v="1"/>
    <n v="11.99"/>
    <n v="6236"/>
  </r>
  <r>
    <x v="0"/>
    <n v="7.99"/>
    <n v="4079"/>
  </r>
  <r>
    <x v="0"/>
    <n v="7.99"/>
    <n v="7927"/>
  </r>
  <r>
    <x v="1"/>
    <n v="11.99"/>
    <n v="5059"/>
  </r>
  <r>
    <x v="1"/>
    <n v="11.99"/>
    <n v="4210"/>
  </r>
  <r>
    <x v="1"/>
    <n v="11.99"/>
    <n v="5054"/>
  </r>
  <r>
    <x v="1"/>
    <n v="15.99"/>
    <n v="5836"/>
  </r>
  <r>
    <x v="0"/>
    <n v="7.99"/>
    <n v="8612"/>
  </r>
  <r>
    <x v="1"/>
    <n v="15.99"/>
    <n v="7445"/>
  </r>
  <r>
    <x v="0"/>
    <n v="7.99"/>
    <n v="6135"/>
  </r>
  <r>
    <x v="0"/>
    <n v="7.99"/>
    <n v="3168"/>
  </r>
  <r>
    <x v="1"/>
    <n v="11.99"/>
    <n v="2981"/>
  </r>
  <r>
    <x v="0"/>
    <n v="7.99"/>
    <n v="7739"/>
  </r>
  <r>
    <x v="1"/>
    <n v="15.99"/>
    <n v="5905"/>
  </r>
  <r>
    <x v="1"/>
    <n v="11.99"/>
    <n v="1443"/>
  </r>
  <r>
    <x v="1"/>
    <n v="11.99"/>
    <n v="6181"/>
  </r>
  <r>
    <x v="1"/>
    <n v="11.99"/>
    <n v="8406"/>
  </r>
  <r>
    <x v="1"/>
    <n v="11.99"/>
    <n v="5389"/>
  </r>
  <r>
    <x v="0"/>
    <n v="7.99"/>
    <n v="4586"/>
  </r>
  <r>
    <x v="1"/>
    <n v="15.99"/>
    <n v="4020"/>
  </r>
  <r>
    <x v="1"/>
    <n v="15.99"/>
    <n v="1635"/>
  </r>
  <r>
    <x v="0"/>
    <n v="7.99"/>
    <n v="9257"/>
  </r>
  <r>
    <x v="0"/>
    <n v="7.99"/>
    <n v="6380"/>
  </r>
  <r>
    <x v="1"/>
    <n v="11.99"/>
    <n v="6385"/>
  </r>
  <r>
    <x v="1"/>
    <n v="11.99"/>
    <n v="6858"/>
  </r>
  <r>
    <x v="1"/>
    <n v="15.99"/>
    <n v="8875"/>
  </r>
  <r>
    <x v="1"/>
    <n v="15.99"/>
    <n v="3334"/>
  </r>
  <r>
    <x v="1"/>
    <n v="15.99"/>
    <n v="5850"/>
  </r>
  <r>
    <x v="1"/>
    <n v="15.99"/>
    <n v="8593"/>
  </r>
  <r>
    <x v="0"/>
    <n v="7.99"/>
    <n v="6278"/>
  </r>
  <r>
    <x v="1"/>
    <n v="15.99"/>
    <n v="1388"/>
  </r>
  <r>
    <x v="1"/>
    <n v="15.99"/>
    <n v="2521"/>
  </r>
  <r>
    <x v="1"/>
    <n v="15.99"/>
    <n v="1269"/>
  </r>
  <r>
    <x v="1"/>
    <n v="15.99"/>
    <n v="9959"/>
  </r>
  <r>
    <x v="1"/>
    <n v="15.99"/>
    <n v="7549"/>
  </r>
  <r>
    <x v="1"/>
    <n v="11.99"/>
    <n v="4747"/>
  </r>
  <r>
    <x v="1"/>
    <n v="15.99"/>
    <n v="8320"/>
  </r>
  <r>
    <x v="1"/>
    <n v="15.99"/>
    <n v="1333"/>
  </r>
  <r>
    <x v="1"/>
    <n v="15.99"/>
    <n v="5254"/>
  </r>
  <r>
    <x v="1"/>
    <n v="15.99"/>
    <n v="6842"/>
  </r>
  <r>
    <x v="1"/>
    <n v="11.99"/>
    <n v="9333"/>
  </r>
  <r>
    <x v="1"/>
    <n v="15.99"/>
    <n v="9122"/>
  </r>
  <r>
    <x v="1"/>
    <n v="11.99"/>
    <n v="6221"/>
  </r>
  <r>
    <x v="1"/>
    <n v="15.99"/>
    <n v="9957"/>
  </r>
  <r>
    <x v="1"/>
    <n v="11.99"/>
    <n v="4680"/>
  </r>
  <r>
    <x v="1"/>
    <n v="15.99"/>
    <n v="5974"/>
  </r>
  <r>
    <x v="1"/>
    <n v="11.99"/>
    <n v="6938"/>
  </r>
  <r>
    <x v="1"/>
    <n v="15.99"/>
    <n v="1175"/>
  </r>
  <r>
    <x v="0"/>
    <n v="7.99"/>
    <n v="1260"/>
  </r>
  <r>
    <x v="0"/>
    <n v="7.99"/>
    <n v="4645"/>
  </r>
  <r>
    <x v="1"/>
    <n v="15.99"/>
    <n v="1637"/>
  </r>
  <r>
    <x v="1"/>
    <n v="15.99"/>
    <n v="7960"/>
  </r>
  <r>
    <x v="1"/>
    <n v="15.99"/>
    <n v="9693"/>
  </r>
  <r>
    <x v="1"/>
    <n v="11.99"/>
    <n v="8743"/>
  </r>
  <r>
    <x v="1"/>
    <n v="15.99"/>
    <n v="3379"/>
  </r>
  <r>
    <x v="1"/>
    <n v="15.99"/>
    <n v="7696"/>
  </r>
  <r>
    <x v="1"/>
    <n v="15.99"/>
    <n v="8552"/>
  </r>
  <r>
    <x v="1"/>
    <n v="11.99"/>
    <n v="5065"/>
  </r>
  <r>
    <x v="0"/>
    <n v="7.99"/>
    <n v="6878"/>
  </r>
  <r>
    <x v="1"/>
    <n v="11.99"/>
    <n v="5681"/>
  </r>
  <r>
    <x v="1"/>
    <n v="11.99"/>
    <n v="4448"/>
  </r>
  <r>
    <x v="1"/>
    <n v="11.99"/>
    <n v="5795"/>
  </r>
  <r>
    <x v="1"/>
    <n v="11.99"/>
    <n v="5320"/>
  </r>
  <r>
    <x v="2"/>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n v="49"/>
    <x v="0"/>
  </r>
  <r>
    <x v="1"/>
    <n v="161"/>
    <x v="1"/>
  </r>
  <r>
    <x v="0"/>
    <n v="87"/>
    <x v="0"/>
  </r>
  <r>
    <x v="2"/>
    <n v="321"/>
    <x v="1"/>
  </r>
  <r>
    <x v="3"/>
    <n v="386"/>
    <x v="1"/>
  </r>
  <r>
    <x v="3"/>
    <n v="408"/>
    <x v="2"/>
  </r>
  <r>
    <x v="4"/>
    <n v="475"/>
    <x v="0"/>
  </r>
  <r>
    <x v="0"/>
    <n v="258"/>
    <x v="3"/>
  </r>
  <r>
    <x v="5"/>
    <n v="183"/>
    <x v="1"/>
  </r>
  <r>
    <x v="3"/>
    <n v="164"/>
    <x v="4"/>
  </r>
  <r>
    <x v="5"/>
    <n v="411"/>
    <x v="4"/>
  </r>
  <r>
    <x v="1"/>
    <n v="160"/>
    <x v="0"/>
  </r>
  <r>
    <x v="1"/>
    <n v="348"/>
    <x v="3"/>
  </r>
  <r>
    <x v="3"/>
    <n v="451"/>
    <x v="2"/>
  </r>
  <r>
    <x v="3"/>
    <n v="69"/>
    <x v="2"/>
  </r>
  <r>
    <x v="4"/>
    <n v="166"/>
    <x v="0"/>
  </r>
  <r>
    <x v="4"/>
    <n v="449"/>
    <x v="1"/>
  </r>
  <r>
    <x v="6"/>
    <n v="441"/>
    <x v="0"/>
  </r>
  <r>
    <x v="5"/>
    <n v="224"/>
    <x v="2"/>
  </r>
  <r>
    <x v="0"/>
    <n v="44"/>
    <x v="3"/>
  </r>
  <r>
    <x v="1"/>
    <n v="202"/>
    <x v="0"/>
  </r>
  <r>
    <x v="4"/>
    <n v="39"/>
    <x v="4"/>
  </r>
  <r>
    <x v="6"/>
    <n v="319"/>
    <x v="0"/>
  </r>
  <r>
    <x v="2"/>
    <n v="150"/>
    <x v="4"/>
  </r>
  <r>
    <x v="6"/>
    <n v="496"/>
    <x v="4"/>
  </r>
  <r>
    <x v="4"/>
    <n v="347"/>
    <x v="2"/>
  </r>
  <r>
    <x v="0"/>
    <n v="201"/>
    <x v="2"/>
  </r>
  <r>
    <x v="6"/>
    <n v="415"/>
    <x v="0"/>
  </r>
  <r>
    <x v="4"/>
    <n v="32"/>
    <x v="0"/>
  </r>
  <r>
    <x v="5"/>
    <n v="338"/>
    <x v="4"/>
  </r>
  <r>
    <x v="3"/>
    <n v="52"/>
    <x v="4"/>
  </r>
  <r>
    <x v="6"/>
    <n v="447"/>
    <x v="1"/>
  </r>
  <r>
    <x v="4"/>
    <n v="312"/>
    <x v="1"/>
  </r>
  <r>
    <x v="2"/>
    <n v="406"/>
    <x v="1"/>
  </r>
  <r>
    <x v="4"/>
    <n v="350"/>
    <x v="2"/>
  </r>
  <r>
    <x v="5"/>
    <n v="99"/>
    <x v="4"/>
  </r>
  <r>
    <x v="2"/>
    <n v="53"/>
    <x v="0"/>
  </r>
  <r>
    <x v="6"/>
    <n v="484"/>
    <x v="1"/>
  </r>
  <r>
    <x v="3"/>
    <n v="211"/>
    <x v="2"/>
  </r>
  <r>
    <x v="2"/>
    <n v="248"/>
    <x v="0"/>
  </r>
  <r>
    <x v="6"/>
    <n v="197"/>
    <x v="0"/>
  </r>
  <r>
    <x v="5"/>
    <n v="253"/>
    <x v="3"/>
  </r>
  <r>
    <x v="6"/>
    <n v="352"/>
    <x v="3"/>
  </r>
  <r>
    <x v="6"/>
    <n v="97"/>
    <x v="2"/>
  </r>
  <r>
    <x v="2"/>
    <n v="283"/>
    <x v="1"/>
  </r>
  <r>
    <x v="3"/>
    <n v="307"/>
    <x v="0"/>
  </r>
  <r>
    <x v="5"/>
    <n v="203"/>
    <x v="3"/>
  </r>
  <r>
    <x v="1"/>
    <n v="22"/>
    <x v="2"/>
  </r>
  <r>
    <x v="6"/>
    <n v="382"/>
    <x v="0"/>
  </r>
  <r>
    <x v="5"/>
    <n v="302"/>
    <x v="3"/>
  </r>
  <r>
    <x v="2"/>
    <n v="76"/>
    <x v="2"/>
  </r>
  <r>
    <x v="3"/>
    <n v="125"/>
    <x v="2"/>
  </r>
  <r>
    <x v="4"/>
    <n v="113"/>
    <x v="0"/>
  </r>
  <r>
    <x v="6"/>
    <n v="183"/>
    <x v="3"/>
  </r>
  <r>
    <x v="3"/>
    <n v="272"/>
    <x v="3"/>
  </r>
  <r>
    <x v="5"/>
    <n v="19"/>
    <x v="2"/>
  </r>
  <r>
    <x v="1"/>
    <n v="204"/>
    <x v="3"/>
  </r>
  <r>
    <x v="4"/>
    <n v="345"/>
    <x v="4"/>
  </r>
  <r>
    <x v="5"/>
    <n v="294"/>
    <x v="2"/>
  </r>
  <r>
    <x v="0"/>
    <n v="318"/>
    <x v="1"/>
  </r>
  <r>
    <x v="0"/>
    <n v="396"/>
    <x v="0"/>
  </r>
  <r>
    <x v="4"/>
    <n v="455"/>
    <x v="1"/>
  </r>
  <r>
    <x v="5"/>
    <n v="175"/>
    <x v="0"/>
  </r>
  <r>
    <x v="2"/>
    <n v="36"/>
    <x v="2"/>
  </r>
  <r>
    <x v="3"/>
    <n v="349"/>
    <x v="4"/>
  </r>
  <r>
    <x v="3"/>
    <n v="262"/>
    <x v="2"/>
  </r>
  <r>
    <x v="0"/>
    <n v="378"/>
    <x v="4"/>
  </r>
  <r>
    <x v="3"/>
    <n v="469"/>
    <x v="0"/>
  </r>
  <r>
    <x v="4"/>
    <n v="87"/>
    <x v="4"/>
  </r>
  <r>
    <x v="3"/>
    <n v="471"/>
    <x v="4"/>
  </r>
  <r>
    <x v="6"/>
    <n v="469"/>
    <x v="4"/>
  </r>
  <r>
    <x v="2"/>
    <n v="298"/>
    <x v="0"/>
  </r>
  <r>
    <x v="0"/>
    <n v="331"/>
    <x v="0"/>
  </r>
  <r>
    <x v="3"/>
    <n v="238"/>
    <x v="0"/>
  </r>
  <r>
    <x v="5"/>
    <n v="231"/>
    <x v="4"/>
  </r>
  <r>
    <x v="2"/>
    <n v="457"/>
    <x v="4"/>
  </r>
  <r>
    <x v="1"/>
    <n v="373"/>
    <x v="4"/>
  </r>
  <r>
    <x v="0"/>
    <n v="11"/>
    <x v="1"/>
  </r>
  <r>
    <x v="6"/>
    <n v="425"/>
    <x v="2"/>
  </r>
  <r>
    <x v="5"/>
    <n v="231"/>
    <x v="4"/>
  </r>
  <r>
    <x v="1"/>
    <n v="483"/>
    <x v="1"/>
  </r>
  <r>
    <x v="6"/>
    <n v="55"/>
    <x v="3"/>
  </r>
  <r>
    <x v="1"/>
    <n v="375"/>
    <x v="1"/>
  </r>
  <r>
    <x v="5"/>
    <n v="336"/>
    <x v="2"/>
  </r>
  <r>
    <x v="6"/>
    <n v="196"/>
    <x v="3"/>
  </r>
  <r>
    <x v="1"/>
    <n v="285"/>
    <x v="2"/>
  </r>
  <r>
    <x v="3"/>
    <n v="155"/>
    <x v="4"/>
  </r>
  <r>
    <x v="5"/>
    <n v="275"/>
    <x v="0"/>
  </r>
  <r>
    <x v="1"/>
    <n v="341"/>
    <x v="3"/>
  </r>
  <r>
    <x v="1"/>
    <n v="321"/>
    <x v="4"/>
  </r>
  <r>
    <x v="5"/>
    <n v="456"/>
    <x v="0"/>
  </r>
  <r>
    <x v="5"/>
    <n v="15"/>
    <x v="4"/>
  </r>
  <r>
    <x v="2"/>
    <n v="410"/>
    <x v="0"/>
  </r>
  <r>
    <x v="1"/>
    <n v="29"/>
    <x v="4"/>
  </r>
  <r>
    <x v="4"/>
    <n v="427"/>
    <x v="4"/>
  </r>
  <r>
    <x v="0"/>
    <n v="166"/>
    <x v="0"/>
  </r>
  <r>
    <x v="5"/>
    <n v="192"/>
    <x v="1"/>
  </r>
  <r>
    <x v="3"/>
    <n v="88"/>
    <x v="4"/>
  </r>
  <r>
    <x v="2"/>
    <n v="127"/>
    <x v="1"/>
  </r>
  <r>
    <x v="6"/>
    <n v="327"/>
    <x v="1"/>
  </r>
  <r>
    <x v="0"/>
    <n v="10"/>
    <x v="0"/>
  </r>
  <r>
    <x v="4"/>
    <n v="181"/>
    <x v="4"/>
  </r>
  <r>
    <x v="0"/>
    <n v="238"/>
    <x v="3"/>
  </r>
  <r>
    <x v="3"/>
    <n v="380"/>
    <x v="4"/>
  </r>
  <r>
    <x v="2"/>
    <n v="444"/>
    <x v="2"/>
  </r>
  <r>
    <x v="5"/>
    <n v="83"/>
    <x v="3"/>
  </r>
  <r>
    <x v="3"/>
    <n v="452"/>
    <x v="2"/>
  </r>
  <r>
    <x v="6"/>
    <n v="53"/>
    <x v="4"/>
  </r>
  <r>
    <x v="6"/>
    <n v="89"/>
    <x v="3"/>
  </r>
  <r>
    <x v="4"/>
    <n v="359"/>
    <x v="3"/>
  </r>
  <r>
    <x v="4"/>
    <n v="487"/>
    <x v="3"/>
  </r>
  <r>
    <x v="5"/>
    <n v="337"/>
    <x v="0"/>
  </r>
  <r>
    <x v="4"/>
    <n v="427"/>
    <x v="1"/>
  </r>
  <r>
    <x v="3"/>
    <n v="397"/>
    <x v="1"/>
  </r>
  <r>
    <x v="4"/>
    <n v="200"/>
    <x v="3"/>
  </r>
  <r>
    <x v="1"/>
    <n v="464"/>
    <x v="2"/>
  </r>
  <r>
    <x v="3"/>
    <n v="495"/>
    <x v="4"/>
  </r>
  <r>
    <x v="1"/>
    <n v="286"/>
    <x v="4"/>
  </r>
  <r>
    <x v="1"/>
    <n v="446"/>
    <x v="3"/>
  </r>
  <r>
    <x v="5"/>
    <n v="342"/>
    <x v="3"/>
  </r>
  <r>
    <x v="2"/>
    <n v="396"/>
    <x v="4"/>
  </r>
  <r>
    <x v="6"/>
    <n v="491"/>
    <x v="3"/>
  </r>
  <r>
    <x v="2"/>
    <n v="239"/>
    <x v="2"/>
  </r>
  <r>
    <x v="6"/>
    <n v="106"/>
    <x v="4"/>
  </r>
  <r>
    <x v="4"/>
    <n v="388"/>
    <x v="1"/>
  </r>
  <r>
    <x v="1"/>
    <n v="452"/>
    <x v="3"/>
  </r>
  <r>
    <x v="2"/>
    <n v="368"/>
    <x v="4"/>
  </r>
  <r>
    <x v="0"/>
    <n v="325"/>
    <x v="1"/>
  </r>
  <r>
    <x v="2"/>
    <n v="42"/>
    <x v="2"/>
  </r>
  <r>
    <x v="4"/>
    <n v="344"/>
    <x v="3"/>
  </r>
  <r>
    <x v="1"/>
    <n v="77"/>
    <x v="2"/>
  </r>
  <r>
    <x v="5"/>
    <n v="237"/>
    <x v="1"/>
  </r>
  <r>
    <x v="2"/>
    <n v="480"/>
    <x v="0"/>
  </r>
  <r>
    <x v="4"/>
    <n v="152"/>
    <x v="3"/>
  </r>
  <r>
    <x v="1"/>
    <n v="308"/>
    <x v="2"/>
  </r>
  <r>
    <x v="1"/>
    <n v="14"/>
    <x v="2"/>
  </r>
  <r>
    <x v="1"/>
    <n v="233"/>
    <x v="0"/>
  </r>
  <r>
    <x v="3"/>
    <n v="169"/>
    <x v="4"/>
  </r>
  <r>
    <x v="0"/>
    <n v="358"/>
    <x v="3"/>
  </r>
  <r>
    <x v="1"/>
    <n v="404"/>
    <x v="1"/>
  </r>
  <r>
    <x v="5"/>
    <n v="131"/>
    <x v="4"/>
  </r>
  <r>
    <x v="1"/>
    <n v="32"/>
    <x v="0"/>
  </r>
  <r>
    <x v="0"/>
    <n v="478"/>
    <x v="0"/>
  </r>
  <r>
    <x v="2"/>
    <n v="88"/>
    <x v="1"/>
  </r>
  <r>
    <x v="2"/>
    <n v="395"/>
    <x v="3"/>
  </r>
  <r>
    <x v="1"/>
    <n v="385"/>
    <x v="1"/>
  </r>
  <r>
    <x v="2"/>
    <n v="280"/>
    <x v="1"/>
  </r>
  <r>
    <x v="0"/>
    <n v="164"/>
    <x v="3"/>
  </r>
  <r>
    <x v="4"/>
    <n v="433"/>
    <x v="0"/>
  </r>
  <r>
    <x v="5"/>
    <n v="460"/>
    <x v="3"/>
  </r>
  <r>
    <x v="5"/>
    <n v="374"/>
    <x v="1"/>
  </r>
  <r>
    <x v="6"/>
    <n v="147"/>
    <x v="3"/>
  </r>
  <r>
    <x v="4"/>
    <n v="129"/>
    <x v="0"/>
  </r>
  <r>
    <x v="0"/>
    <n v="217"/>
    <x v="0"/>
  </r>
  <r>
    <x v="1"/>
    <n v="426"/>
    <x v="4"/>
  </r>
  <r>
    <x v="1"/>
    <n v="81"/>
    <x v="2"/>
  </r>
  <r>
    <x v="6"/>
    <n v="296"/>
    <x v="2"/>
  </r>
  <r>
    <x v="2"/>
    <n v="466"/>
    <x v="0"/>
  </r>
  <r>
    <x v="4"/>
    <n v="424"/>
    <x v="1"/>
  </r>
  <r>
    <x v="2"/>
    <n v="233"/>
    <x v="3"/>
  </r>
  <r>
    <x v="5"/>
    <n v="413"/>
    <x v="3"/>
  </r>
  <r>
    <x v="0"/>
    <n v="278"/>
    <x v="3"/>
  </r>
  <r>
    <x v="4"/>
    <n v="351"/>
    <x v="0"/>
  </r>
  <r>
    <x v="6"/>
    <n v="354"/>
    <x v="2"/>
  </r>
  <r>
    <x v="5"/>
    <n v="192"/>
    <x v="3"/>
  </r>
  <r>
    <x v="3"/>
    <n v="176"/>
    <x v="0"/>
  </r>
  <r>
    <x v="5"/>
    <n v="482"/>
    <x v="1"/>
  </r>
  <r>
    <x v="1"/>
    <n v="87"/>
    <x v="2"/>
  </r>
  <r>
    <x v="1"/>
    <n v="163"/>
    <x v="0"/>
  </r>
  <r>
    <x v="4"/>
    <n v="419"/>
    <x v="3"/>
  </r>
  <r>
    <x v="2"/>
    <n v="203"/>
    <x v="0"/>
  </r>
  <r>
    <x v="5"/>
    <n v="405"/>
    <x v="1"/>
  </r>
  <r>
    <x v="5"/>
    <n v="496"/>
    <x v="3"/>
  </r>
  <r>
    <x v="2"/>
    <n v="328"/>
    <x v="2"/>
  </r>
  <r>
    <x v="1"/>
    <n v="85"/>
    <x v="3"/>
  </r>
  <r>
    <x v="2"/>
    <n v="386"/>
    <x v="0"/>
  </r>
  <r>
    <x v="0"/>
    <n v="245"/>
    <x v="3"/>
  </r>
  <r>
    <x v="4"/>
    <n v="97"/>
    <x v="4"/>
  </r>
  <r>
    <x v="3"/>
    <n v="216"/>
    <x v="4"/>
  </r>
  <r>
    <x v="6"/>
    <n v="331"/>
    <x v="1"/>
  </r>
  <r>
    <x v="2"/>
    <n v="451"/>
    <x v="3"/>
  </r>
  <r>
    <x v="0"/>
    <n v="326"/>
    <x v="1"/>
  </r>
  <r>
    <x v="1"/>
    <n v="358"/>
    <x v="0"/>
  </r>
  <r>
    <x v="0"/>
    <n v="91"/>
    <x v="4"/>
  </r>
  <r>
    <x v="0"/>
    <n v="478"/>
    <x v="0"/>
  </r>
  <r>
    <x v="3"/>
    <n v="16"/>
    <x v="2"/>
  </r>
  <r>
    <x v="5"/>
    <n v="44"/>
    <x v="0"/>
  </r>
  <r>
    <x v="5"/>
    <n v="100"/>
    <x v="2"/>
  </r>
  <r>
    <x v="1"/>
    <n v="44"/>
    <x v="0"/>
  </r>
  <r>
    <x v="5"/>
    <n v="37"/>
    <x v="0"/>
  </r>
  <r>
    <x v="0"/>
    <n v="48"/>
    <x v="1"/>
  </r>
  <r>
    <x v="6"/>
    <n v="371"/>
    <x v="3"/>
  </r>
  <r>
    <x v="0"/>
    <n v="176"/>
    <x v="0"/>
  </r>
  <r>
    <x v="1"/>
    <n v="312"/>
    <x v="1"/>
  </r>
  <r>
    <x v="6"/>
    <n v="375"/>
    <x v="1"/>
  </r>
  <r>
    <x v="2"/>
    <n v="134"/>
    <x v="1"/>
  </r>
  <r>
    <x v="1"/>
    <n v="91"/>
    <x v="0"/>
  </r>
  <r>
    <x v="4"/>
    <n v="359"/>
    <x v="4"/>
  </r>
  <r>
    <x v="5"/>
    <n v="172"/>
    <x v="1"/>
  </r>
  <r>
    <x v="5"/>
    <n v="490"/>
    <x v="2"/>
  </r>
  <r>
    <x v="6"/>
    <n v="16"/>
    <x v="3"/>
  </r>
  <r>
    <x v="2"/>
    <n v="291"/>
    <x v="3"/>
  </r>
  <r>
    <x v="6"/>
    <n v="119"/>
    <x v="3"/>
  </r>
  <r>
    <x v="0"/>
    <n v="35"/>
    <x v="0"/>
  </r>
  <r>
    <x v="1"/>
    <n v="88"/>
    <x v="3"/>
  </r>
  <r>
    <x v="2"/>
    <n v="312"/>
    <x v="3"/>
  </r>
  <r>
    <x v="2"/>
    <n v="238"/>
    <x v="4"/>
  </r>
  <r>
    <x v="0"/>
    <n v="132"/>
    <x v="3"/>
  </r>
  <r>
    <x v="5"/>
    <n v="456"/>
    <x v="4"/>
  </r>
  <r>
    <x v="0"/>
    <n v="281"/>
    <x v="2"/>
  </r>
  <r>
    <x v="4"/>
    <n v="281"/>
    <x v="3"/>
  </r>
  <r>
    <x v="0"/>
    <n v="73"/>
    <x v="1"/>
  </r>
  <r>
    <x v="4"/>
    <n v="365"/>
    <x v="0"/>
  </r>
  <r>
    <x v="1"/>
    <n v="61"/>
    <x v="0"/>
  </r>
  <r>
    <x v="2"/>
    <n v="399"/>
    <x v="4"/>
  </r>
  <r>
    <x v="6"/>
    <n v="102"/>
    <x v="0"/>
  </r>
  <r>
    <x v="2"/>
    <n v="88"/>
    <x v="4"/>
  </r>
  <r>
    <x v="6"/>
    <n v="92"/>
    <x v="3"/>
  </r>
  <r>
    <x v="1"/>
    <n v="295"/>
    <x v="0"/>
  </r>
  <r>
    <x v="5"/>
    <n v="139"/>
    <x v="0"/>
  </r>
  <r>
    <x v="0"/>
    <n v="416"/>
    <x v="4"/>
  </r>
  <r>
    <x v="5"/>
    <n v="173"/>
    <x v="1"/>
  </r>
  <r>
    <x v="0"/>
    <n v="75"/>
    <x v="1"/>
  </r>
  <r>
    <x v="2"/>
    <n v="173"/>
    <x v="3"/>
  </r>
  <r>
    <x v="3"/>
    <n v="421"/>
    <x v="1"/>
  </r>
  <r>
    <x v="2"/>
    <n v="29"/>
    <x v="1"/>
  </r>
  <r>
    <x v="5"/>
    <n v="180"/>
    <x v="2"/>
  </r>
  <r>
    <x v="0"/>
    <n v="469"/>
    <x v="2"/>
  </r>
  <r>
    <x v="4"/>
    <n v="381"/>
    <x v="2"/>
  </r>
  <r>
    <x v="4"/>
    <n v="263"/>
    <x v="4"/>
  </r>
  <r>
    <x v="1"/>
    <n v="48"/>
    <x v="4"/>
  </r>
  <r>
    <x v="3"/>
    <n v="447"/>
    <x v="4"/>
  </r>
  <r>
    <x v="2"/>
    <n v="415"/>
    <x v="4"/>
  </r>
  <r>
    <x v="1"/>
    <n v="429"/>
    <x v="3"/>
  </r>
  <r>
    <x v="1"/>
    <n v="26"/>
    <x v="2"/>
  </r>
  <r>
    <x v="6"/>
    <n v="101"/>
    <x v="0"/>
  </r>
  <r>
    <x v="2"/>
    <n v="461"/>
    <x v="1"/>
  </r>
  <r>
    <x v="0"/>
    <n v="246"/>
    <x v="2"/>
  </r>
  <r>
    <x v="4"/>
    <n v="91"/>
    <x v="1"/>
  </r>
  <r>
    <x v="6"/>
    <n v="152"/>
    <x v="1"/>
  </r>
  <r>
    <x v="0"/>
    <n v="283"/>
    <x v="0"/>
  </r>
  <r>
    <x v="5"/>
    <n v="61"/>
    <x v="4"/>
  </r>
  <r>
    <x v="5"/>
    <n v="410"/>
    <x v="1"/>
  </r>
  <r>
    <x v="0"/>
    <n v="88"/>
    <x v="4"/>
  </r>
  <r>
    <x v="3"/>
    <n v="322"/>
    <x v="3"/>
  </r>
  <r>
    <x v="4"/>
    <n v="217"/>
    <x v="1"/>
  </r>
  <r>
    <x v="0"/>
    <n v="180"/>
    <x v="0"/>
  </r>
  <r>
    <x v="2"/>
    <n v="11"/>
    <x v="2"/>
  </r>
  <r>
    <x v="5"/>
    <n v="455"/>
    <x v="1"/>
  </r>
  <r>
    <x v="6"/>
    <n v="487"/>
    <x v="3"/>
  </r>
  <r>
    <x v="3"/>
    <n v="459"/>
    <x v="3"/>
  </r>
  <r>
    <x v="1"/>
    <n v="74"/>
    <x v="2"/>
  </r>
  <r>
    <x v="0"/>
    <n v="54"/>
    <x v="0"/>
  </r>
  <r>
    <x v="6"/>
    <n v="292"/>
    <x v="3"/>
  </r>
  <r>
    <x v="0"/>
    <n v="23"/>
    <x v="1"/>
  </r>
  <r>
    <x v="4"/>
    <n v="147"/>
    <x v="0"/>
  </r>
  <r>
    <x v="0"/>
    <n v="221"/>
    <x v="1"/>
  </r>
  <r>
    <x v="3"/>
    <n v="40"/>
    <x v="1"/>
  </r>
  <r>
    <x v="2"/>
    <n v="365"/>
    <x v="1"/>
  </r>
  <r>
    <x v="6"/>
    <n v="360"/>
    <x v="4"/>
  </r>
  <r>
    <x v="0"/>
    <n v="127"/>
    <x v="1"/>
  </r>
  <r>
    <x v="4"/>
    <n v="30"/>
    <x v="4"/>
  </r>
  <r>
    <x v="1"/>
    <n v="222"/>
    <x v="3"/>
  </r>
  <r>
    <x v="6"/>
    <n v="168"/>
    <x v="0"/>
  </r>
  <r>
    <x v="5"/>
    <n v="317"/>
    <x v="4"/>
  </r>
  <r>
    <x v="3"/>
    <n v="285"/>
    <x v="1"/>
  </r>
  <r>
    <x v="5"/>
    <n v="420"/>
    <x v="1"/>
  </r>
  <r>
    <x v="1"/>
    <n v="100"/>
    <x v="1"/>
  </r>
  <r>
    <x v="3"/>
    <n v="426"/>
    <x v="1"/>
  </r>
  <r>
    <x v="6"/>
    <n v="263"/>
    <x v="1"/>
  </r>
  <r>
    <x v="0"/>
    <n v="162"/>
    <x v="3"/>
  </r>
  <r>
    <x v="6"/>
    <n v="19"/>
    <x v="3"/>
  </r>
  <r>
    <x v="6"/>
    <n v="358"/>
    <x v="4"/>
  </r>
  <r>
    <x v="1"/>
    <n v="183"/>
    <x v="3"/>
  </r>
  <r>
    <x v="0"/>
    <n v="63"/>
    <x v="0"/>
  </r>
  <r>
    <x v="3"/>
    <n v="446"/>
    <x v="3"/>
  </r>
  <r>
    <x v="2"/>
    <n v="352"/>
    <x v="0"/>
  </r>
  <r>
    <x v="2"/>
    <n v="209"/>
    <x v="4"/>
  </r>
  <r>
    <x v="4"/>
    <n v="311"/>
    <x v="2"/>
  </r>
  <r>
    <x v="2"/>
    <n v="293"/>
    <x v="3"/>
  </r>
  <r>
    <x v="6"/>
    <n v="119"/>
    <x v="1"/>
  </r>
  <r>
    <x v="2"/>
    <n v="329"/>
    <x v="0"/>
  </r>
  <r>
    <x v="4"/>
    <n v="141"/>
    <x v="2"/>
  </r>
  <r>
    <x v="3"/>
    <n v="15"/>
    <x v="1"/>
  </r>
  <r>
    <x v="5"/>
    <n v="30"/>
    <x v="1"/>
  </r>
  <r>
    <x v="4"/>
    <n v="145"/>
    <x v="3"/>
  </r>
  <r>
    <x v="3"/>
    <n v="250"/>
    <x v="2"/>
  </r>
  <r>
    <x v="4"/>
    <n v="243"/>
    <x v="3"/>
  </r>
  <r>
    <x v="4"/>
    <n v="392"/>
    <x v="2"/>
  </r>
  <r>
    <x v="1"/>
    <n v="389"/>
    <x v="3"/>
  </r>
  <r>
    <x v="4"/>
    <n v="414"/>
    <x v="1"/>
  </r>
  <r>
    <x v="3"/>
    <n v="415"/>
    <x v="0"/>
  </r>
  <r>
    <x v="4"/>
    <n v="494"/>
    <x v="0"/>
  </r>
  <r>
    <x v="1"/>
    <n v="109"/>
    <x v="2"/>
  </r>
  <r>
    <x v="6"/>
    <n v="200"/>
    <x v="4"/>
  </r>
  <r>
    <x v="2"/>
    <n v="134"/>
    <x v="3"/>
  </r>
  <r>
    <x v="3"/>
    <n v="250"/>
    <x v="1"/>
  </r>
  <r>
    <x v="1"/>
    <n v="305"/>
    <x v="4"/>
  </r>
  <r>
    <x v="5"/>
    <n v="256"/>
    <x v="4"/>
  </r>
  <r>
    <x v="3"/>
    <n v="214"/>
    <x v="3"/>
  </r>
  <r>
    <x v="6"/>
    <n v="272"/>
    <x v="4"/>
  </r>
  <r>
    <x v="1"/>
    <n v="144"/>
    <x v="0"/>
  </r>
  <r>
    <x v="1"/>
    <n v="381"/>
    <x v="4"/>
  </r>
  <r>
    <x v="1"/>
    <n v="292"/>
    <x v="4"/>
  </r>
  <r>
    <x v="6"/>
    <n v="358"/>
    <x v="3"/>
  </r>
  <r>
    <x v="2"/>
    <n v="426"/>
    <x v="4"/>
  </r>
  <r>
    <x v="5"/>
    <n v="474"/>
    <x v="3"/>
  </r>
  <r>
    <x v="3"/>
    <n v="286"/>
    <x v="0"/>
  </r>
  <r>
    <x v="1"/>
    <n v="498"/>
    <x v="1"/>
  </r>
  <r>
    <x v="1"/>
    <n v="32"/>
    <x v="1"/>
  </r>
  <r>
    <x v="6"/>
    <n v="84"/>
    <x v="3"/>
  </r>
  <r>
    <x v="6"/>
    <n v="210"/>
    <x v="3"/>
  </r>
  <r>
    <x v="4"/>
    <n v="231"/>
    <x v="2"/>
  </r>
  <r>
    <x v="1"/>
    <n v="246"/>
    <x v="2"/>
  </r>
  <r>
    <x v="6"/>
    <n v="174"/>
    <x v="2"/>
  </r>
  <r>
    <x v="5"/>
    <n v="298"/>
    <x v="4"/>
  </r>
  <r>
    <x v="3"/>
    <n v="344"/>
    <x v="1"/>
  </r>
  <r>
    <x v="6"/>
    <n v="264"/>
    <x v="1"/>
  </r>
  <r>
    <x v="1"/>
    <n v="380"/>
    <x v="1"/>
  </r>
  <r>
    <x v="0"/>
    <n v="160"/>
    <x v="4"/>
  </r>
  <r>
    <x v="5"/>
    <n v="55"/>
    <x v="3"/>
  </r>
  <r>
    <x v="1"/>
    <n v="70"/>
    <x v="4"/>
  </r>
  <r>
    <x v="1"/>
    <n v="256"/>
    <x v="3"/>
  </r>
  <r>
    <x v="3"/>
    <n v="436"/>
    <x v="3"/>
  </r>
  <r>
    <x v="0"/>
    <n v="394"/>
    <x v="2"/>
  </r>
  <r>
    <x v="2"/>
    <n v="131"/>
    <x v="3"/>
  </r>
  <r>
    <x v="1"/>
    <n v="98"/>
    <x v="1"/>
  </r>
  <r>
    <x v="5"/>
    <n v="276"/>
    <x v="4"/>
  </r>
  <r>
    <x v="0"/>
    <n v="251"/>
    <x v="1"/>
  </r>
  <r>
    <x v="2"/>
    <n v="233"/>
    <x v="1"/>
  </r>
  <r>
    <x v="6"/>
    <n v="136"/>
    <x v="2"/>
  </r>
  <r>
    <x v="4"/>
    <n v="248"/>
    <x v="3"/>
  </r>
  <r>
    <x v="3"/>
    <n v="180"/>
    <x v="3"/>
  </r>
  <r>
    <x v="0"/>
    <n v="254"/>
    <x v="3"/>
  </r>
  <r>
    <x v="1"/>
    <n v="108"/>
    <x v="0"/>
  </r>
  <r>
    <x v="3"/>
    <n v="183"/>
    <x v="0"/>
  </r>
  <r>
    <x v="2"/>
    <n v="53"/>
    <x v="1"/>
  </r>
  <r>
    <x v="4"/>
    <n v="120"/>
    <x v="1"/>
  </r>
  <r>
    <x v="2"/>
    <n v="118"/>
    <x v="2"/>
  </r>
  <r>
    <x v="1"/>
    <n v="113"/>
    <x v="4"/>
  </r>
  <r>
    <x v="1"/>
    <n v="138"/>
    <x v="0"/>
  </r>
  <r>
    <x v="4"/>
    <n v="178"/>
    <x v="3"/>
  </r>
  <r>
    <x v="5"/>
    <n v="105"/>
    <x v="3"/>
  </r>
  <r>
    <x v="0"/>
    <n v="283"/>
    <x v="4"/>
  </r>
  <r>
    <x v="2"/>
    <n v="154"/>
    <x v="4"/>
  </r>
  <r>
    <x v="4"/>
    <n v="240"/>
    <x v="1"/>
  </r>
  <r>
    <x v="2"/>
    <n v="29"/>
    <x v="2"/>
  </r>
  <r>
    <x v="5"/>
    <n v="202"/>
    <x v="4"/>
  </r>
  <r>
    <x v="3"/>
    <n v="348"/>
    <x v="2"/>
  </r>
  <r>
    <x v="6"/>
    <n v="380"/>
    <x v="4"/>
  </r>
  <r>
    <x v="6"/>
    <n v="254"/>
    <x v="1"/>
  </r>
  <r>
    <x v="0"/>
    <n v="477"/>
    <x v="3"/>
  </r>
  <r>
    <x v="5"/>
    <n v="385"/>
    <x v="0"/>
  </r>
  <r>
    <x v="2"/>
    <n v="336"/>
    <x v="0"/>
  </r>
  <r>
    <x v="0"/>
    <n v="171"/>
    <x v="1"/>
  </r>
  <r>
    <x v="3"/>
    <n v="33"/>
    <x v="3"/>
  </r>
  <r>
    <x v="6"/>
    <n v="193"/>
    <x v="1"/>
  </r>
  <r>
    <x v="4"/>
    <n v="153"/>
    <x v="1"/>
  </r>
  <r>
    <x v="4"/>
    <n v="140"/>
    <x v="0"/>
  </r>
  <r>
    <x v="5"/>
    <n v="196"/>
    <x v="3"/>
  </r>
  <r>
    <x v="4"/>
    <n v="298"/>
    <x v="3"/>
  </r>
  <r>
    <x v="3"/>
    <n v="477"/>
    <x v="3"/>
  </r>
  <r>
    <x v="6"/>
    <n v="308"/>
    <x v="1"/>
  </r>
  <r>
    <x v="3"/>
    <n v="193"/>
    <x v="4"/>
  </r>
  <r>
    <x v="3"/>
    <n v="420"/>
    <x v="3"/>
  </r>
  <r>
    <x v="0"/>
    <n v="128"/>
    <x v="2"/>
  </r>
  <r>
    <x v="0"/>
    <n v="133"/>
    <x v="0"/>
  </r>
  <r>
    <x v="2"/>
    <n v="413"/>
    <x v="4"/>
  </r>
  <r>
    <x v="3"/>
    <n v="28"/>
    <x v="0"/>
  </r>
  <r>
    <x v="1"/>
    <n v="453"/>
    <x v="4"/>
  </r>
  <r>
    <x v="1"/>
    <n v="186"/>
    <x v="2"/>
  </r>
  <r>
    <x v="6"/>
    <n v="287"/>
    <x v="3"/>
  </r>
  <r>
    <x v="4"/>
    <n v="45"/>
    <x v="4"/>
  </r>
  <r>
    <x v="5"/>
    <n v="463"/>
    <x v="2"/>
  </r>
  <r>
    <x v="2"/>
    <n v="241"/>
    <x v="4"/>
  </r>
  <r>
    <x v="3"/>
    <n v="11"/>
    <x v="4"/>
  </r>
  <r>
    <x v="4"/>
    <n v="123"/>
    <x v="0"/>
  </r>
  <r>
    <x v="3"/>
    <n v="411"/>
    <x v="1"/>
  </r>
  <r>
    <x v="5"/>
    <n v="469"/>
    <x v="1"/>
  </r>
  <r>
    <x v="4"/>
    <n v="120"/>
    <x v="1"/>
  </r>
  <r>
    <x v="1"/>
    <n v="348"/>
    <x v="3"/>
  </r>
  <r>
    <x v="6"/>
    <n v="103"/>
    <x v="2"/>
  </r>
  <r>
    <x v="5"/>
    <n v="470"/>
    <x v="2"/>
  </r>
  <r>
    <x v="6"/>
    <n v="241"/>
    <x v="0"/>
  </r>
  <r>
    <x v="6"/>
    <n v="277"/>
    <x v="1"/>
  </r>
  <r>
    <x v="6"/>
    <n v="158"/>
    <x v="4"/>
  </r>
  <r>
    <x v="6"/>
    <n v="23"/>
    <x v="1"/>
  </r>
  <r>
    <x v="6"/>
    <n v="200"/>
    <x v="1"/>
  </r>
  <r>
    <x v="1"/>
    <n v="264"/>
    <x v="3"/>
  </r>
  <r>
    <x v="2"/>
    <n v="309"/>
    <x v="4"/>
  </r>
  <r>
    <x v="3"/>
    <n v="30"/>
    <x v="2"/>
  </r>
  <r>
    <x v="2"/>
    <n v="289"/>
    <x v="4"/>
  </r>
  <r>
    <x v="3"/>
    <n v="432"/>
    <x v="3"/>
  </r>
  <r>
    <x v="4"/>
    <n v="393"/>
    <x v="0"/>
  </r>
  <r>
    <x v="4"/>
    <n v="203"/>
    <x v="4"/>
  </r>
  <r>
    <x v="5"/>
    <n v="43"/>
    <x v="4"/>
  </r>
  <r>
    <x v="6"/>
    <n v="311"/>
    <x v="0"/>
  </r>
  <r>
    <x v="3"/>
    <n v="23"/>
    <x v="2"/>
  </r>
  <r>
    <x v="5"/>
    <n v="370"/>
    <x v="3"/>
  </r>
  <r>
    <x v="3"/>
    <n v="343"/>
    <x v="3"/>
  </r>
  <r>
    <x v="2"/>
    <n v="391"/>
    <x v="3"/>
  </r>
  <r>
    <x v="1"/>
    <n v="405"/>
    <x v="0"/>
  </r>
  <r>
    <x v="4"/>
    <n v="14"/>
    <x v="0"/>
  </r>
  <r>
    <x v="4"/>
    <n v="11"/>
    <x v="4"/>
  </r>
  <r>
    <x v="2"/>
    <n v="335"/>
    <x v="3"/>
  </r>
  <r>
    <x v="2"/>
    <n v="408"/>
    <x v="2"/>
  </r>
  <r>
    <x v="0"/>
    <n v="302"/>
    <x v="3"/>
  </r>
  <r>
    <x v="2"/>
    <n v="329"/>
    <x v="2"/>
  </r>
  <r>
    <x v="5"/>
    <n v="328"/>
    <x v="3"/>
  </r>
  <r>
    <x v="1"/>
    <n v="353"/>
    <x v="3"/>
  </r>
  <r>
    <x v="5"/>
    <n v="386"/>
    <x v="0"/>
  </r>
  <r>
    <x v="5"/>
    <n v="401"/>
    <x v="0"/>
  </r>
  <r>
    <x v="1"/>
    <n v="286"/>
    <x v="4"/>
  </r>
  <r>
    <x v="6"/>
    <n v="20"/>
    <x v="4"/>
  </r>
  <r>
    <x v="6"/>
    <n v="167"/>
    <x v="0"/>
  </r>
  <r>
    <x v="6"/>
    <n v="427"/>
    <x v="3"/>
  </r>
  <r>
    <x v="1"/>
    <n v="13"/>
    <x v="4"/>
  </r>
  <r>
    <x v="0"/>
    <n v="53"/>
    <x v="3"/>
  </r>
  <r>
    <x v="0"/>
    <n v="197"/>
    <x v="0"/>
  </r>
  <r>
    <x v="4"/>
    <n v="429"/>
    <x v="1"/>
  </r>
  <r>
    <x v="4"/>
    <n v="282"/>
    <x v="4"/>
  </r>
  <r>
    <x v="2"/>
    <n v="248"/>
    <x v="1"/>
  </r>
  <r>
    <x v="3"/>
    <n v="406"/>
    <x v="4"/>
  </r>
  <r>
    <x v="6"/>
    <n v="249"/>
    <x v="2"/>
  </r>
  <r>
    <x v="4"/>
    <n v="12"/>
    <x v="1"/>
  </r>
  <r>
    <x v="0"/>
    <n v="57"/>
    <x v="2"/>
  </r>
  <r>
    <x v="6"/>
    <n v="247"/>
    <x v="3"/>
  </r>
  <r>
    <x v="4"/>
    <n v="25"/>
    <x v="4"/>
  </r>
  <r>
    <x v="5"/>
    <n v="425"/>
    <x v="1"/>
  </r>
  <r>
    <x v="3"/>
    <n v="315"/>
    <x v="4"/>
  </r>
  <r>
    <x v="5"/>
    <n v="466"/>
    <x v="4"/>
  </r>
  <r>
    <x v="2"/>
    <n v="207"/>
    <x v="3"/>
  </r>
  <r>
    <x v="1"/>
    <n v="248"/>
    <x v="4"/>
  </r>
  <r>
    <x v="1"/>
    <n v="278"/>
    <x v="3"/>
  </r>
  <r>
    <x v="3"/>
    <n v="315"/>
    <x v="3"/>
  </r>
  <r>
    <x v="6"/>
    <n v="190"/>
    <x v="4"/>
  </r>
  <r>
    <x v="4"/>
    <n v="190"/>
    <x v="3"/>
  </r>
  <r>
    <x v="3"/>
    <n v="408"/>
    <x v="1"/>
  </r>
  <r>
    <x v="3"/>
    <n v="227"/>
    <x v="2"/>
  </r>
  <r>
    <x v="5"/>
    <n v="479"/>
    <x v="4"/>
  </r>
  <r>
    <x v="1"/>
    <n v="415"/>
    <x v="4"/>
  </r>
  <r>
    <x v="6"/>
    <n v="204"/>
    <x v="4"/>
  </r>
  <r>
    <x v="5"/>
    <n v="205"/>
    <x v="4"/>
  </r>
  <r>
    <x v="3"/>
    <n v="64"/>
    <x v="2"/>
  </r>
  <r>
    <x v="2"/>
    <n v="281"/>
    <x v="0"/>
  </r>
  <r>
    <x v="5"/>
    <n v="78"/>
    <x v="0"/>
  </r>
  <r>
    <x v="1"/>
    <n v="343"/>
    <x v="3"/>
  </r>
  <r>
    <x v="2"/>
    <n v="318"/>
    <x v="1"/>
  </r>
  <r>
    <x v="1"/>
    <n v="444"/>
    <x v="1"/>
  </r>
  <r>
    <x v="4"/>
    <n v="171"/>
    <x v="3"/>
  </r>
  <r>
    <x v="6"/>
    <n v="309"/>
    <x v="4"/>
  </r>
  <r>
    <x v="5"/>
    <n v="447"/>
    <x v="1"/>
  </r>
  <r>
    <x v="6"/>
    <n v="120"/>
    <x v="4"/>
  </r>
  <r>
    <x v="0"/>
    <n v="168"/>
    <x v="0"/>
  </r>
  <r>
    <x v="2"/>
    <n v="203"/>
    <x v="2"/>
  </r>
  <r>
    <x v="5"/>
    <n v="436"/>
    <x v="0"/>
  </r>
  <r>
    <x v="6"/>
    <n v="195"/>
    <x v="3"/>
  </r>
  <r>
    <x v="1"/>
    <n v="454"/>
    <x v="0"/>
  </r>
  <r>
    <x v="1"/>
    <n v="187"/>
    <x v="4"/>
  </r>
  <r>
    <x v="6"/>
    <n v="277"/>
    <x v="2"/>
  </r>
  <r>
    <x v="6"/>
    <n v="257"/>
    <x v="2"/>
  </r>
  <r>
    <x v="3"/>
    <n v="12"/>
    <x v="2"/>
  </r>
  <r>
    <x v="6"/>
    <n v="362"/>
    <x v="0"/>
  </r>
  <r>
    <x v="6"/>
    <n v="89"/>
    <x v="0"/>
  </r>
  <r>
    <x v="3"/>
    <n v="123"/>
    <x v="3"/>
  </r>
  <r>
    <x v="5"/>
    <n v="427"/>
    <x v="4"/>
  </r>
  <r>
    <x v="6"/>
    <n v="439"/>
    <x v="0"/>
  </r>
  <r>
    <x v="4"/>
    <n v="396"/>
    <x v="0"/>
  </r>
  <r>
    <x v="4"/>
    <n v="453"/>
    <x v="1"/>
  </r>
  <r>
    <x v="4"/>
    <n v="356"/>
    <x v="0"/>
  </r>
  <r>
    <x v="2"/>
    <n v="192"/>
    <x v="3"/>
  </r>
  <r>
    <x v="6"/>
    <n v="483"/>
    <x v="0"/>
  </r>
  <r>
    <x v="5"/>
    <n v="17"/>
    <x v="2"/>
  </r>
  <r>
    <x v="3"/>
    <n v="272"/>
    <x v="1"/>
  </r>
  <r>
    <x v="0"/>
    <n v="195"/>
    <x v="2"/>
  </r>
  <r>
    <x v="2"/>
    <n v="416"/>
    <x v="2"/>
  </r>
  <r>
    <x v="3"/>
    <n v="459"/>
    <x v="4"/>
  </r>
  <r>
    <x v="4"/>
    <n v="168"/>
    <x v="1"/>
  </r>
  <r>
    <x v="6"/>
    <n v="307"/>
    <x v="2"/>
  </r>
  <r>
    <x v="5"/>
    <n v="270"/>
    <x v="2"/>
  </r>
  <r>
    <x v="0"/>
    <n v="358"/>
    <x v="3"/>
  </r>
  <r>
    <x v="2"/>
    <n v="301"/>
    <x v="4"/>
  </r>
  <r>
    <x v="0"/>
    <n v="277"/>
    <x v="3"/>
  </r>
  <r>
    <x v="2"/>
    <n v="423"/>
    <x v="3"/>
  </r>
  <r>
    <x v="1"/>
    <n v="197"/>
    <x v="3"/>
  </r>
  <r>
    <x v="3"/>
    <n v="100"/>
    <x v="4"/>
  </r>
  <r>
    <x v="0"/>
    <n v="338"/>
    <x v="2"/>
  </r>
  <r>
    <x v="3"/>
    <n v="130"/>
    <x v="0"/>
  </r>
  <r>
    <x v="4"/>
    <n v="383"/>
    <x v="2"/>
  </r>
  <r>
    <x v="0"/>
    <n v="411"/>
    <x v="3"/>
  </r>
  <r>
    <x v="4"/>
    <n v="347"/>
    <x v="0"/>
  </r>
  <r>
    <x v="5"/>
    <n v="302"/>
    <x v="4"/>
  </r>
  <r>
    <x v="6"/>
    <n v="361"/>
    <x v="0"/>
  </r>
  <r>
    <x v="3"/>
    <n v="148"/>
    <x v="3"/>
  </r>
  <r>
    <x v="2"/>
    <n v="162"/>
    <x v="2"/>
  </r>
  <r>
    <x v="1"/>
    <n v="379"/>
    <x v="2"/>
  </r>
  <r>
    <x v="5"/>
    <n v="373"/>
    <x v="3"/>
  </r>
  <r>
    <x v="3"/>
    <n v="354"/>
    <x v="4"/>
  </r>
  <r>
    <x v="4"/>
    <n v="76"/>
    <x v="1"/>
  </r>
  <r>
    <x v="0"/>
    <n v="316"/>
    <x v="3"/>
  </r>
  <r>
    <x v="4"/>
    <n v="331"/>
    <x v="4"/>
  </r>
  <r>
    <x v="3"/>
    <n v="418"/>
    <x v="1"/>
  </r>
  <r>
    <x v="6"/>
    <n v="309"/>
    <x v="3"/>
  </r>
  <r>
    <x v="1"/>
    <n v="252"/>
    <x v="1"/>
  </r>
  <r>
    <x v="5"/>
    <n v="146"/>
    <x v="2"/>
  </r>
  <r>
    <x v="4"/>
    <n v="352"/>
    <x v="1"/>
  </r>
  <r>
    <x v="6"/>
    <n v="43"/>
    <x v="2"/>
  </r>
  <r>
    <x v="1"/>
    <n v="440"/>
    <x v="0"/>
  </r>
  <r>
    <x v="6"/>
    <n v="376"/>
    <x v="4"/>
  </r>
  <r>
    <x v="0"/>
    <n v="137"/>
    <x v="0"/>
  </r>
  <r>
    <x v="0"/>
    <n v="301"/>
    <x v="4"/>
  </r>
  <r>
    <x v="3"/>
    <n v="410"/>
    <x v="1"/>
  </r>
  <r>
    <x v="4"/>
    <n v="298"/>
    <x v="2"/>
  </r>
  <r>
    <x v="2"/>
    <n v="54"/>
    <x v="3"/>
  </r>
  <r>
    <x v="4"/>
    <n v="486"/>
    <x v="4"/>
  </r>
  <r>
    <x v="5"/>
    <n v="38"/>
    <x v="2"/>
  </r>
  <r>
    <x v="0"/>
    <n v="442"/>
    <x v="0"/>
  </r>
  <r>
    <x v="4"/>
    <n v="474"/>
    <x v="3"/>
  </r>
  <r>
    <x v="5"/>
    <n v="96"/>
    <x v="1"/>
  </r>
  <r>
    <x v="4"/>
    <n v="160"/>
    <x v="1"/>
  </r>
  <r>
    <x v="5"/>
    <n v="451"/>
    <x v="3"/>
  </r>
  <r>
    <x v="3"/>
    <n v="184"/>
    <x v="3"/>
  </r>
  <r>
    <x v="1"/>
    <n v="50"/>
    <x v="1"/>
  </r>
  <r>
    <x v="4"/>
    <n v="299"/>
    <x v="3"/>
  </r>
  <r>
    <x v="1"/>
    <n v="495"/>
    <x v="4"/>
  </r>
  <r>
    <x v="4"/>
    <n v="132"/>
    <x v="3"/>
  </r>
  <r>
    <x v="6"/>
    <n v="395"/>
    <x v="3"/>
  </r>
  <r>
    <x v="0"/>
    <n v="34"/>
    <x v="0"/>
  </r>
  <r>
    <x v="6"/>
    <n v="348"/>
    <x v="0"/>
  </r>
  <r>
    <x v="6"/>
    <n v="247"/>
    <x v="3"/>
  </r>
  <r>
    <x v="6"/>
    <n v="216"/>
    <x v="2"/>
  </r>
  <r>
    <x v="5"/>
    <n v="299"/>
    <x v="3"/>
  </r>
  <r>
    <x v="5"/>
    <n v="315"/>
    <x v="0"/>
  </r>
  <r>
    <x v="3"/>
    <n v="35"/>
    <x v="0"/>
  </r>
  <r>
    <x v="5"/>
    <n v="359"/>
    <x v="1"/>
  </r>
  <r>
    <x v="0"/>
    <n v="361"/>
    <x v="2"/>
  </r>
  <r>
    <x v="0"/>
    <n v="273"/>
    <x v="1"/>
  </r>
  <r>
    <x v="0"/>
    <n v="47"/>
    <x v="3"/>
  </r>
  <r>
    <x v="4"/>
    <n v="477"/>
    <x v="1"/>
  </r>
  <r>
    <x v="0"/>
    <n v="418"/>
    <x v="1"/>
  </r>
  <r>
    <x v="1"/>
    <n v="274"/>
    <x v="3"/>
  </r>
  <r>
    <x v="6"/>
    <n v="102"/>
    <x v="0"/>
  </r>
  <r>
    <x v="3"/>
    <n v="164"/>
    <x v="4"/>
  </r>
  <r>
    <x v="1"/>
    <n v="478"/>
    <x v="3"/>
  </r>
  <r>
    <x v="6"/>
    <n v="100"/>
    <x v="0"/>
  </r>
  <r>
    <x v="6"/>
    <n v="264"/>
    <x v="0"/>
  </r>
  <r>
    <x v="4"/>
    <n v="208"/>
    <x v="4"/>
  </r>
  <r>
    <x v="5"/>
    <n v="56"/>
    <x v="1"/>
  </r>
  <r>
    <x v="4"/>
    <n v="207"/>
    <x v="4"/>
  </r>
  <r>
    <x v="3"/>
    <n v="187"/>
    <x v="2"/>
  </r>
  <r>
    <x v="0"/>
    <n v="62"/>
    <x v="1"/>
  </r>
  <r>
    <x v="6"/>
    <n v="182"/>
    <x v="3"/>
  </r>
  <r>
    <x v="6"/>
    <n v="468"/>
    <x v="1"/>
  </r>
  <r>
    <x v="1"/>
    <n v="389"/>
    <x v="2"/>
  </r>
  <r>
    <x v="0"/>
    <n v="155"/>
    <x v="0"/>
  </r>
  <r>
    <x v="0"/>
    <n v="331"/>
    <x v="4"/>
  </r>
  <r>
    <x v="2"/>
    <n v="131"/>
    <x v="0"/>
  </r>
  <r>
    <x v="2"/>
    <n v="376"/>
    <x v="1"/>
  </r>
  <r>
    <x v="4"/>
    <n v="106"/>
    <x v="3"/>
  </r>
  <r>
    <x v="5"/>
    <n v="445"/>
    <x v="1"/>
  </r>
  <r>
    <x v="3"/>
    <n v="345"/>
    <x v="2"/>
  </r>
  <r>
    <x v="4"/>
    <n v="432"/>
    <x v="3"/>
  </r>
  <r>
    <x v="1"/>
    <n v="362"/>
    <x v="4"/>
  </r>
  <r>
    <x v="1"/>
    <n v="174"/>
    <x v="0"/>
  </r>
  <r>
    <x v="3"/>
    <n v="490"/>
    <x v="2"/>
  </r>
  <r>
    <x v="5"/>
    <n v="32"/>
    <x v="0"/>
  </r>
  <r>
    <x v="2"/>
    <n v="48"/>
    <x v="2"/>
  </r>
  <r>
    <x v="0"/>
    <n v="141"/>
    <x v="3"/>
  </r>
  <r>
    <x v="4"/>
    <n v="368"/>
    <x v="1"/>
  </r>
  <r>
    <x v="5"/>
    <n v="227"/>
    <x v="0"/>
  </r>
  <r>
    <x v="3"/>
    <n v="484"/>
    <x v="2"/>
  </r>
  <r>
    <x v="1"/>
    <n v="14"/>
    <x v="2"/>
  </r>
  <r>
    <x v="5"/>
    <n v="328"/>
    <x v="0"/>
  </r>
  <r>
    <x v="6"/>
    <n v="279"/>
    <x v="4"/>
  </r>
  <r>
    <x v="0"/>
    <n v="158"/>
    <x v="2"/>
  </r>
  <r>
    <x v="2"/>
    <n v="422"/>
    <x v="2"/>
  </r>
  <r>
    <x v="4"/>
    <n v="235"/>
    <x v="3"/>
  </r>
  <r>
    <x v="6"/>
    <n v="331"/>
    <x v="2"/>
  </r>
  <r>
    <x v="3"/>
    <n v="148"/>
    <x v="0"/>
  </r>
  <r>
    <x v="4"/>
    <n v="198"/>
    <x v="1"/>
  </r>
  <r>
    <x v="4"/>
    <n v="81"/>
    <x v="1"/>
  </r>
  <r>
    <x v="4"/>
    <n v="131"/>
    <x v="1"/>
  </r>
  <r>
    <x v="3"/>
    <n v="210"/>
    <x v="4"/>
  </r>
  <r>
    <x v="3"/>
    <n v="301"/>
    <x v="0"/>
  </r>
  <r>
    <x v="6"/>
    <n v="466"/>
    <x v="3"/>
  </r>
  <r>
    <x v="4"/>
    <n v="336"/>
    <x v="4"/>
  </r>
  <r>
    <x v="5"/>
    <n v="280"/>
    <x v="4"/>
  </r>
  <r>
    <x v="0"/>
    <n v="495"/>
    <x v="4"/>
  </r>
  <r>
    <x v="3"/>
    <n v="144"/>
    <x v="2"/>
  </r>
  <r>
    <x v="6"/>
    <n v="165"/>
    <x v="1"/>
  </r>
  <r>
    <x v="3"/>
    <n v="479"/>
    <x v="3"/>
  </r>
  <r>
    <x v="5"/>
    <n v="285"/>
    <x v="3"/>
  </r>
  <r>
    <x v="1"/>
    <n v="93"/>
    <x v="4"/>
  </r>
  <r>
    <x v="4"/>
    <n v="299"/>
    <x v="1"/>
  </r>
  <r>
    <x v="3"/>
    <n v="10"/>
    <x v="3"/>
  </r>
  <r>
    <x v="3"/>
    <n v="82"/>
    <x v="2"/>
  </r>
  <r>
    <x v="0"/>
    <n v="27"/>
    <x v="3"/>
  </r>
  <r>
    <x v="2"/>
    <n v="105"/>
    <x v="0"/>
  </r>
  <r>
    <x v="4"/>
    <n v="330"/>
    <x v="4"/>
  </r>
  <r>
    <x v="3"/>
    <n v="462"/>
    <x v="0"/>
  </r>
  <r>
    <x v="0"/>
    <n v="250"/>
    <x v="2"/>
  </r>
  <r>
    <x v="0"/>
    <n v="30"/>
    <x v="3"/>
  </r>
  <r>
    <x v="5"/>
    <n v="364"/>
    <x v="0"/>
  </r>
  <r>
    <x v="5"/>
    <n v="404"/>
    <x v="0"/>
  </r>
  <r>
    <x v="6"/>
    <n v="499"/>
    <x v="4"/>
  </r>
  <r>
    <x v="1"/>
    <n v="480"/>
    <x v="1"/>
  </r>
  <r>
    <x v="0"/>
    <n v="417"/>
    <x v="4"/>
  </r>
  <r>
    <x v="5"/>
    <n v="215"/>
    <x v="0"/>
  </r>
  <r>
    <x v="0"/>
    <n v="234"/>
    <x v="4"/>
  </r>
  <r>
    <x v="0"/>
    <n v="103"/>
    <x v="4"/>
  </r>
  <r>
    <x v="3"/>
    <n v="191"/>
    <x v="2"/>
  </r>
  <r>
    <x v="1"/>
    <n v="82"/>
    <x v="1"/>
  </r>
  <r>
    <x v="3"/>
    <n v="468"/>
    <x v="2"/>
  </r>
  <r>
    <x v="6"/>
    <n v="366"/>
    <x v="4"/>
  </r>
  <r>
    <x v="2"/>
    <n v="53"/>
    <x v="3"/>
  </r>
  <r>
    <x v="4"/>
    <n v="102"/>
    <x v="1"/>
  </r>
  <r>
    <x v="0"/>
    <n v="259"/>
    <x v="1"/>
  </r>
  <r>
    <x v="6"/>
    <n v="81"/>
    <x v="0"/>
  </r>
  <r>
    <x v="0"/>
    <n v="135"/>
    <x v="4"/>
  </r>
  <r>
    <x v="5"/>
    <n v="465"/>
    <x v="0"/>
  </r>
  <r>
    <x v="4"/>
    <n v="163"/>
    <x v="4"/>
  </r>
  <r>
    <x v="5"/>
    <n v="321"/>
    <x v="2"/>
  </r>
  <r>
    <x v="6"/>
    <n v="212"/>
    <x v="2"/>
  </r>
  <r>
    <x v="0"/>
    <n v="453"/>
    <x v="1"/>
  </r>
  <r>
    <x v="5"/>
    <n v="34"/>
    <x v="3"/>
  </r>
  <r>
    <x v="5"/>
    <n v="197"/>
    <x v="0"/>
  </r>
  <r>
    <x v="5"/>
    <n v="361"/>
    <x v="4"/>
  </r>
  <r>
    <x v="2"/>
    <n v="166"/>
    <x v="2"/>
  </r>
  <r>
    <x v="3"/>
    <n v="168"/>
    <x v="2"/>
  </r>
  <r>
    <x v="1"/>
    <n v="336"/>
    <x v="1"/>
  </r>
  <r>
    <x v="4"/>
    <n v="212"/>
    <x v="4"/>
  </r>
  <r>
    <x v="4"/>
    <n v="185"/>
    <x v="0"/>
  </r>
  <r>
    <x v="2"/>
    <n v="124"/>
    <x v="3"/>
  </r>
  <r>
    <x v="0"/>
    <n v="256"/>
    <x v="3"/>
  </r>
  <r>
    <x v="5"/>
    <n v="58"/>
    <x v="4"/>
  </r>
  <r>
    <x v="5"/>
    <n v="135"/>
    <x v="1"/>
  </r>
  <r>
    <x v="6"/>
    <n v="163"/>
    <x v="1"/>
  </r>
  <r>
    <x v="1"/>
    <n v="120"/>
    <x v="2"/>
  </r>
  <r>
    <x v="2"/>
    <n v="439"/>
    <x v="4"/>
  </r>
  <r>
    <x v="3"/>
    <n v="223"/>
    <x v="2"/>
  </r>
  <r>
    <x v="6"/>
    <n v="485"/>
    <x v="3"/>
  </r>
  <r>
    <x v="1"/>
    <n v="474"/>
    <x v="1"/>
  </r>
  <r>
    <x v="4"/>
    <n v="259"/>
    <x v="4"/>
  </r>
  <r>
    <x v="1"/>
    <n v="53"/>
    <x v="3"/>
  </r>
  <r>
    <x v="4"/>
    <n v="221"/>
    <x v="2"/>
  </r>
  <r>
    <x v="4"/>
    <n v="46"/>
    <x v="0"/>
  </r>
  <r>
    <x v="3"/>
    <n v="253"/>
    <x v="2"/>
  </r>
  <r>
    <x v="1"/>
    <n v="478"/>
    <x v="3"/>
  </r>
  <r>
    <x v="0"/>
    <n v="145"/>
    <x v="3"/>
  </r>
  <r>
    <x v="3"/>
    <n v="366"/>
    <x v="1"/>
  </r>
  <r>
    <x v="0"/>
    <n v="301"/>
    <x v="3"/>
  </r>
  <r>
    <x v="0"/>
    <n v="26"/>
    <x v="0"/>
  </r>
  <r>
    <x v="1"/>
    <n v="208"/>
    <x v="0"/>
  </r>
  <r>
    <x v="3"/>
    <n v="109"/>
    <x v="0"/>
  </r>
  <r>
    <x v="4"/>
    <n v="451"/>
    <x v="0"/>
  </r>
  <r>
    <x v="1"/>
    <n v="33"/>
    <x v="0"/>
  </r>
  <r>
    <x v="3"/>
    <n v="467"/>
    <x v="2"/>
  </r>
  <r>
    <x v="5"/>
    <n v="123"/>
    <x v="2"/>
  </r>
  <r>
    <x v="6"/>
    <n v="139"/>
    <x v="3"/>
  </r>
  <r>
    <x v="6"/>
    <n v="103"/>
    <x v="2"/>
  </r>
  <r>
    <x v="4"/>
    <n v="207"/>
    <x v="4"/>
  </r>
  <r>
    <x v="6"/>
    <n v="267"/>
    <x v="3"/>
  </r>
  <r>
    <x v="4"/>
    <n v="266"/>
    <x v="0"/>
  </r>
  <r>
    <x v="5"/>
    <n v="240"/>
    <x v="2"/>
  </r>
  <r>
    <x v="4"/>
    <n v="315"/>
    <x v="4"/>
  </r>
  <r>
    <x v="5"/>
    <n v="276"/>
    <x v="4"/>
  </r>
  <r>
    <x v="1"/>
    <n v="308"/>
    <x v="2"/>
  </r>
  <r>
    <x v="4"/>
    <n v="297"/>
    <x v="1"/>
  </r>
  <r>
    <x v="4"/>
    <n v="326"/>
    <x v="1"/>
  </r>
  <r>
    <x v="5"/>
    <n v="352"/>
    <x v="0"/>
  </r>
  <r>
    <x v="2"/>
    <n v="180"/>
    <x v="4"/>
  </r>
  <r>
    <x v="2"/>
    <n v="362"/>
    <x v="2"/>
  </r>
  <r>
    <x v="0"/>
    <n v="154"/>
    <x v="4"/>
  </r>
  <r>
    <x v="1"/>
    <n v="287"/>
    <x v="2"/>
  </r>
  <r>
    <x v="6"/>
    <n v="303"/>
    <x v="0"/>
  </r>
  <r>
    <x v="4"/>
    <n v="447"/>
    <x v="3"/>
  </r>
  <r>
    <x v="2"/>
    <n v="480"/>
    <x v="0"/>
  </r>
  <r>
    <x v="0"/>
    <n v="438"/>
    <x v="4"/>
  </r>
  <r>
    <x v="4"/>
    <n v="295"/>
    <x v="3"/>
  </r>
  <r>
    <x v="4"/>
    <n v="479"/>
    <x v="4"/>
  </r>
  <r>
    <x v="3"/>
    <n v="214"/>
    <x v="4"/>
  </r>
  <r>
    <x v="0"/>
    <n v="69"/>
    <x v="3"/>
  </r>
  <r>
    <x v="0"/>
    <n v="344"/>
    <x v="0"/>
  </r>
  <r>
    <x v="5"/>
    <n v="163"/>
    <x v="4"/>
  </r>
  <r>
    <x v="5"/>
    <n v="217"/>
    <x v="4"/>
  </r>
  <r>
    <x v="4"/>
    <n v="177"/>
    <x v="2"/>
  </r>
  <r>
    <x v="5"/>
    <n v="304"/>
    <x v="4"/>
  </r>
  <r>
    <x v="4"/>
    <n v="90"/>
    <x v="4"/>
  </r>
  <r>
    <x v="0"/>
    <n v="108"/>
    <x v="3"/>
  </r>
  <r>
    <x v="3"/>
    <n v="96"/>
    <x v="2"/>
  </r>
  <r>
    <x v="0"/>
    <n v="247"/>
    <x v="4"/>
  </r>
  <r>
    <x v="6"/>
    <n v="245"/>
    <x v="1"/>
  </r>
  <r>
    <x v="1"/>
    <n v="366"/>
    <x v="0"/>
  </r>
  <r>
    <x v="2"/>
    <n v="170"/>
    <x v="1"/>
  </r>
  <r>
    <x v="3"/>
    <n v="447"/>
    <x v="0"/>
  </r>
  <r>
    <x v="4"/>
    <n v="369"/>
    <x v="2"/>
  </r>
  <r>
    <x v="5"/>
    <n v="62"/>
    <x v="4"/>
  </r>
  <r>
    <x v="4"/>
    <n v="294"/>
    <x v="0"/>
  </r>
  <r>
    <x v="3"/>
    <n v="10"/>
    <x v="0"/>
  </r>
  <r>
    <x v="4"/>
    <n v="389"/>
    <x v="4"/>
  </r>
  <r>
    <x v="2"/>
    <n v="55"/>
    <x v="3"/>
  </r>
  <r>
    <x v="6"/>
    <n v="208"/>
    <x v="0"/>
  </r>
  <r>
    <x v="2"/>
    <n v="198"/>
    <x v="2"/>
  </r>
  <r>
    <x v="4"/>
    <n v="280"/>
    <x v="3"/>
  </r>
  <r>
    <x v="5"/>
    <n v="161"/>
    <x v="0"/>
  </r>
  <r>
    <x v="0"/>
    <n v="439"/>
    <x v="0"/>
  </r>
  <r>
    <x v="6"/>
    <n v="339"/>
    <x v="3"/>
  </r>
  <r>
    <x v="0"/>
    <n v="52"/>
    <x v="1"/>
  </r>
  <r>
    <x v="5"/>
    <n v="297"/>
    <x v="4"/>
  </r>
  <r>
    <x v="3"/>
    <n v="40"/>
    <x v="4"/>
  </r>
  <r>
    <x v="0"/>
    <n v="379"/>
    <x v="4"/>
  </r>
  <r>
    <x v="4"/>
    <n v="82"/>
    <x v="0"/>
  </r>
  <r>
    <x v="0"/>
    <n v="192"/>
    <x v="3"/>
  </r>
  <r>
    <x v="1"/>
    <n v="286"/>
    <x v="3"/>
  </r>
  <r>
    <x v="4"/>
    <n v="452"/>
    <x v="2"/>
  </r>
  <r>
    <x v="4"/>
    <n v="417"/>
    <x v="1"/>
  </r>
  <r>
    <x v="5"/>
    <n v="371"/>
    <x v="1"/>
  </r>
  <r>
    <x v="4"/>
    <n v="110"/>
    <x v="1"/>
  </r>
  <r>
    <x v="4"/>
    <n v="274"/>
    <x v="0"/>
  </r>
  <r>
    <x v="2"/>
    <n v="412"/>
    <x v="1"/>
  </r>
  <r>
    <x v="6"/>
    <n v="341"/>
    <x v="0"/>
  </r>
  <r>
    <x v="6"/>
    <n v="388"/>
    <x v="4"/>
  </r>
  <r>
    <x v="2"/>
    <n v="446"/>
    <x v="1"/>
  </r>
  <r>
    <x v="0"/>
    <n v="223"/>
    <x v="3"/>
  </r>
  <r>
    <x v="2"/>
    <n v="417"/>
    <x v="0"/>
  </r>
  <r>
    <x v="6"/>
    <n v="390"/>
    <x v="4"/>
  </r>
  <r>
    <x v="5"/>
    <n v="33"/>
    <x v="3"/>
  </r>
  <r>
    <x v="0"/>
    <n v="302"/>
    <x v="2"/>
  </r>
  <r>
    <x v="4"/>
    <n v="121"/>
    <x v="0"/>
  </r>
  <r>
    <x v="4"/>
    <n v="112"/>
    <x v="2"/>
  </r>
  <r>
    <x v="6"/>
    <n v="375"/>
    <x v="4"/>
  </r>
  <r>
    <x v="5"/>
    <n v="97"/>
    <x v="1"/>
  </r>
  <r>
    <x v="3"/>
    <n v="306"/>
    <x v="4"/>
  </r>
  <r>
    <x v="4"/>
    <n v="136"/>
    <x v="3"/>
  </r>
  <r>
    <x v="5"/>
    <n v="12"/>
    <x v="3"/>
  </r>
  <r>
    <x v="3"/>
    <n v="379"/>
    <x v="2"/>
  </r>
  <r>
    <x v="4"/>
    <n v="205"/>
    <x v="3"/>
  </r>
  <r>
    <x v="0"/>
    <n v="335"/>
    <x v="2"/>
  </r>
  <r>
    <x v="4"/>
    <n v="449"/>
    <x v="1"/>
  </r>
  <r>
    <x v="3"/>
    <n v="453"/>
    <x v="2"/>
  </r>
  <r>
    <x v="0"/>
    <n v="252"/>
    <x v="2"/>
  </r>
  <r>
    <x v="4"/>
    <n v="379"/>
    <x v="1"/>
  </r>
  <r>
    <x v="6"/>
    <n v="280"/>
    <x v="4"/>
  </r>
  <r>
    <x v="4"/>
    <n v="187"/>
    <x v="4"/>
  </r>
  <r>
    <x v="0"/>
    <n v="373"/>
    <x v="0"/>
  </r>
  <r>
    <x v="0"/>
    <n v="482"/>
    <x v="3"/>
  </r>
  <r>
    <x v="2"/>
    <n v="360"/>
    <x v="1"/>
  </r>
  <r>
    <x v="5"/>
    <n v="463"/>
    <x v="4"/>
  </r>
  <r>
    <x v="6"/>
    <n v="13"/>
    <x v="1"/>
  </r>
  <r>
    <x v="3"/>
    <n v="129"/>
    <x v="0"/>
  </r>
  <r>
    <x v="1"/>
    <n v="290"/>
    <x v="3"/>
  </r>
  <r>
    <x v="0"/>
    <n v="50"/>
    <x v="4"/>
  </r>
  <r>
    <x v="6"/>
    <n v="241"/>
    <x v="1"/>
  </r>
  <r>
    <x v="4"/>
    <n v="383"/>
    <x v="2"/>
  </r>
  <r>
    <x v="2"/>
    <n v="384"/>
    <x v="3"/>
  </r>
  <r>
    <x v="4"/>
    <n v="302"/>
    <x v="4"/>
  </r>
  <r>
    <x v="2"/>
    <n v="24"/>
    <x v="2"/>
  </r>
  <r>
    <x v="6"/>
    <n v="416"/>
    <x v="2"/>
  </r>
  <r>
    <x v="5"/>
    <n v="272"/>
    <x v="1"/>
  </r>
  <r>
    <x v="1"/>
    <n v="294"/>
    <x v="3"/>
  </r>
  <r>
    <x v="3"/>
    <n v="18"/>
    <x v="1"/>
  </r>
  <r>
    <x v="0"/>
    <n v="409"/>
    <x v="2"/>
  </r>
  <r>
    <x v="6"/>
    <n v="290"/>
    <x v="3"/>
  </r>
  <r>
    <x v="1"/>
    <n v="102"/>
    <x v="1"/>
  </r>
  <r>
    <x v="2"/>
    <n v="119"/>
    <x v="0"/>
  </r>
  <r>
    <x v="0"/>
    <n v="87"/>
    <x v="1"/>
  </r>
  <r>
    <x v="1"/>
    <n v="273"/>
    <x v="4"/>
  </r>
  <r>
    <x v="5"/>
    <n v="281"/>
    <x v="3"/>
  </r>
  <r>
    <x v="3"/>
    <n v="115"/>
    <x v="1"/>
  </r>
  <r>
    <x v="4"/>
    <n v="483"/>
    <x v="4"/>
  </r>
  <r>
    <x v="1"/>
    <n v="129"/>
    <x v="1"/>
  </r>
  <r>
    <x v="1"/>
    <n v="292"/>
    <x v="0"/>
  </r>
  <r>
    <x v="4"/>
    <n v="307"/>
    <x v="0"/>
  </r>
  <r>
    <x v="1"/>
    <n v="306"/>
    <x v="0"/>
  </r>
  <r>
    <x v="2"/>
    <n v="71"/>
    <x v="1"/>
  </r>
  <r>
    <x v="2"/>
    <n v="253"/>
    <x v="0"/>
  </r>
  <r>
    <x v="4"/>
    <n v="68"/>
    <x v="3"/>
  </r>
  <r>
    <x v="1"/>
    <n v="366"/>
    <x v="1"/>
  </r>
  <r>
    <x v="6"/>
    <n v="166"/>
    <x v="0"/>
  </r>
  <r>
    <x v="5"/>
    <n v="136"/>
    <x v="1"/>
  </r>
  <r>
    <x v="5"/>
    <n v="358"/>
    <x v="2"/>
  </r>
  <r>
    <x v="1"/>
    <n v="399"/>
    <x v="3"/>
  </r>
  <r>
    <x v="6"/>
    <n v="285"/>
    <x v="3"/>
  </r>
  <r>
    <x v="4"/>
    <n v="424"/>
    <x v="3"/>
  </r>
  <r>
    <x v="0"/>
    <n v="467"/>
    <x v="1"/>
  </r>
  <r>
    <x v="6"/>
    <n v="443"/>
    <x v="0"/>
  </r>
  <r>
    <x v="2"/>
    <n v="214"/>
    <x v="3"/>
  </r>
  <r>
    <x v="4"/>
    <n v="437"/>
    <x v="1"/>
  </r>
  <r>
    <x v="1"/>
    <n v="419"/>
    <x v="4"/>
  </r>
  <r>
    <x v="0"/>
    <n v="129"/>
    <x v="1"/>
  </r>
  <r>
    <x v="2"/>
    <n v="75"/>
    <x v="1"/>
  </r>
  <r>
    <x v="3"/>
    <n v="346"/>
    <x v="4"/>
  </r>
  <r>
    <x v="4"/>
    <n v="480"/>
    <x v="1"/>
  </r>
  <r>
    <x v="4"/>
    <n v="188"/>
    <x v="0"/>
  </r>
  <r>
    <x v="1"/>
    <n v="420"/>
    <x v="1"/>
  </r>
  <r>
    <x v="4"/>
    <n v="204"/>
    <x v="0"/>
  </r>
  <r>
    <x v="4"/>
    <n v="355"/>
    <x v="2"/>
  </r>
  <r>
    <x v="1"/>
    <n v="200"/>
    <x v="4"/>
  </r>
  <r>
    <x v="0"/>
    <n v="178"/>
    <x v="3"/>
  </r>
  <r>
    <x v="3"/>
    <n v="337"/>
    <x v="0"/>
  </r>
  <r>
    <x v="1"/>
    <n v="24"/>
    <x v="2"/>
  </r>
  <r>
    <x v="2"/>
    <n v="167"/>
    <x v="0"/>
  </r>
  <r>
    <x v="1"/>
    <n v="289"/>
    <x v="4"/>
  </r>
  <r>
    <x v="0"/>
    <n v="450"/>
    <x v="0"/>
  </r>
  <r>
    <x v="2"/>
    <n v="165"/>
    <x v="4"/>
  </r>
  <r>
    <x v="0"/>
    <n v="391"/>
    <x v="2"/>
  </r>
  <r>
    <x v="1"/>
    <n v="318"/>
    <x v="1"/>
  </r>
  <r>
    <x v="3"/>
    <n v="157"/>
    <x v="0"/>
  </r>
  <r>
    <x v="1"/>
    <n v="25"/>
    <x v="2"/>
  </r>
  <r>
    <x v="1"/>
    <n v="112"/>
    <x v="1"/>
  </r>
  <r>
    <x v="0"/>
    <n v="479"/>
    <x v="1"/>
  </r>
  <r>
    <x v="6"/>
    <n v="233"/>
    <x v="2"/>
  </r>
  <r>
    <x v="1"/>
    <n v="44"/>
    <x v="0"/>
  </r>
  <r>
    <x v="0"/>
    <n v="456"/>
    <x v="2"/>
  </r>
  <r>
    <x v="1"/>
    <n v="486"/>
    <x v="2"/>
  </r>
  <r>
    <x v="0"/>
    <n v="308"/>
    <x v="2"/>
  </r>
  <r>
    <x v="6"/>
    <n v="161"/>
    <x v="3"/>
  </r>
  <r>
    <x v="5"/>
    <n v="316"/>
    <x v="4"/>
  </r>
  <r>
    <x v="1"/>
    <n v="133"/>
    <x v="3"/>
  </r>
  <r>
    <x v="5"/>
    <n v="270"/>
    <x v="2"/>
  </r>
  <r>
    <x v="4"/>
    <n v="85"/>
    <x v="0"/>
  </r>
  <r>
    <x v="1"/>
    <n v="65"/>
    <x v="2"/>
  </r>
  <r>
    <x v="1"/>
    <n v="393"/>
    <x v="0"/>
  </r>
  <r>
    <x v="0"/>
    <n v="181"/>
    <x v="2"/>
  </r>
  <r>
    <x v="2"/>
    <n v="416"/>
    <x v="0"/>
  </r>
  <r>
    <x v="2"/>
    <n v="243"/>
    <x v="1"/>
  </r>
  <r>
    <x v="6"/>
    <n v="381"/>
    <x v="1"/>
  </r>
  <r>
    <x v="5"/>
    <n v="71"/>
    <x v="3"/>
  </r>
  <r>
    <x v="4"/>
    <n v="219"/>
    <x v="3"/>
  </r>
  <r>
    <x v="0"/>
    <n v="335"/>
    <x v="2"/>
  </r>
  <r>
    <x v="5"/>
    <n v="435"/>
    <x v="0"/>
  </r>
  <r>
    <x v="1"/>
    <n v="423"/>
    <x v="4"/>
  </r>
  <r>
    <x v="6"/>
    <n v="304"/>
    <x v="1"/>
  </r>
  <r>
    <x v="1"/>
    <n v="455"/>
    <x v="2"/>
  </r>
  <r>
    <x v="3"/>
    <n v="449"/>
    <x v="1"/>
  </r>
  <r>
    <x v="1"/>
    <n v="39"/>
    <x v="1"/>
  </r>
  <r>
    <x v="5"/>
    <n v="139"/>
    <x v="1"/>
  </r>
  <r>
    <x v="2"/>
    <n v="345"/>
    <x v="2"/>
  </r>
  <r>
    <x v="3"/>
    <n v="500"/>
    <x v="4"/>
  </r>
  <r>
    <x v="5"/>
    <n v="365"/>
    <x v="4"/>
  </r>
  <r>
    <x v="6"/>
    <n v="479"/>
    <x v="2"/>
  </r>
  <r>
    <x v="4"/>
    <n v="63"/>
    <x v="2"/>
  </r>
  <r>
    <x v="3"/>
    <n v="104"/>
    <x v="0"/>
  </r>
  <r>
    <x v="4"/>
    <n v="380"/>
    <x v="3"/>
  </r>
  <r>
    <x v="1"/>
    <n v="500"/>
    <x v="3"/>
  </r>
  <r>
    <x v="6"/>
    <n v="247"/>
    <x v="0"/>
  </r>
  <r>
    <x v="2"/>
    <n v="486"/>
    <x v="0"/>
  </r>
  <r>
    <x v="0"/>
    <n v="220"/>
    <x v="4"/>
  </r>
  <r>
    <x v="1"/>
    <n v="21"/>
    <x v="4"/>
  </r>
  <r>
    <x v="0"/>
    <n v="417"/>
    <x v="1"/>
  </r>
  <r>
    <x v="5"/>
    <n v="191"/>
    <x v="2"/>
  </r>
  <r>
    <x v="5"/>
    <n v="460"/>
    <x v="4"/>
  </r>
  <r>
    <x v="3"/>
    <n v="413"/>
    <x v="0"/>
  </r>
  <r>
    <x v="0"/>
    <n v="484"/>
    <x v="1"/>
  </r>
  <r>
    <x v="6"/>
    <n v="227"/>
    <x v="3"/>
  </r>
  <r>
    <x v="2"/>
    <n v="313"/>
    <x v="4"/>
  </r>
  <r>
    <x v="4"/>
    <n v="491"/>
    <x v="1"/>
  </r>
  <r>
    <x v="2"/>
    <n v="50"/>
    <x v="3"/>
  </r>
  <r>
    <x v="6"/>
    <n v="73"/>
    <x v="0"/>
  </r>
  <r>
    <x v="2"/>
    <n v="139"/>
    <x v="0"/>
  </r>
  <r>
    <x v="3"/>
    <n v="327"/>
    <x v="2"/>
  </r>
  <r>
    <x v="1"/>
    <n v="206"/>
    <x v="1"/>
  </r>
  <r>
    <x v="2"/>
    <n v="23"/>
    <x v="2"/>
  </r>
  <r>
    <x v="5"/>
    <n v="158"/>
    <x v="4"/>
  </r>
  <r>
    <x v="5"/>
    <n v="459"/>
    <x v="3"/>
  </r>
  <r>
    <x v="3"/>
    <n v="30"/>
    <x v="3"/>
  </r>
  <r>
    <x v="3"/>
    <n v="42"/>
    <x v="2"/>
  </r>
  <r>
    <x v="4"/>
    <n v="242"/>
    <x v="2"/>
  </r>
  <r>
    <x v="1"/>
    <n v="25"/>
    <x v="1"/>
  </r>
  <r>
    <x v="6"/>
    <n v="140"/>
    <x v="4"/>
  </r>
  <r>
    <x v="5"/>
    <n v="192"/>
    <x v="2"/>
  </r>
  <r>
    <x v="6"/>
    <n v="267"/>
    <x v="1"/>
  </r>
  <r>
    <x v="6"/>
    <n v="410"/>
    <x v="1"/>
  </r>
  <r>
    <x v="5"/>
    <n v="281"/>
    <x v="2"/>
  </r>
  <r>
    <x v="5"/>
    <n v="478"/>
    <x v="4"/>
  </r>
  <r>
    <x v="0"/>
    <n v="44"/>
    <x v="2"/>
  </r>
  <r>
    <x v="0"/>
    <n v="250"/>
    <x v="1"/>
  </r>
  <r>
    <x v="1"/>
    <n v="225"/>
    <x v="0"/>
  </r>
  <r>
    <x v="2"/>
    <n v="473"/>
    <x v="0"/>
  </r>
  <r>
    <x v="2"/>
    <n v="236"/>
    <x v="0"/>
  </r>
  <r>
    <x v="5"/>
    <n v="349"/>
    <x v="0"/>
  </r>
  <r>
    <x v="5"/>
    <n v="139"/>
    <x v="4"/>
  </r>
  <r>
    <x v="6"/>
    <n v="278"/>
    <x v="4"/>
  </r>
  <r>
    <x v="4"/>
    <n v="242"/>
    <x v="2"/>
  </r>
  <r>
    <x v="4"/>
    <n v="251"/>
    <x v="2"/>
  </r>
  <r>
    <x v="1"/>
    <n v="268"/>
    <x v="1"/>
  </r>
  <r>
    <x v="5"/>
    <n v="322"/>
    <x v="0"/>
  </r>
  <r>
    <x v="3"/>
    <n v="356"/>
    <x v="1"/>
  </r>
  <r>
    <x v="3"/>
    <n v="28"/>
    <x v="2"/>
  </r>
  <r>
    <x v="5"/>
    <n v="43"/>
    <x v="0"/>
  </r>
  <r>
    <x v="1"/>
    <n v="391"/>
    <x v="0"/>
  </r>
  <r>
    <x v="2"/>
    <n v="300"/>
    <x v="4"/>
  </r>
  <r>
    <x v="4"/>
    <n v="75"/>
    <x v="3"/>
  </r>
  <r>
    <x v="6"/>
    <n v="154"/>
    <x v="2"/>
  </r>
  <r>
    <x v="5"/>
    <n v="179"/>
    <x v="1"/>
  </r>
  <r>
    <x v="3"/>
    <n v="147"/>
    <x v="1"/>
  </r>
  <r>
    <x v="4"/>
    <n v="235"/>
    <x v="0"/>
  </r>
  <r>
    <x v="6"/>
    <n v="390"/>
    <x v="3"/>
  </r>
  <r>
    <x v="0"/>
    <n v="116"/>
    <x v="4"/>
  </r>
  <r>
    <x v="0"/>
    <n v="492"/>
    <x v="0"/>
  </r>
  <r>
    <x v="0"/>
    <n v="159"/>
    <x v="1"/>
  </r>
  <r>
    <x v="6"/>
    <n v="279"/>
    <x v="1"/>
  </r>
  <r>
    <x v="0"/>
    <n v="386"/>
    <x v="0"/>
  </r>
  <r>
    <x v="2"/>
    <n v="332"/>
    <x v="3"/>
  </r>
  <r>
    <x v="3"/>
    <n v="176"/>
    <x v="2"/>
  </r>
  <r>
    <x v="6"/>
    <n v="221"/>
    <x v="0"/>
  </r>
  <r>
    <x v="4"/>
    <n v="263"/>
    <x v="4"/>
  </r>
  <r>
    <x v="3"/>
    <n v="222"/>
    <x v="3"/>
  </r>
  <r>
    <x v="6"/>
    <n v="39"/>
    <x v="4"/>
  </r>
  <r>
    <x v="0"/>
    <n v="445"/>
    <x v="3"/>
  </r>
  <r>
    <x v="2"/>
    <n v="164"/>
    <x v="4"/>
  </r>
  <r>
    <x v="2"/>
    <n v="101"/>
    <x v="4"/>
  </r>
  <r>
    <x v="1"/>
    <n v="424"/>
    <x v="1"/>
  </r>
  <r>
    <x v="2"/>
    <n v="182"/>
    <x v="0"/>
  </r>
  <r>
    <x v="2"/>
    <n v="115"/>
    <x v="0"/>
  </r>
  <r>
    <x v="3"/>
    <n v="33"/>
    <x v="4"/>
  </r>
  <r>
    <x v="1"/>
    <n v="259"/>
    <x v="1"/>
  </r>
  <r>
    <x v="6"/>
    <n v="309"/>
    <x v="3"/>
  </r>
  <r>
    <x v="6"/>
    <n v="367"/>
    <x v="1"/>
  </r>
  <r>
    <x v="0"/>
    <n v="472"/>
    <x v="4"/>
  </r>
  <r>
    <x v="3"/>
    <n v="449"/>
    <x v="3"/>
  </r>
  <r>
    <x v="5"/>
    <n v="302"/>
    <x v="4"/>
  </r>
  <r>
    <x v="2"/>
    <n v="70"/>
    <x v="3"/>
  </r>
  <r>
    <x v="2"/>
    <n v="157"/>
    <x v="4"/>
  </r>
  <r>
    <x v="4"/>
    <n v="17"/>
    <x v="0"/>
  </r>
  <r>
    <x v="1"/>
    <n v="173"/>
    <x v="0"/>
  </r>
  <r>
    <x v="5"/>
    <n v="301"/>
    <x v="0"/>
  </r>
  <r>
    <x v="4"/>
    <n v="357"/>
    <x v="2"/>
  </r>
  <r>
    <x v="1"/>
    <n v="48"/>
    <x v="3"/>
  </r>
  <r>
    <x v="0"/>
    <n v="351"/>
    <x v="4"/>
  </r>
  <r>
    <x v="5"/>
    <n v="491"/>
    <x v="4"/>
  </r>
  <r>
    <x v="2"/>
    <n v="164"/>
    <x v="3"/>
  </r>
  <r>
    <x v="0"/>
    <n v="304"/>
    <x v="0"/>
  </r>
  <r>
    <x v="4"/>
    <n v="166"/>
    <x v="2"/>
  </r>
  <r>
    <x v="6"/>
    <n v="225"/>
    <x v="0"/>
  </r>
  <r>
    <x v="6"/>
    <n v="163"/>
    <x v="0"/>
  </r>
  <r>
    <x v="2"/>
    <n v="419"/>
    <x v="0"/>
  </r>
  <r>
    <x v="0"/>
    <n v="293"/>
    <x v="1"/>
  </r>
  <r>
    <x v="4"/>
    <n v="171"/>
    <x v="3"/>
  </r>
  <r>
    <x v="3"/>
    <n v="438"/>
    <x v="4"/>
  </r>
  <r>
    <x v="5"/>
    <n v="247"/>
    <x v="3"/>
  </r>
  <r>
    <x v="4"/>
    <n v="85"/>
    <x v="0"/>
  </r>
  <r>
    <x v="3"/>
    <n v="203"/>
    <x v="3"/>
  </r>
  <r>
    <x v="2"/>
    <n v="219"/>
    <x v="0"/>
  </r>
  <r>
    <x v="5"/>
    <n v="285"/>
    <x v="1"/>
  </r>
  <r>
    <x v="4"/>
    <n v="115"/>
    <x v="0"/>
  </r>
  <r>
    <x v="1"/>
    <n v="322"/>
    <x v="1"/>
  </r>
  <r>
    <x v="0"/>
    <n v="348"/>
    <x v="3"/>
  </r>
  <r>
    <x v="2"/>
    <n v="482"/>
    <x v="2"/>
  </r>
  <r>
    <x v="2"/>
    <n v="384"/>
    <x v="1"/>
  </r>
  <r>
    <x v="5"/>
    <n v="178"/>
    <x v="4"/>
  </r>
  <r>
    <x v="1"/>
    <n v="91"/>
    <x v="4"/>
  </r>
  <r>
    <x v="4"/>
    <n v="175"/>
    <x v="0"/>
  </r>
  <r>
    <x v="0"/>
    <n v="187"/>
    <x v="0"/>
  </r>
  <r>
    <x v="1"/>
    <n v="352"/>
    <x v="3"/>
  </r>
  <r>
    <x v="0"/>
    <n v="448"/>
    <x v="1"/>
  </r>
  <r>
    <x v="2"/>
    <n v="81"/>
    <x v="3"/>
  </r>
  <r>
    <x v="2"/>
    <n v="321"/>
    <x v="0"/>
  </r>
  <r>
    <x v="4"/>
    <n v="114"/>
    <x v="2"/>
  </r>
  <r>
    <x v="1"/>
    <n v="493"/>
    <x v="2"/>
  </r>
  <r>
    <x v="3"/>
    <n v="475"/>
    <x v="2"/>
  </r>
  <r>
    <x v="3"/>
    <n v="287"/>
    <x v="4"/>
  </r>
  <r>
    <x v="0"/>
    <n v="138"/>
    <x v="1"/>
  </r>
  <r>
    <x v="0"/>
    <n v="198"/>
    <x v="1"/>
  </r>
  <r>
    <x v="0"/>
    <n v="164"/>
    <x v="2"/>
  </r>
  <r>
    <x v="4"/>
    <n v="65"/>
    <x v="3"/>
  </r>
  <r>
    <x v="1"/>
    <n v="388"/>
    <x v="3"/>
  </r>
  <r>
    <x v="6"/>
    <n v="412"/>
    <x v="2"/>
  </r>
  <r>
    <x v="0"/>
    <n v="267"/>
    <x v="4"/>
  </r>
  <r>
    <x v="0"/>
    <n v="29"/>
    <x v="2"/>
  </r>
  <r>
    <x v="0"/>
    <n v="454"/>
    <x v="1"/>
  </r>
  <r>
    <x v="6"/>
    <n v="119"/>
    <x v="2"/>
  </r>
  <r>
    <x v="0"/>
    <n v="311"/>
    <x v="4"/>
  </r>
  <r>
    <x v="5"/>
    <n v="122"/>
    <x v="0"/>
  </r>
  <r>
    <x v="2"/>
    <n v="300"/>
    <x v="3"/>
  </r>
  <r>
    <x v="6"/>
    <n v="59"/>
    <x v="2"/>
  </r>
  <r>
    <x v="1"/>
    <n v="34"/>
    <x v="4"/>
  </r>
  <r>
    <x v="5"/>
    <n v="23"/>
    <x v="1"/>
  </r>
  <r>
    <x v="0"/>
    <n v="168"/>
    <x v="1"/>
  </r>
  <r>
    <x v="0"/>
    <n v="306"/>
    <x v="2"/>
  </r>
  <r>
    <x v="3"/>
    <n v="433"/>
    <x v="4"/>
  </r>
  <r>
    <x v="6"/>
    <n v="221"/>
    <x v="0"/>
  </r>
  <r>
    <x v="3"/>
    <n v="236"/>
    <x v="2"/>
  </r>
  <r>
    <x v="0"/>
    <n v="75"/>
    <x v="2"/>
  </r>
  <r>
    <x v="5"/>
    <n v="325"/>
    <x v="1"/>
  </r>
  <r>
    <x v="3"/>
    <n v="217"/>
    <x v="0"/>
  </r>
  <r>
    <x v="0"/>
    <n v="178"/>
    <x v="0"/>
  </r>
  <r>
    <x v="2"/>
    <n v="74"/>
    <x v="3"/>
  </r>
  <r>
    <x v="5"/>
    <n v="373"/>
    <x v="2"/>
  </r>
  <r>
    <x v="5"/>
    <n v="64"/>
    <x v="2"/>
  </r>
  <r>
    <x v="0"/>
    <n v="129"/>
    <x v="3"/>
  </r>
  <r>
    <x v="2"/>
    <n v="297"/>
    <x v="4"/>
  </r>
  <r>
    <x v="0"/>
    <n v="235"/>
    <x v="3"/>
  </r>
  <r>
    <x v="0"/>
    <n v="390"/>
    <x v="4"/>
  </r>
  <r>
    <x v="6"/>
    <n v="362"/>
    <x v="4"/>
  </r>
  <r>
    <x v="2"/>
    <n v="136"/>
    <x v="0"/>
  </r>
  <r>
    <x v="6"/>
    <n v="159"/>
    <x v="2"/>
  </r>
  <r>
    <x v="2"/>
    <n v="99"/>
    <x v="0"/>
  </r>
  <r>
    <x v="0"/>
    <n v="157"/>
    <x v="1"/>
  </r>
  <r>
    <x v="3"/>
    <n v="123"/>
    <x v="1"/>
  </r>
  <r>
    <x v="7"/>
    <m/>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2518"/>
    <x v="0"/>
    <x v="0"/>
  </r>
  <r>
    <n v="6430"/>
    <x v="1"/>
    <x v="1"/>
  </r>
  <r>
    <n v="1798"/>
    <x v="0"/>
    <x v="0"/>
  </r>
  <r>
    <n v="5255"/>
    <x v="2"/>
    <x v="1"/>
  </r>
  <r>
    <n v="2854"/>
    <x v="3"/>
    <x v="1"/>
  </r>
  <r>
    <n v="6735"/>
    <x v="3"/>
    <x v="2"/>
  </r>
  <r>
    <n v="2995"/>
    <x v="4"/>
    <x v="0"/>
  </r>
  <r>
    <n v="5120"/>
    <x v="0"/>
    <x v="3"/>
  </r>
  <r>
    <n v="6063"/>
    <x v="5"/>
    <x v="1"/>
  </r>
  <r>
    <n v="6896"/>
    <x v="3"/>
    <x v="4"/>
  </r>
  <r>
    <n v="8447"/>
    <x v="5"/>
    <x v="4"/>
  </r>
  <r>
    <n v="1433"/>
    <x v="1"/>
    <x v="0"/>
  </r>
  <r>
    <n v="4511"/>
    <x v="1"/>
    <x v="3"/>
  </r>
  <r>
    <n v="9966"/>
    <x v="3"/>
    <x v="2"/>
  </r>
  <r>
    <n v="7093"/>
    <x v="3"/>
    <x v="2"/>
  </r>
  <r>
    <n v="4351"/>
    <x v="4"/>
    <x v="0"/>
  </r>
  <r>
    <n v="6007"/>
    <x v="4"/>
    <x v="1"/>
  </r>
  <r>
    <n v="9710"/>
    <x v="6"/>
    <x v="0"/>
  </r>
  <r>
    <n v="9034"/>
    <x v="5"/>
    <x v="2"/>
  </r>
  <r>
    <n v="6197"/>
    <x v="0"/>
    <x v="3"/>
  </r>
  <r>
    <n v="2820"/>
    <x v="1"/>
    <x v="0"/>
  </r>
  <r>
    <n v="1101"/>
    <x v="4"/>
    <x v="4"/>
  </r>
  <r>
    <n v="1650"/>
    <x v="6"/>
    <x v="0"/>
  </r>
  <r>
    <n v="4884"/>
    <x v="2"/>
    <x v="4"/>
  </r>
  <r>
    <n v="8321"/>
    <x v="6"/>
    <x v="4"/>
  </r>
  <r>
    <n v="2381"/>
    <x v="4"/>
    <x v="2"/>
  </r>
  <r>
    <n v="9507"/>
    <x v="0"/>
    <x v="2"/>
  </r>
  <r>
    <n v="2851"/>
    <x v="6"/>
    <x v="0"/>
  </r>
  <r>
    <n v="4083"/>
    <x v="4"/>
    <x v="0"/>
  </r>
  <r>
    <n v="4608"/>
    <x v="5"/>
    <x v="4"/>
  </r>
  <r>
    <n v="4815"/>
    <x v="3"/>
    <x v="4"/>
  </r>
  <r>
    <n v="9597"/>
    <x v="6"/>
    <x v="1"/>
  </r>
  <r>
    <n v="6566"/>
    <x v="4"/>
    <x v="1"/>
  </r>
  <r>
    <n v="1419"/>
    <x v="2"/>
    <x v="1"/>
  </r>
  <r>
    <n v="9470"/>
    <x v="4"/>
    <x v="2"/>
  </r>
  <r>
    <n v="4989"/>
    <x v="5"/>
    <x v="4"/>
  </r>
  <r>
    <n v="9389"/>
    <x v="2"/>
    <x v="0"/>
  </r>
  <r>
    <n v="7728"/>
    <x v="6"/>
    <x v="1"/>
  </r>
  <r>
    <n v="7943"/>
    <x v="3"/>
    <x v="2"/>
  </r>
  <r>
    <n v="2490"/>
    <x v="2"/>
    <x v="0"/>
  </r>
  <r>
    <n v="5042"/>
    <x v="6"/>
    <x v="0"/>
  </r>
  <r>
    <n v="3620"/>
    <x v="5"/>
    <x v="3"/>
  </r>
  <r>
    <n v="8976"/>
    <x v="6"/>
    <x v="3"/>
  </r>
  <r>
    <n v="1570"/>
    <x v="6"/>
    <x v="2"/>
  </r>
  <r>
    <n v="7709"/>
    <x v="2"/>
    <x v="1"/>
  </r>
  <r>
    <n v="9503"/>
    <x v="3"/>
    <x v="0"/>
  </r>
  <r>
    <n v="9564"/>
    <x v="5"/>
    <x v="3"/>
  </r>
  <r>
    <n v="8934"/>
    <x v="1"/>
    <x v="2"/>
  </r>
  <r>
    <n v="1222"/>
    <x v="6"/>
    <x v="0"/>
  </r>
  <r>
    <n v="5762"/>
    <x v="5"/>
    <x v="3"/>
  </r>
  <r>
    <n v="4066"/>
    <x v="2"/>
    <x v="2"/>
  </r>
  <r>
    <n v="6469"/>
    <x v="3"/>
    <x v="2"/>
  </r>
  <r>
    <n v="1364"/>
    <x v="4"/>
    <x v="0"/>
  </r>
  <r>
    <n v="4197"/>
    <x v="6"/>
    <x v="3"/>
  </r>
  <r>
    <n v="9700"/>
    <x v="3"/>
    <x v="3"/>
  </r>
  <r>
    <n v="5644"/>
    <x v="5"/>
    <x v="2"/>
  </r>
  <r>
    <n v="5420"/>
    <x v="1"/>
    <x v="3"/>
  </r>
  <r>
    <n v="7560"/>
    <x v="4"/>
    <x v="4"/>
  </r>
  <r>
    <n v="9644"/>
    <x v="5"/>
    <x v="2"/>
  </r>
  <r>
    <n v="7239"/>
    <x v="0"/>
    <x v="1"/>
  </r>
  <r>
    <n v="6415"/>
    <x v="0"/>
    <x v="0"/>
  </r>
  <r>
    <n v="9020"/>
    <x v="4"/>
    <x v="1"/>
  </r>
  <r>
    <n v="2324"/>
    <x v="5"/>
    <x v="0"/>
  </r>
  <r>
    <n v="1354"/>
    <x v="2"/>
    <x v="2"/>
  </r>
  <r>
    <n v="4019"/>
    <x v="3"/>
    <x v="4"/>
  </r>
  <r>
    <n v="6178"/>
    <x v="3"/>
    <x v="2"/>
  </r>
  <r>
    <n v="8673"/>
    <x v="0"/>
    <x v="4"/>
  </r>
  <r>
    <n v="8250"/>
    <x v="3"/>
    <x v="0"/>
  </r>
  <r>
    <n v="1609"/>
    <x v="4"/>
    <x v="4"/>
  </r>
  <r>
    <n v="3806"/>
    <x v="3"/>
    <x v="4"/>
  </r>
  <r>
    <n v="7973"/>
    <x v="6"/>
    <x v="4"/>
  </r>
  <r>
    <n v="7948"/>
    <x v="2"/>
    <x v="0"/>
  </r>
  <r>
    <n v="3195"/>
    <x v="0"/>
    <x v="0"/>
  </r>
  <r>
    <n v="6285"/>
    <x v="3"/>
    <x v="0"/>
  </r>
  <r>
    <n v="4303"/>
    <x v="5"/>
    <x v="4"/>
  </r>
  <r>
    <n v="7751"/>
    <x v="2"/>
    <x v="4"/>
  </r>
  <r>
    <n v="7813"/>
    <x v="1"/>
    <x v="4"/>
  </r>
  <r>
    <n v="9028"/>
    <x v="0"/>
    <x v="1"/>
  </r>
  <r>
    <n v="6109"/>
    <x v="6"/>
    <x v="2"/>
  </r>
  <r>
    <n v="2565"/>
    <x v="5"/>
    <x v="4"/>
  </r>
  <r>
    <n v="7551"/>
    <x v="1"/>
    <x v="1"/>
  </r>
  <r>
    <n v="6398"/>
    <x v="6"/>
    <x v="3"/>
  </r>
  <r>
    <n v="4982"/>
    <x v="1"/>
    <x v="1"/>
  </r>
  <r>
    <n v="8108"/>
    <x v="5"/>
    <x v="2"/>
  </r>
  <r>
    <n v="6779"/>
    <x v="6"/>
    <x v="3"/>
  </r>
  <r>
    <n v="1169"/>
    <x v="1"/>
    <x v="2"/>
  </r>
  <r>
    <n v="5067"/>
    <x v="3"/>
    <x v="4"/>
  </r>
  <r>
    <n v="5299"/>
    <x v="5"/>
    <x v="0"/>
  </r>
  <r>
    <n v="3978"/>
    <x v="1"/>
    <x v="3"/>
  </r>
  <r>
    <n v="8634"/>
    <x v="1"/>
    <x v="4"/>
  </r>
  <r>
    <n v="9635"/>
    <x v="5"/>
    <x v="0"/>
  </r>
  <r>
    <n v="1776"/>
    <x v="5"/>
    <x v="4"/>
  </r>
  <r>
    <n v="9703"/>
    <x v="2"/>
    <x v="0"/>
  </r>
  <r>
    <n v="3498"/>
    <x v="1"/>
    <x v="4"/>
  </r>
  <r>
    <n v="4260"/>
    <x v="4"/>
    <x v="4"/>
  </r>
  <r>
    <n v="7152"/>
    <x v="0"/>
    <x v="0"/>
  </r>
  <r>
    <n v="2457"/>
    <x v="5"/>
    <x v="1"/>
  </r>
  <r>
    <n v="8530"/>
    <x v="3"/>
    <x v="4"/>
  </r>
  <r>
    <n v="9131"/>
    <x v="2"/>
    <x v="1"/>
  </r>
  <r>
    <n v="9770"/>
    <x v="6"/>
    <x v="1"/>
  </r>
  <r>
    <n v="8095"/>
    <x v="0"/>
    <x v="0"/>
  </r>
  <r>
    <n v="3763"/>
    <x v="4"/>
    <x v="4"/>
  </r>
  <r>
    <n v="4346"/>
    <x v="0"/>
    <x v="3"/>
  </r>
  <r>
    <n v="5866"/>
    <x v="3"/>
    <x v="4"/>
  </r>
  <r>
    <n v="5865"/>
    <x v="2"/>
    <x v="2"/>
  </r>
  <r>
    <n v="9398"/>
    <x v="5"/>
    <x v="3"/>
  </r>
  <r>
    <n v="9695"/>
    <x v="3"/>
    <x v="2"/>
  </r>
  <r>
    <n v="8805"/>
    <x v="6"/>
    <x v="4"/>
  </r>
  <r>
    <n v="8353"/>
    <x v="6"/>
    <x v="3"/>
  </r>
  <r>
    <n v="3178"/>
    <x v="4"/>
    <x v="3"/>
  </r>
  <r>
    <n v="4917"/>
    <x v="4"/>
    <x v="3"/>
  </r>
  <r>
    <n v="8878"/>
    <x v="5"/>
    <x v="0"/>
  </r>
  <r>
    <n v="3810"/>
    <x v="4"/>
    <x v="1"/>
  </r>
  <r>
    <n v="9353"/>
    <x v="3"/>
    <x v="1"/>
  </r>
  <r>
    <n v="1672"/>
    <x v="4"/>
    <x v="3"/>
  </r>
  <r>
    <n v="6650"/>
    <x v="1"/>
    <x v="2"/>
  </r>
  <r>
    <n v="2581"/>
    <x v="3"/>
    <x v="4"/>
  </r>
  <r>
    <n v="6860"/>
    <x v="1"/>
    <x v="4"/>
  </r>
  <r>
    <n v="4584"/>
    <x v="1"/>
    <x v="3"/>
  </r>
  <r>
    <n v="3354"/>
    <x v="5"/>
    <x v="3"/>
  </r>
  <r>
    <n v="4668"/>
    <x v="2"/>
    <x v="4"/>
  </r>
  <r>
    <n v="6684"/>
    <x v="6"/>
    <x v="3"/>
  </r>
  <r>
    <n v="8058"/>
    <x v="2"/>
    <x v="2"/>
  </r>
  <r>
    <n v="3035"/>
    <x v="6"/>
    <x v="4"/>
  </r>
  <r>
    <n v="2146"/>
    <x v="4"/>
    <x v="1"/>
  </r>
  <r>
    <n v="5761"/>
    <x v="1"/>
    <x v="3"/>
  </r>
  <r>
    <n v="5256"/>
    <x v="2"/>
    <x v="4"/>
  </r>
  <r>
    <n v="5995"/>
    <x v="0"/>
    <x v="1"/>
  </r>
  <r>
    <n v="4155"/>
    <x v="2"/>
    <x v="2"/>
  </r>
  <r>
    <n v="1851"/>
    <x v="4"/>
    <x v="3"/>
  </r>
  <r>
    <n v="8068"/>
    <x v="1"/>
    <x v="2"/>
  </r>
  <r>
    <n v="8425"/>
    <x v="5"/>
    <x v="1"/>
  </r>
  <r>
    <n v="4706"/>
    <x v="2"/>
    <x v="0"/>
  </r>
  <r>
    <n v="7544"/>
    <x v="4"/>
    <x v="3"/>
  </r>
  <r>
    <n v="4029"/>
    <x v="1"/>
    <x v="2"/>
  </r>
  <r>
    <n v="6117"/>
    <x v="1"/>
    <x v="2"/>
  </r>
  <r>
    <n v="1408"/>
    <x v="1"/>
    <x v="0"/>
  </r>
  <r>
    <n v="8396"/>
    <x v="3"/>
    <x v="4"/>
  </r>
  <r>
    <n v="6806"/>
    <x v="0"/>
    <x v="3"/>
  </r>
  <r>
    <n v="3496"/>
    <x v="1"/>
    <x v="1"/>
  </r>
  <r>
    <n v="7840"/>
    <x v="5"/>
    <x v="4"/>
  </r>
  <r>
    <n v="2099"/>
    <x v="1"/>
    <x v="0"/>
  </r>
  <r>
    <n v="6518"/>
    <x v="0"/>
    <x v="0"/>
  </r>
  <r>
    <n v="1976"/>
    <x v="2"/>
    <x v="1"/>
  </r>
  <r>
    <n v="8777"/>
    <x v="2"/>
    <x v="3"/>
  </r>
  <r>
    <n v="1576"/>
    <x v="1"/>
    <x v="1"/>
  </r>
  <r>
    <n v="7979"/>
    <x v="2"/>
    <x v="1"/>
  </r>
  <r>
    <n v="6300"/>
    <x v="0"/>
    <x v="3"/>
  </r>
  <r>
    <n v="1003"/>
    <x v="4"/>
    <x v="0"/>
  </r>
  <r>
    <n v="8238"/>
    <x v="5"/>
    <x v="3"/>
  </r>
  <r>
    <n v="8261"/>
    <x v="5"/>
    <x v="1"/>
  </r>
  <r>
    <n v="7729"/>
    <x v="6"/>
    <x v="3"/>
  </r>
  <r>
    <n v="8616"/>
    <x v="4"/>
    <x v="0"/>
  </r>
  <r>
    <n v="9734"/>
    <x v="0"/>
    <x v="0"/>
  </r>
  <r>
    <n v="2086"/>
    <x v="1"/>
    <x v="4"/>
  </r>
  <r>
    <n v="8721"/>
    <x v="1"/>
    <x v="2"/>
  </r>
  <r>
    <n v="1075"/>
    <x v="6"/>
    <x v="2"/>
  </r>
  <r>
    <n v="2690"/>
    <x v="2"/>
    <x v="0"/>
  </r>
  <r>
    <n v="7654"/>
    <x v="4"/>
    <x v="1"/>
  </r>
  <r>
    <n v="7577"/>
    <x v="2"/>
    <x v="3"/>
  </r>
  <r>
    <n v="9814"/>
    <x v="5"/>
    <x v="3"/>
  </r>
  <r>
    <n v="5423"/>
    <x v="0"/>
    <x v="3"/>
  </r>
  <r>
    <n v="2660"/>
    <x v="4"/>
    <x v="0"/>
  </r>
  <r>
    <n v="4206"/>
    <x v="6"/>
    <x v="2"/>
  </r>
  <r>
    <n v="5269"/>
    <x v="5"/>
    <x v="3"/>
  </r>
  <r>
    <n v="7922"/>
    <x v="3"/>
    <x v="0"/>
  </r>
  <r>
    <n v="7829"/>
    <x v="5"/>
    <x v="1"/>
  </r>
  <r>
    <n v="1715"/>
    <x v="1"/>
    <x v="2"/>
  </r>
  <r>
    <n v="2639"/>
    <x v="1"/>
    <x v="0"/>
  </r>
  <r>
    <n v="1801"/>
    <x v="4"/>
    <x v="3"/>
  </r>
  <r>
    <n v="9163"/>
    <x v="2"/>
    <x v="0"/>
  </r>
  <r>
    <n v="1284"/>
    <x v="5"/>
    <x v="1"/>
  </r>
  <r>
    <n v="8774"/>
    <x v="5"/>
    <x v="3"/>
  </r>
  <r>
    <n v="3866"/>
    <x v="2"/>
    <x v="2"/>
  </r>
  <r>
    <n v="4477"/>
    <x v="1"/>
    <x v="3"/>
  </r>
  <r>
    <n v="4829"/>
    <x v="2"/>
    <x v="0"/>
  </r>
  <r>
    <n v="1257"/>
    <x v="0"/>
    <x v="3"/>
  </r>
  <r>
    <n v="1897"/>
    <x v="4"/>
    <x v="4"/>
  </r>
  <r>
    <n v="3603"/>
    <x v="3"/>
    <x v="4"/>
  </r>
  <r>
    <n v="9256"/>
    <x v="6"/>
    <x v="1"/>
  </r>
  <r>
    <n v="9469"/>
    <x v="2"/>
    <x v="3"/>
  </r>
  <r>
    <n v="7136"/>
    <x v="0"/>
    <x v="1"/>
  </r>
  <r>
    <n v="2321"/>
    <x v="1"/>
    <x v="0"/>
  </r>
  <r>
    <n v="4243"/>
    <x v="0"/>
    <x v="4"/>
  </r>
  <r>
    <n v="8015"/>
    <x v="0"/>
    <x v="0"/>
  </r>
  <r>
    <n v="3440"/>
    <x v="3"/>
    <x v="2"/>
  </r>
  <r>
    <n v="9914"/>
    <x v="5"/>
    <x v="0"/>
  </r>
  <r>
    <n v="5045"/>
    <x v="5"/>
    <x v="2"/>
  </r>
  <r>
    <n v="1379"/>
    <x v="1"/>
    <x v="0"/>
  </r>
  <r>
    <n v="6099"/>
    <x v="5"/>
    <x v="0"/>
  </r>
  <r>
    <n v="4696"/>
    <x v="0"/>
    <x v="1"/>
  </r>
  <r>
    <n v="4808"/>
    <x v="6"/>
    <x v="3"/>
  </r>
  <r>
    <n v="3633"/>
    <x v="0"/>
    <x v="0"/>
  </r>
  <r>
    <n v="4979"/>
    <x v="1"/>
    <x v="1"/>
  </r>
  <r>
    <n v="2214"/>
    <x v="6"/>
    <x v="1"/>
  </r>
  <r>
    <n v="6606"/>
    <x v="2"/>
    <x v="1"/>
  </r>
  <r>
    <n v="4246"/>
    <x v="1"/>
    <x v="0"/>
  </r>
  <r>
    <n v="2836"/>
    <x v="4"/>
    <x v="4"/>
  </r>
  <r>
    <n v="6963"/>
    <x v="5"/>
    <x v="1"/>
  </r>
  <r>
    <n v="2243"/>
    <x v="5"/>
    <x v="2"/>
  </r>
  <r>
    <n v="5081"/>
    <x v="6"/>
    <x v="3"/>
  </r>
  <r>
    <n v="4171"/>
    <x v="2"/>
    <x v="3"/>
  </r>
  <r>
    <n v="7399"/>
    <x v="6"/>
    <x v="3"/>
  </r>
  <r>
    <n v="1110"/>
    <x v="0"/>
    <x v="0"/>
  </r>
  <r>
    <n v="5630"/>
    <x v="1"/>
    <x v="3"/>
  </r>
  <r>
    <n v="9430"/>
    <x v="2"/>
    <x v="3"/>
  </r>
  <r>
    <n v="7436"/>
    <x v="2"/>
    <x v="4"/>
  </r>
  <r>
    <n v="2147"/>
    <x v="0"/>
    <x v="3"/>
  </r>
  <r>
    <n v="3264"/>
    <x v="5"/>
    <x v="4"/>
  </r>
  <r>
    <n v="1214"/>
    <x v="0"/>
    <x v="2"/>
  </r>
  <r>
    <n v="6050"/>
    <x v="4"/>
    <x v="3"/>
  </r>
  <r>
    <n v="7395"/>
    <x v="0"/>
    <x v="1"/>
  </r>
  <r>
    <n v="3904"/>
    <x v="4"/>
    <x v="0"/>
  </r>
  <r>
    <n v="6545"/>
    <x v="1"/>
    <x v="0"/>
  </r>
  <r>
    <n v="3131"/>
    <x v="2"/>
    <x v="4"/>
  </r>
  <r>
    <n v="8589"/>
    <x v="6"/>
    <x v="0"/>
  </r>
  <r>
    <n v="2908"/>
    <x v="2"/>
    <x v="4"/>
  </r>
  <r>
    <n v="5209"/>
    <x v="6"/>
    <x v="3"/>
  </r>
  <r>
    <n v="2319"/>
    <x v="1"/>
    <x v="0"/>
  </r>
  <r>
    <n v="9026"/>
    <x v="5"/>
    <x v="0"/>
  </r>
  <r>
    <n v="2723"/>
    <x v="0"/>
    <x v="4"/>
  </r>
  <r>
    <n v="5487"/>
    <x v="5"/>
    <x v="1"/>
  </r>
  <r>
    <n v="4656"/>
    <x v="0"/>
    <x v="1"/>
  </r>
  <r>
    <n v="5718"/>
    <x v="2"/>
    <x v="3"/>
  </r>
  <r>
    <n v="1215"/>
    <x v="3"/>
    <x v="1"/>
  </r>
  <r>
    <n v="3427"/>
    <x v="2"/>
    <x v="1"/>
  </r>
  <r>
    <n v="2428"/>
    <x v="5"/>
    <x v="2"/>
  </r>
  <r>
    <n v="1947"/>
    <x v="0"/>
    <x v="2"/>
  </r>
  <r>
    <n v="5036"/>
    <x v="4"/>
    <x v="2"/>
  </r>
  <r>
    <n v="5857"/>
    <x v="4"/>
    <x v="4"/>
  </r>
  <r>
    <n v="8770"/>
    <x v="1"/>
    <x v="4"/>
  </r>
  <r>
    <n v="4118"/>
    <x v="3"/>
    <x v="4"/>
  </r>
  <r>
    <n v="7162"/>
    <x v="2"/>
    <x v="4"/>
  </r>
  <r>
    <n v="9278"/>
    <x v="1"/>
    <x v="3"/>
  </r>
  <r>
    <n v="5406"/>
    <x v="1"/>
    <x v="2"/>
  </r>
  <r>
    <n v="4641"/>
    <x v="6"/>
    <x v="0"/>
  </r>
  <r>
    <n v="3969"/>
    <x v="2"/>
    <x v="1"/>
  </r>
  <r>
    <n v="3078"/>
    <x v="0"/>
    <x v="2"/>
  </r>
  <r>
    <n v="2808"/>
    <x v="4"/>
    <x v="1"/>
  </r>
  <r>
    <n v="7484"/>
    <x v="6"/>
    <x v="1"/>
  </r>
  <r>
    <n v="2396"/>
    <x v="0"/>
    <x v="0"/>
  </r>
  <r>
    <n v="2472"/>
    <x v="5"/>
    <x v="4"/>
  </r>
  <r>
    <n v="7939"/>
    <x v="5"/>
    <x v="1"/>
  </r>
  <r>
    <n v="8269"/>
    <x v="0"/>
    <x v="4"/>
  </r>
  <r>
    <n v="9073"/>
    <x v="3"/>
    <x v="3"/>
  </r>
  <r>
    <n v="9879"/>
    <x v="4"/>
    <x v="1"/>
  </r>
  <r>
    <n v="3822"/>
    <x v="0"/>
    <x v="0"/>
  </r>
  <r>
    <n v="9183"/>
    <x v="2"/>
    <x v="2"/>
  </r>
  <r>
    <n v="8674"/>
    <x v="5"/>
    <x v="1"/>
  </r>
  <r>
    <n v="2481"/>
    <x v="6"/>
    <x v="3"/>
  </r>
  <r>
    <n v="8729"/>
    <x v="3"/>
    <x v="3"/>
  </r>
  <r>
    <n v="5534"/>
    <x v="1"/>
    <x v="2"/>
  </r>
  <r>
    <n v="9785"/>
    <x v="0"/>
    <x v="0"/>
  </r>
  <r>
    <n v="9609"/>
    <x v="6"/>
    <x v="3"/>
  </r>
  <r>
    <n v="2829"/>
    <x v="0"/>
    <x v="1"/>
  </r>
  <r>
    <n v="1714"/>
    <x v="4"/>
    <x v="0"/>
  </r>
  <r>
    <n v="4475"/>
    <x v="0"/>
    <x v="1"/>
  </r>
  <r>
    <n v="9820"/>
    <x v="3"/>
    <x v="1"/>
  </r>
  <r>
    <n v="3261"/>
    <x v="2"/>
    <x v="1"/>
  </r>
  <r>
    <n v="6130"/>
    <x v="6"/>
    <x v="4"/>
  </r>
  <r>
    <n v="9399"/>
    <x v="0"/>
    <x v="1"/>
  </r>
  <r>
    <n v="6047"/>
    <x v="4"/>
    <x v="4"/>
  </r>
  <r>
    <n v="7789"/>
    <x v="1"/>
    <x v="3"/>
  </r>
  <r>
    <n v="6111"/>
    <x v="6"/>
    <x v="0"/>
  </r>
  <r>
    <n v="4968"/>
    <x v="5"/>
    <x v="4"/>
  </r>
  <r>
    <n v="2739"/>
    <x v="3"/>
    <x v="1"/>
  </r>
  <r>
    <n v="6974"/>
    <x v="5"/>
    <x v="1"/>
  </r>
  <r>
    <n v="1784"/>
    <x v="1"/>
    <x v="1"/>
  </r>
  <r>
    <n v="8077"/>
    <x v="3"/>
    <x v="1"/>
  </r>
  <r>
    <n v="2727"/>
    <x v="6"/>
    <x v="1"/>
  </r>
  <r>
    <n v="7661"/>
    <x v="0"/>
    <x v="3"/>
  </r>
  <r>
    <n v="5083"/>
    <x v="6"/>
    <x v="3"/>
  </r>
  <r>
    <n v="7275"/>
    <x v="6"/>
    <x v="4"/>
  </r>
  <r>
    <n v="7316"/>
    <x v="1"/>
    <x v="3"/>
  </r>
  <r>
    <n v="4497"/>
    <x v="0"/>
    <x v="0"/>
  </r>
  <r>
    <n v="8685"/>
    <x v="3"/>
    <x v="3"/>
  </r>
  <r>
    <n v="8583"/>
    <x v="2"/>
    <x v="0"/>
  </r>
  <r>
    <n v="1062"/>
    <x v="2"/>
    <x v="4"/>
  </r>
  <r>
    <n v="2593"/>
    <x v="4"/>
    <x v="2"/>
  </r>
  <r>
    <n v="3951"/>
    <x v="2"/>
    <x v="3"/>
  </r>
  <r>
    <n v="8580"/>
    <x v="6"/>
    <x v="1"/>
  </r>
  <r>
    <n v="4372"/>
    <x v="2"/>
    <x v="0"/>
  </r>
  <r>
    <n v="4463"/>
    <x v="4"/>
    <x v="2"/>
  </r>
  <r>
    <n v="7498"/>
    <x v="3"/>
    <x v="1"/>
  </r>
  <r>
    <n v="9618"/>
    <x v="5"/>
    <x v="1"/>
  </r>
  <r>
    <n v="1813"/>
    <x v="4"/>
    <x v="3"/>
  </r>
  <r>
    <n v="3009"/>
    <x v="3"/>
    <x v="2"/>
  </r>
  <r>
    <n v="8210"/>
    <x v="4"/>
    <x v="3"/>
  </r>
  <r>
    <n v="8439"/>
    <x v="4"/>
    <x v="2"/>
  </r>
  <r>
    <n v="8310"/>
    <x v="1"/>
    <x v="3"/>
  </r>
  <r>
    <n v="6369"/>
    <x v="4"/>
    <x v="1"/>
  </r>
  <r>
    <n v="5721"/>
    <x v="3"/>
    <x v="0"/>
  </r>
  <r>
    <n v="4204"/>
    <x v="4"/>
    <x v="0"/>
  </r>
  <r>
    <n v="5666"/>
    <x v="1"/>
    <x v="2"/>
  </r>
  <r>
    <n v="5943"/>
    <x v="6"/>
    <x v="4"/>
  </r>
  <r>
    <n v="3202"/>
    <x v="2"/>
    <x v="3"/>
  </r>
  <r>
    <n v="4512"/>
    <x v="3"/>
    <x v="1"/>
  </r>
  <r>
    <n v="2075"/>
    <x v="1"/>
    <x v="4"/>
  </r>
  <r>
    <n v="4057"/>
    <x v="5"/>
    <x v="4"/>
  </r>
  <r>
    <n v="5537"/>
    <x v="3"/>
    <x v="3"/>
  </r>
  <r>
    <n v="9520"/>
    <x v="6"/>
    <x v="4"/>
  </r>
  <r>
    <n v="1081"/>
    <x v="1"/>
    <x v="0"/>
  </r>
  <r>
    <n v="7621"/>
    <x v="1"/>
    <x v="4"/>
  </r>
  <r>
    <n v="4558"/>
    <x v="1"/>
    <x v="4"/>
  </r>
  <r>
    <n v="6628"/>
    <x v="6"/>
    <x v="3"/>
  </r>
  <r>
    <n v="7643"/>
    <x v="2"/>
    <x v="4"/>
  </r>
  <r>
    <n v="4709"/>
    <x v="5"/>
    <x v="3"/>
  </r>
  <r>
    <n v="8408"/>
    <x v="3"/>
    <x v="0"/>
  </r>
  <r>
    <n v="3530"/>
    <x v="1"/>
    <x v="1"/>
  </r>
  <r>
    <n v="3779"/>
    <x v="1"/>
    <x v="1"/>
  </r>
  <r>
    <n v="8564"/>
    <x v="6"/>
    <x v="3"/>
  </r>
  <r>
    <n v="8731"/>
    <x v="6"/>
    <x v="3"/>
  </r>
  <r>
    <n v="5000"/>
    <x v="4"/>
    <x v="2"/>
  </r>
  <r>
    <n v="3882"/>
    <x v="1"/>
    <x v="2"/>
  </r>
  <r>
    <n v="4551"/>
    <x v="6"/>
    <x v="2"/>
  </r>
  <r>
    <n v="7970"/>
    <x v="5"/>
    <x v="4"/>
  </r>
  <r>
    <n v="2466"/>
    <x v="3"/>
    <x v="1"/>
  </r>
  <r>
    <n v="1303"/>
    <x v="6"/>
    <x v="1"/>
  </r>
  <r>
    <n v="9832"/>
    <x v="1"/>
    <x v="1"/>
  </r>
  <r>
    <n v="3618"/>
    <x v="0"/>
    <x v="4"/>
  </r>
  <r>
    <n v="7424"/>
    <x v="5"/>
    <x v="3"/>
  </r>
  <r>
    <n v="8414"/>
    <x v="1"/>
    <x v="4"/>
  </r>
  <r>
    <n v="5688"/>
    <x v="1"/>
    <x v="3"/>
  </r>
  <r>
    <n v="2062"/>
    <x v="3"/>
    <x v="3"/>
  </r>
  <r>
    <n v="5031"/>
    <x v="0"/>
    <x v="2"/>
  </r>
  <r>
    <n v="1162"/>
    <x v="2"/>
    <x v="3"/>
  </r>
  <r>
    <n v="6564"/>
    <x v="1"/>
    <x v="1"/>
  </r>
  <r>
    <n v="9298"/>
    <x v="5"/>
    <x v="4"/>
  </r>
  <r>
    <n v="4216"/>
    <x v="0"/>
    <x v="1"/>
  </r>
  <r>
    <n v="3677"/>
    <x v="2"/>
    <x v="1"/>
  </r>
  <r>
    <n v="8453"/>
    <x v="6"/>
    <x v="2"/>
  </r>
  <r>
    <n v="6231"/>
    <x v="4"/>
    <x v="3"/>
  </r>
  <r>
    <n v="1481"/>
    <x v="3"/>
    <x v="3"/>
  </r>
  <r>
    <n v="7400"/>
    <x v="0"/>
    <x v="3"/>
  </r>
  <r>
    <n v="7447"/>
    <x v="1"/>
    <x v="0"/>
  </r>
  <r>
    <n v="4597"/>
    <x v="3"/>
    <x v="0"/>
  </r>
  <r>
    <n v="3173"/>
    <x v="2"/>
    <x v="1"/>
  </r>
  <r>
    <n v="9514"/>
    <x v="4"/>
    <x v="1"/>
  </r>
  <r>
    <n v="4985"/>
    <x v="2"/>
    <x v="2"/>
  </r>
  <r>
    <n v="4486"/>
    <x v="1"/>
    <x v="4"/>
  </r>
  <r>
    <n v="8756"/>
    <x v="1"/>
    <x v="0"/>
  </r>
  <r>
    <n v="9121"/>
    <x v="4"/>
    <x v="3"/>
  </r>
  <r>
    <n v="6471"/>
    <x v="5"/>
    <x v="3"/>
  </r>
  <r>
    <n v="6601"/>
    <x v="0"/>
    <x v="4"/>
  </r>
  <r>
    <n v="4340"/>
    <x v="2"/>
    <x v="4"/>
  </r>
  <r>
    <n v="5112"/>
    <x v="4"/>
    <x v="1"/>
  </r>
  <r>
    <n v="5700"/>
    <x v="2"/>
    <x v="2"/>
  </r>
  <r>
    <n v="8617"/>
    <x v="5"/>
    <x v="4"/>
  </r>
  <r>
    <n v="9149"/>
    <x v="3"/>
    <x v="2"/>
  </r>
  <r>
    <n v="8651"/>
    <x v="6"/>
    <x v="4"/>
  </r>
  <r>
    <n v="1495"/>
    <x v="6"/>
    <x v="1"/>
  </r>
  <r>
    <n v="7359"/>
    <x v="0"/>
    <x v="3"/>
  </r>
  <r>
    <n v="6525"/>
    <x v="5"/>
    <x v="0"/>
  </r>
  <r>
    <n v="7207"/>
    <x v="2"/>
    <x v="0"/>
  </r>
  <r>
    <n v="2361"/>
    <x v="0"/>
    <x v="1"/>
  </r>
  <r>
    <n v="8766"/>
    <x v="3"/>
    <x v="3"/>
  </r>
  <r>
    <n v="7236"/>
    <x v="6"/>
    <x v="1"/>
  </r>
  <r>
    <n v="8605"/>
    <x v="4"/>
    <x v="1"/>
  </r>
  <r>
    <n v="1055"/>
    <x v="4"/>
    <x v="0"/>
  </r>
  <r>
    <n v="7986"/>
    <x v="5"/>
    <x v="3"/>
  </r>
  <r>
    <n v="6170"/>
    <x v="4"/>
    <x v="3"/>
  </r>
  <r>
    <n v="7172"/>
    <x v="3"/>
    <x v="3"/>
  </r>
  <r>
    <n v="7408"/>
    <x v="6"/>
    <x v="1"/>
  </r>
  <r>
    <n v="7274"/>
    <x v="3"/>
    <x v="4"/>
  </r>
  <r>
    <n v="6001"/>
    <x v="3"/>
    <x v="3"/>
  </r>
  <r>
    <n v="9418"/>
    <x v="0"/>
    <x v="2"/>
  </r>
  <r>
    <n v="9354"/>
    <x v="0"/>
    <x v="0"/>
  </r>
  <r>
    <n v="8122"/>
    <x v="2"/>
    <x v="4"/>
  </r>
  <r>
    <n v="1765"/>
    <x v="3"/>
    <x v="0"/>
  </r>
  <r>
    <n v="5352"/>
    <x v="1"/>
    <x v="4"/>
  </r>
  <r>
    <n v="7578"/>
    <x v="1"/>
    <x v="2"/>
  </r>
  <r>
    <n v="8912"/>
    <x v="6"/>
    <x v="3"/>
  </r>
  <r>
    <n v="6641"/>
    <x v="4"/>
    <x v="4"/>
  </r>
  <r>
    <n v="9664"/>
    <x v="5"/>
    <x v="2"/>
  </r>
  <r>
    <n v="9134"/>
    <x v="2"/>
    <x v="4"/>
  </r>
  <r>
    <n v="6663"/>
    <x v="3"/>
    <x v="4"/>
  </r>
  <r>
    <n v="9800"/>
    <x v="4"/>
    <x v="0"/>
  </r>
  <r>
    <n v="2363"/>
    <x v="3"/>
    <x v="1"/>
  </r>
  <r>
    <n v="4875"/>
    <x v="5"/>
    <x v="1"/>
  </r>
  <r>
    <n v="8961"/>
    <x v="4"/>
    <x v="1"/>
  </r>
  <r>
    <n v="1539"/>
    <x v="1"/>
    <x v="3"/>
  </r>
  <r>
    <n v="4037"/>
    <x v="6"/>
    <x v="2"/>
  </r>
  <r>
    <n v="4239"/>
    <x v="5"/>
    <x v="2"/>
  </r>
  <r>
    <n v="4364"/>
    <x v="6"/>
    <x v="0"/>
  </r>
  <r>
    <n v="8946"/>
    <x v="6"/>
    <x v="1"/>
  </r>
  <r>
    <n v="5911"/>
    <x v="6"/>
    <x v="4"/>
  </r>
  <r>
    <n v="8033"/>
    <x v="6"/>
    <x v="1"/>
  </r>
  <r>
    <n v="6603"/>
    <x v="6"/>
    <x v="1"/>
  </r>
  <r>
    <n v="9630"/>
    <x v="1"/>
    <x v="3"/>
  </r>
  <r>
    <n v="1691"/>
    <x v="2"/>
    <x v="4"/>
  </r>
  <r>
    <n v="5590"/>
    <x v="3"/>
    <x v="2"/>
  </r>
  <r>
    <n v="8645"/>
    <x v="2"/>
    <x v="4"/>
  </r>
  <r>
    <n v="7663"/>
    <x v="3"/>
    <x v="3"/>
  </r>
  <r>
    <n v="2647"/>
    <x v="4"/>
    <x v="0"/>
  </r>
  <r>
    <n v="6539"/>
    <x v="4"/>
    <x v="4"/>
  </r>
  <r>
    <n v="3472"/>
    <x v="5"/>
    <x v="4"/>
  </r>
  <r>
    <n v="4314"/>
    <x v="6"/>
    <x v="0"/>
  </r>
  <r>
    <n v="6739"/>
    <x v="3"/>
    <x v="2"/>
  </r>
  <r>
    <n v="6368"/>
    <x v="5"/>
    <x v="3"/>
  </r>
  <r>
    <n v="7309"/>
    <x v="3"/>
    <x v="3"/>
  </r>
  <r>
    <n v="3976"/>
    <x v="2"/>
    <x v="3"/>
  </r>
  <r>
    <n v="7230"/>
    <x v="1"/>
    <x v="0"/>
  </r>
  <r>
    <n v="8888"/>
    <x v="4"/>
    <x v="0"/>
  </r>
  <r>
    <n v="1194"/>
    <x v="4"/>
    <x v="4"/>
  </r>
  <r>
    <n v="6983"/>
    <x v="2"/>
    <x v="3"/>
  </r>
  <r>
    <n v="1413"/>
    <x v="2"/>
    <x v="2"/>
  </r>
  <r>
    <n v="9509"/>
    <x v="0"/>
    <x v="3"/>
  </r>
  <r>
    <n v="6330"/>
    <x v="2"/>
    <x v="2"/>
  </r>
  <r>
    <n v="2504"/>
    <x v="5"/>
    <x v="3"/>
  </r>
  <r>
    <n v="6593"/>
    <x v="1"/>
    <x v="3"/>
  </r>
  <r>
    <n v="9537"/>
    <x v="5"/>
    <x v="0"/>
  </r>
  <r>
    <n v="9628"/>
    <x v="5"/>
    <x v="0"/>
  </r>
  <r>
    <n v="4024"/>
    <x v="1"/>
    <x v="4"/>
  </r>
  <r>
    <n v="5321"/>
    <x v="6"/>
    <x v="4"/>
  </r>
  <r>
    <n v="3926"/>
    <x v="6"/>
    <x v="0"/>
  </r>
  <r>
    <n v="8738"/>
    <x v="6"/>
    <x v="3"/>
  </r>
  <r>
    <n v="2701"/>
    <x v="1"/>
    <x v="4"/>
  </r>
  <r>
    <n v="5339"/>
    <x v="0"/>
    <x v="3"/>
  </r>
  <r>
    <n v="1612"/>
    <x v="0"/>
    <x v="0"/>
  </r>
  <r>
    <n v="5407"/>
    <x v="4"/>
    <x v="1"/>
  </r>
  <r>
    <n v="8225"/>
    <x v="4"/>
    <x v="4"/>
  </r>
  <r>
    <n v="4714"/>
    <x v="2"/>
    <x v="1"/>
  </r>
  <r>
    <n v="3826"/>
    <x v="3"/>
    <x v="4"/>
  </r>
  <r>
    <n v="3781"/>
    <x v="6"/>
    <x v="2"/>
  </r>
  <r>
    <n v="5635"/>
    <x v="4"/>
    <x v="1"/>
  </r>
  <r>
    <n v="2291"/>
    <x v="0"/>
    <x v="2"/>
  </r>
  <r>
    <n v="3119"/>
    <x v="6"/>
    <x v="3"/>
  </r>
  <r>
    <n v="5280"/>
    <x v="4"/>
    <x v="4"/>
  </r>
  <r>
    <n v="2546"/>
    <x v="5"/>
    <x v="1"/>
  </r>
  <r>
    <n v="5975"/>
    <x v="3"/>
    <x v="4"/>
  </r>
  <r>
    <n v="9113"/>
    <x v="5"/>
    <x v="4"/>
  </r>
  <r>
    <n v="6250"/>
    <x v="2"/>
    <x v="3"/>
  </r>
  <r>
    <n v="6190"/>
    <x v="1"/>
    <x v="4"/>
  </r>
  <r>
    <n v="5713"/>
    <x v="1"/>
    <x v="3"/>
  </r>
  <r>
    <n v="1932"/>
    <x v="3"/>
    <x v="3"/>
  </r>
  <r>
    <n v="6527"/>
    <x v="6"/>
    <x v="4"/>
  </r>
  <r>
    <n v="9363"/>
    <x v="4"/>
    <x v="3"/>
  </r>
  <r>
    <n v="5019"/>
    <x v="3"/>
    <x v="1"/>
  </r>
  <r>
    <n v="9258"/>
    <x v="3"/>
    <x v="2"/>
  </r>
  <r>
    <n v="7512"/>
    <x v="5"/>
    <x v="4"/>
  </r>
  <r>
    <n v="8195"/>
    <x v="1"/>
    <x v="4"/>
  </r>
  <r>
    <n v="8242"/>
    <x v="6"/>
    <x v="4"/>
  </r>
  <r>
    <n v="2220"/>
    <x v="5"/>
    <x v="4"/>
  </r>
  <r>
    <n v="9308"/>
    <x v="3"/>
    <x v="2"/>
  </r>
  <r>
    <n v="3437"/>
    <x v="2"/>
    <x v="0"/>
  </r>
  <r>
    <n v="8305"/>
    <x v="5"/>
    <x v="0"/>
  </r>
  <r>
    <n v="6773"/>
    <x v="1"/>
    <x v="3"/>
  </r>
  <r>
    <n v="3010"/>
    <x v="2"/>
    <x v="1"/>
  </r>
  <r>
    <n v="3622"/>
    <x v="1"/>
    <x v="1"/>
  </r>
  <r>
    <n v="6006"/>
    <x v="4"/>
    <x v="3"/>
  </r>
  <r>
    <n v="1338"/>
    <x v="6"/>
    <x v="4"/>
  </r>
  <r>
    <n v="6722"/>
    <x v="5"/>
    <x v="1"/>
  </r>
  <r>
    <n v="5871"/>
    <x v="6"/>
    <x v="4"/>
  </r>
  <r>
    <n v="9290"/>
    <x v="0"/>
    <x v="0"/>
  </r>
  <r>
    <n v="8567"/>
    <x v="2"/>
    <x v="2"/>
  </r>
  <r>
    <n v="5253"/>
    <x v="5"/>
    <x v="0"/>
  </r>
  <r>
    <n v="8172"/>
    <x v="6"/>
    <x v="3"/>
  </r>
  <r>
    <n v="2154"/>
    <x v="1"/>
    <x v="0"/>
  </r>
  <r>
    <n v="5013"/>
    <x v="1"/>
    <x v="4"/>
  </r>
  <r>
    <n v="4211"/>
    <x v="6"/>
    <x v="2"/>
  </r>
  <r>
    <n v="4408"/>
    <x v="6"/>
    <x v="2"/>
  </r>
  <r>
    <n v="8473"/>
    <x v="3"/>
    <x v="2"/>
  </r>
  <r>
    <n v="7510"/>
    <x v="6"/>
    <x v="0"/>
  </r>
  <r>
    <n v="5376"/>
    <x v="6"/>
    <x v="0"/>
  </r>
  <r>
    <n v="8005"/>
    <x v="3"/>
    <x v="3"/>
  </r>
  <r>
    <n v="7439"/>
    <x v="5"/>
    <x v="4"/>
  </r>
  <r>
    <n v="3699"/>
    <x v="6"/>
    <x v="0"/>
  </r>
  <r>
    <n v="3162"/>
    <x v="4"/>
    <x v="0"/>
  </r>
  <r>
    <n v="8798"/>
    <x v="4"/>
    <x v="1"/>
  </r>
  <r>
    <n v="6400"/>
    <x v="4"/>
    <x v="0"/>
  </r>
  <r>
    <n v="9404"/>
    <x v="2"/>
    <x v="3"/>
  </r>
  <r>
    <n v="8151"/>
    <x v="6"/>
    <x v="0"/>
  </r>
  <r>
    <n v="7742"/>
    <x v="5"/>
    <x v="2"/>
  </r>
  <r>
    <n v="4553"/>
    <x v="3"/>
    <x v="1"/>
  </r>
  <r>
    <n v="6919"/>
    <x v="0"/>
    <x v="2"/>
  </r>
  <r>
    <n v="7168"/>
    <x v="2"/>
    <x v="2"/>
  </r>
  <r>
    <n v="6474"/>
    <x v="3"/>
    <x v="4"/>
  </r>
  <r>
    <n v="4242"/>
    <x v="4"/>
    <x v="1"/>
  </r>
  <r>
    <n v="3395"/>
    <x v="6"/>
    <x v="2"/>
  </r>
  <r>
    <n v="8694"/>
    <x v="5"/>
    <x v="2"/>
  </r>
  <r>
    <n v="7150"/>
    <x v="0"/>
    <x v="3"/>
  </r>
  <r>
    <n v="4111"/>
    <x v="2"/>
    <x v="4"/>
  </r>
  <r>
    <n v="3532"/>
    <x v="0"/>
    <x v="3"/>
  </r>
  <r>
    <n v="5375"/>
    <x v="2"/>
    <x v="3"/>
  </r>
  <r>
    <n v="8881"/>
    <x v="1"/>
    <x v="3"/>
  </r>
  <r>
    <n v="1235"/>
    <x v="3"/>
    <x v="4"/>
  </r>
  <r>
    <n v="2533"/>
    <x v="0"/>
    <x v="2"/>
  </r>
  <r>
    <n v="2734"/>
    <x v="3"/>
    <x v="0"/>
  </r>
  <r>
    <n v="4129"/>
    <x v="4"/>
    <x v="2"/>
  </r>
  <r>
    <n v="3762"/>
    <x v="0"/>
    <x v="3"/>
  </r>
  <r>
    <n v="4341"/>
    <x v="4"/>
    <x v="0"/>
  </r>
  <r>
    <n v="6638"/>
    <x v="5"/>
    <x v="4"/>
  </r>
  <r>
    <n v="5861"/>
    <x v="6"/>
    <x v="0"/>
  </r>
  <r>
    <n v="8815"/>
    <x v="3"/>
    <x v="3"/>
  </r>
  <r>
    <n v="8793"/>
    <x v="2"/>
    <x v="2"/>
  </r>
  <r>
    <n v="3469"/>
    <x v="1"/>
    <x v="2"/>
  </r>
  <r>
    <n v="3654"/>
    <x v="5"/>
    <x v="3"/>
  </r>
  <r>
    <n v="9555"/>
    <x v="3"/>
    <x v="4"/>
  </r>
  <r>
    <n v="4028"/>
    <x v="4"/>
    <x v="1"/>
  </r>
  <r>
    <n v="9499"/>
    <x v="0"/>
    <x v="3"/>
  </r>
  <r>
    <n v="8628"/>
    <x v="4"/>
    <x v="4"/>
  </r>
  <r>
    <n v="9942"/>
    <x v="3"/>
    <x v="1"/>
  </r>
  <r>
    <n v="4044"/>
    <x v="6"/>
    <x v="3"/>
  </r>
  <r>
    <n v="8143"/>
    <x v="1"/>
    <x v="1"/>
  </r>
  <r>
    <n v="3984"/>
    <x v="5"/>
    <x v="2"/>
  </r>
  <r>
    <n v="9294"/>
    <x v="4"/>
    <x v="1"/>
  </r>
  <r>
    <n v="4769"/>
    <x v="6"/>
    <x v="2"/>
  </r>
  <r>
    <n v="8864"/>
    <x v="1"/>
    <x v="0"/>
  </r>
  <r>
    <n v="1857"/>
    <x v="6"/>
    <x v="4"/>
  </r>
  <r>
    <n v="5566"/>
    <x v="0"/>
    <x v="0"/>
  </r>
  <r>
    <n v="1373"/>
    <x v="0"/>
    <x v="4"/>
  </r>
  <r>
    <n v="6345"/>
    <x v="3"/>
    <x v="1"/>
  </r>
  <r>
    <n v="3234"/>
    <x v="4"/>
    <x v="2"/>
  </r>
  <r>
    <n v="6998"/>
    <x v="2"/>
    <x v="3"/>
  </r>
  <r>
    <n v="5809"/>
    <x v="4"/>
    <x v="4"/>
  </r>
  <r>
    <n v="6522"/>
    <x v="5"/>
    <x v="2"/>
  </r>
  <r>
    <n v="3892"/>
    <x v="0"/>
    <x v="0"/>
  </r>
  <r>
    <n v="4427"/>
    <x v="4"/>
    <x v="3"/>
  </r>
  <r>
    <n v="8145"/>
    <x v="5"/>
    <x v="1"/>
  </r>
  <r>
    <n v="1150"/>
    <x v="4"/>
    <x v="1"/>
  </r>
  <r>
    <n v="7366"/>
    <x v="5"/>
    <x v="3"/>
  </r>
  <r>
    <n v="3004"/>
    <x v="3"/>
    <x v="3"/>
  </r>
  <r>
    <n v="9934"/>
    <x v="1"/>
    <x v="1"/>
  </r>
  <r>
    <n v="1228"/>
    <x v="4"/>
    <x v="3"/>
  </r>
  <r>
    <n v="5806"/>
    <x v="1"/>
    <x v="4"/>
  </r>
  <r>
    <n v="7538"/>
    <x v="4"/>
    <x v="3"/>
  </r>
  <r>
    <n v="1035"/>
    <x v="6"/>
    <x v="3"/>
  </r>
  <r>
    <n v="8399"/>
    <x v="0"/>
    <x v="0"/>
  </r>
  <r>
    <n v="1912"/>
    <x v="6"/>
    <x v="0"/>
  </r>
  <r>
    <n v="6604"/>
    <x v="6"/>
    <x v="3"/>
  </r>
  <r>
    <n v="8952"/>
    <x v="6"/>
    <x v="2"/>
  </r>
  <r>
    <n v="2549"/>
    <x v="5"/>
    <x v="3"/>
  </r>
  <r>
    <n v="8954"/>
    <x v="5"/>
    <x v="0"/>
  </r>
  <r>
    <n v="1922"/>
    <x v="3"/>
    <x v="0"/>
  </r>
  <r>
    <n v="9861"/>
    <x v="5"/>
    <x v="1"/>
  </r>
  <r>
    <n v="4383"/>
    <x v="0"/>
    <x v="2"/>
  </r>
  <r>
    <n v="4328"/>
    <x v="0"/>
    <x v="1"/>
  </r>
  <r>
    <n v="4622"/>
    <x v="0"/>
    <x v="3"/>
  </r>
  <r>
    <n v="7828"/>
    <x v="4"/>
    <x v="1"/>
  </r>
  <r>
    <n v="1393"/>
    <x v="0"/>
    <x v="1"/>
  </r>
  <r>
    <n v="9239"/>
    <x v="1"/>
    <x v="3"/>
  </r>
  <r>
    <n v="1636"/>
    <x v="6"/>
    <x v="0"/>
  </r>
  <r>
    <n v="4401"/>
    <x v="3"/>
    <x v="4"/>
  </r>
  <r>
    <n v="7135"/>
    <x v="1"/>
    <x v="3"/>
  </r>
  <r>
    <n v="8923"/>
    <x v="6"/>
    <x v="0"/>
  </r>
  <r>
    <n v="9748"/>
    <x v="6"/>
    <x v="0"/>
  </r>
  <r>
    <n v="7046"/>
    <x v="4"/>
    <x v="4"/>
  </r>
  <r>
    <n v="9688"/>
    <x v="5"/>
    <x v="1"/>
  </r>
  <r>
    <n v="6720"/>
    <x v="4"/>
    <x v="4"/>
  </r>
  <r>
    <n v="2766"/>
    <x v="3"/>
    <x v="2"/>
  </r>
  <r>
    <n v="3847"/>
    <x v="0"/>
    <x v="1"/>
  </r>
  <r>
    <n v="8554"/>
    <x v="6"/>
    <x v="3"/>
  </r>
  <r>
    <n v="6569"/>
    <x v="6"/>
    <x v="1"/>
  </r>
  <r>
    <n v="6391"/>
    <x v="1"/>
    <x v="2"/>
  </r>
  <r>
    <n v="4883"/>
    <x v="0"/>
    <x v="0"/>
  </r>
  <r>
    <n v="4530"/>
    <x v="0"/>
    <x v="4"/>
  </r>
  <r>
    <n v="6531"/>
    <x v="2"/>
    <x v="0"/>
  </r>
  <r>
    <n v="9701"/>
    <x v="2"/>
    <x v="1"/>
  </r>
  <r>
    <n v="4702"/>
    <x v="4"/>
    <x v="3"/>
  </r>
  <r>
    <n v="3163"/>
    <x v="5"/>
    <x v="1"/>
  </r>
  <r>
    <n v="8719"/>
    <x v="3"/>
    <x v="2"/>
  </r>
  <r>
    <n v="1282"/>
    <x v="4"/>
    <x v="3"/>
  </r>
  <r>
    <n v="4538"/>
    <x v="1"/>
    <x v="4"/>
  </r>
  <r>
    <n v="9538"/>
    <x v="1"/>
    <x v="0"/>
  </r>
  <r>
    <n v="5109"/>
    <x v="3"/>
    <x v="2"/>
  </r>
  <r>
    <n v="7947"/>
    <x v="5"/>
    <x v="0"/>
  </r>
  <r>
    <n v="7546"/>
    <x v="2"/>
    <x v="2"/>
  </r>
  <r>
    <n v="4213"/>
    <x v="0"/>
    <x v="3"/>
  </r>
  <r>
    <n v="3135"/>
    <x v="4"/>
    <x v="1"/>
  </r>
  <r>
    <n v="9916"/>
    <x v="5"/>
    <x v="0"/>
  </r>
  <r>
    <n v="2784"/>
    <x v="3"/>
    <x v="2"/>
  </r>
  <r>
    <n v="5916"/>
    <x v="1"/>
    <x v="2"/>
  </r>
  <r>
    <n v="1674"/>
    <x v="5"/>
    <x v="0"/>
  </r>
  <r>
    <n v="2095"/>
    <x v="6"/>
    <x v="4"/>
  </r>
  <r>
    <n v="9594"/>
    <x v="0"/>
    <x v="2"/>
  </r>
  <r>
    <n v="6750"/>
    <x v="2"/>
    <x v="2"/>
  </r>
  <r>
    <n v="7235"/>
    <x v="4"/>
    <x v="3"/>
  </r>
  <r>
    <n v="3910"/>
    <x v="6"/>
    <x v="2"/>
  </r>
  <r>
    <n v="8190"/>
    <x v="3"/>
    <x v="0"/>
  </r>
  <r>
    <n v="5315"/>
    <x v="4"/>
    <x v="1"/>
  </r>
  <r>
    <n v="7503"/>
    <x v="4"/>
    <x v="1"/>
  </r>
  <r>
    <n v="5788"/>
    <x v="4"/>
    <x v="1"/>
  </r>
  <r>
    <n v="7030"/>
    <x v="3"/>
    <x v="4"/>
  </r>
  <r>
    <n v="6619"/>
    <x v="3"/>
    <x v="0"/>
  </r>
  <r>
    <n v="6319"/>
    <x v="6"/>
    <x v="3"/>
  </r>
  <r>
    <n v="6268"/>
    <x v="4"/>
    <x v="4"/>
  </r>
  <r>
    <n v="5016"/>
    <x v="5"/>
    <x v="4"/>
  </r>
  <r>
    <n v="3888"/>
    <x v="0"/>
    <x v="4"/>
  </r>
  <r>
    <n v="9918"/>
    <x v="3"/>
    <x v="2"/>
  </r>
  <r>
    <n v="7305"/>
    <x v="6"/>
    <x v="1"/>
  </r>
  <r>
    <n v="5719"/>
    <x v="3"/>
    <x v="3"/>
  </r>
  <r>
    <n v="2334"/>
    <x v="5"/>
    <x v="3"/>
  </r>
  <r>
    <n v="1006"/>
    <x v="1"/>
    <x v="4"/>
  </r>
  <r>
    <n v="6719"/>
    <x v="4"/>
    <x v="1"/>
  </r>
  <r>
    <n v="6138"/>
    <x v="3"/>
    <x v="3"/>
  </r>
  <r>
    <n v="1255"/>
    <x v="3"/>
    <x v="2"/>
  </r>
  <r>
    <n v="5528"/>
    <x v="0"/>
    <x v="3"/>
  </r>
  <r>
    <n v="2517"/>
    <x v="2"/>
    <x v="0"/>
  </r>
  <r>
    <n v="9593"/>
    <x v="4"/>
    <x v="4"/>
  </r>
  <r>
    <n v="7507"/>
    <x v="3"/>
    <x v="0"/>
  </r>
  <r>
    <n v="2884"/>
    <x v="0"/>
    <x v="2"/>
  </r>
  <r>
    <n v="6374"/>
    <x v="0"/>
    <x v="3"/>
  </r>
  <r>
    <n v="6888"/>
    <x v="5"/>
    <x v="0"/>
  </r>
  <r>
    <n v="2788"/>
    <x v="5"/>
    <x v="0"/>
  </r>
  <r>
    <n v="7892"/>
    <x v="6"/>
    <x v="4"/>
  </r>
  <r>
    <n v="4576"/>
    <x v="1"/>
    <x v="1"/>
  </r>
  <r>
    <n v="8901"/>
    <x v="0"/>
    <x v="4"/>
  </r>
  <r>
    <n v="5147"/>
    <x v="5"/>
    <x v="0"/>
  </r>
  <r>
    <n v="8646"/>
    <x v="0"/>
    <x v="4"/>
  </r>
  <r>
    <n v="8343"/>
    <x v="0"/>
    <x v="4"/>
  </r>
  <r>
    <n v="9332"/>
    <x v="3"/>
    <x v="2"/>
  </r>
  <r>
    <n v="7398"/>
    <x v="1"/>
    <x v="1"/>
  </r>
  <r>
    <n v="3572"/>
    <x v="3"/>
    <x v="2"/>
  </r>
  <r>
    <n v="4590"/>
    <x v="6"/>
    <x v="4"/>
  </r>
  <r>
    <n v="1831"/>
    <x v="2"/>
    <x v="3"/>
  </r>
  <r>
    <n v="6899"/>
    <x v="4"/>
    <x v="1"/>
  </r>
  <r>
    <n v="1148"/>
    <x v="0"/>
    <x v="1"/>
  </r>
  <r>
    <n v="3745"/>
    <x v="6"/>
    <x v="0"/>
  </r>
  <r>
    <n v="5084"/>
    <x v="0"/>
    <x v="4"/>
  </r>
  <r>
    <n v="7179"/>
    <x v="5"/>
    <x v="0"/>
  </r>
  <r>
    <n v="1005"/>
    <x v="4"/>
    <x v="4"/>
  </r>
  <r>
    <n v="6405"/>
    <x v="5"/>
    <x v="2"/>
  </r>
  <r>
    <n v="5215"/>
    <x v="6"/>
    <x v="2"/>
  </r>
  <r>
    <n v="7525"/>
    <x v="0"/>
    <x v="1"/>
  </r>
  <r>
    <n v="9115"/>
    <x v="5"/>
    <x v="3"/>
  </r>
  <r>
    <n v="6454"/>
    <x v="5"/>
    <x v="0"/>
  </r>
  <r>
    <n v="4781"/>
    <x v="5"/>
    <x v="4"/>
  </r>
  <r>
    <n v="5040"/>
    <x v="2"/>
    <x v="2"/>
  </r>
  <r>
    <n v="3209"/>
    <x v="3"/>
    <x v="2"/>
  </r>
  <r>
    <n v="8703"/>
    <x v="1"/>
    <x v="1"/>
  </r>
  <r>
    <n v="2536"/>
    <x v="4"/>
    <x v="4"/>
  </r>
  <r>
    <n v="2057"/>
    <x v="4"/>
    <x v="0"/>
  </r>
  <r>
    <n v="5627"/>
    <x v="2"/>
    <x v="3"/>
  </r>
  <r>
    <n v="4763"/>
    <x v="0"/>
    <x v="3"/>
  </r>
  <r>
    <n v="4577"/>
    <x v="5"/>
    <x v="4"/>
  </r>
  <r>
    <n v="5216"/>
    <x v="5"/>
    <x v="1"/>
  </r>
  <r>
    <n v="3941"/>
    <x v="6"/>
    <x v="1"/>
  </r>
  <r>
    <n v="4396"/>
    <x v="1"/>
    <x v="2"/>
  </r>
  <r>
    <n v="4865"/>
    <x v="2"/>
    <x v="4"/>
  </r>
  <r>
    <n v="2497"/>
    <x v="3"/>
    <x v="2"/>
  </r>
  <r>
    <n v="4945"/>
    <x v="6"/>
    <x v="3"/>
  </r>
  <r>
    <n v="5227"/>
    <x v="1"/>
    <x v="1"/>
  </r>
  <r>
    <n v="2150"/>
    <x v="4"/>
    <x v="4"/>
  </r>
  <r>
    <n v="7145"/>
    <x v="1"/>
    <x v="3"/>
  </r>
  <r>
    <n v="2040"/>
    <x v="4"/>
    <x v="2"/>
  </r>
  <r>
    <n v="4191"/>
    <x v="4"/>
    <x v="0"/>
  </r>
  <r>
    <n v="4336"/>
    <x v="3"/>
    <x v="2"/>
  </r>
  <r>
    <n v="5438"/>
    <x v="1"/>
    <x v="3"/>
  </r>
  <r>
    <n v="9857"/>
    <x v="0"/>
    <x v="3"/>
  </r>
  <r>
    <n v="4767"/>
    <x v="3"/>
    <x v="1"/>
  </r>
  <r>
    <n v="9374"/>
    <x v="0"/>
    <x v="3"/>
  </r>
  <r>
    <n v="3918"/>
    <x v="0"/>
    <x v="0"/>
  </r>
  <r>
    <n v="9866"/>
    <x v="1"/>
    <x v="0"/>
  </r>
  <r>
    <n v="6389"/>
    <x v="3"/>
    <x v="0"/>
  </r>
  <r>
    <n v="8733"/>
    <x v="4"/>
    <x v="0"/>
  </r>
  <r>
    <n v="8105"/>
    <x v="1"/>
    <x v="0"/>
  </r>
  <r>
    <n v="3443"/>
    <x v="3"/>
    <x v="2"/>
  </r>
  <r>
    <n v="2664"/>
    <x v="5"/>
    <x v="2"/>
  </r>
  <r>
    <n v="1782"/>
    <x v="6"/>
    <x v="3"/>
  </r>
  <r>
    <n v="1337"/>
    <x v="6"/>
    <x v="2"/>
  </r>
  <r>
    <n v="5901"/>
    <x v="4"/>
    <x v="4"/>
  </r>
  <r>
    <n v="2731"/>
    <x v="6"/>
    <x v="3"/>
  </r>
  <r>
    <n v="8307"/>
    <x v="4"/>
    <x v="0"/>
  </r>
  <r>
    <n v="8019"/>
    <x v="5"/>
    <x v="2"/>
  </r>
  <r>
    <n v="4847"/>
    <x v="4"/>
    <x v="4"/>
  </r>
  <r>
    <n v="9822"/>
    <x v="5"/>
    <x v="4"/>
  </r>
  <r>
    <n v="9141"/>
    <x v="1"/>
    <x v="2"/>
  </r>
  <r>
    <n v="7539"/>
    <x v="4"/>
    <x v="1"/>
  </r>
  <r>
    <n v="1390"/>
    <x v="4"/>
    <x v="1"/>
  </r>
  <r>
    <n v="9505"/>
    <x v="5"/>
    <x v="0"/>
  </r>
  <r>
    <n v="6741"/>
    <x v="2"/>
    <x v="4"/>
  </r>
  <r>
    <n v="1790"/>
    <x v="2"/>
    <x v="2"/>
  </r>
  <r>
    <n v="6491"/>
    <x v="0"/>
    <x v="4"/>
  </r>
  <r>
    <n v="3102"/>
    <x v="1"/>
    <x v="2"/>
  </r>
  <r>
    <n v="1300"/>
    <x v="6"/>
    <x v="0"/>
  </r>
  <r>
    <n v="5410"/>
    <x v="4"/>
    <x v="3"/>
  </r>
  <r>
    <n v="2714"/>
    <x v="2"/>
    <x v="0"/>
  </r>
  <r>
    <n v="4700"/>
    <x v="0"/>
    <x v="4"/>
  </r>
  <r>
    <n v="7589"/>
    <x v="4"/>
    <x v="3"/>
  </r>
  <r>
    <n v="6866"/>
    <x v="4"/>
    <x v="4"/>
  </r>
  <r>
    <n v="6960"/>
    <x v="3"/>
    <x v="4"/>
  </r>
  <r>
    <n v="5808"/>
    <x v="0"/>
    <x v="3"/>
  </r>
  <r>
    <n v="5525"/>
    <x v="0"/>
    <x v="0"/>
  </r>
  <r>
    <n v="1272"/>
    <x v="5"/>
    <x v="4"/>
  </r>
  <r>
    <n v="8063"/>
    <x v="5"/>
    <x v="4"/>
  </r>
  <r>
    <n v="1856"/>
    <x v="4"/>
    <x v="2"/>
  </r>
  <r>
    <n v="2830"/>
    <x v="5"/>
    <x v="4"/>
  </r>
  <r>
    <n v="3287"/>
    <x v="4"/>
    <x v="4"/>
  </r>
  <r>
    <n v="5679"/>
    <x v="0"/>
    <x v="3"/>
  </r>
  <r>
    <n v="6399"/>
    <x v="3"/>
    <x v="2"/>
  </r>
  <r>
    <n v="8753"/>
    <x v="0"/>
    <x v="4"/>
  </r>
  <r>
    <n v="9267"/>
    <x v="6"/>
    <x v="1"/>
  </r>
  <r>
    <n v="9846"/>
    <x v="1"/>
    <x v="0"/>
  </r>
  <r>
    <n v="2382"/>
    <x v="2"/>
    <x v="1"/>
  </r>
  <r>
    <n v="3593"/>
    <x v="3"/>
    <x v="0"/>
  </r>
  <r>
    <n v="4097"/>
    <x v="4"/>
    <x v="2"/>
  </r>
  <r>
    <n v="2886"/>
    <x v="5"/>
    <x v="4"/>
  </r>
  <r>
    <n v="3255"/>
    <x v="4"/>
    <x v="0"/>
  </r>
  <r>
    <n v="6752"/>
    <x v="3"/>
    <x v="0"/>
  </r>
  <r>
    <n v="7945"/>
    <x v="4"/>
    <x v="4"/>
  </r>
  <r>
    <n v="6658"/>
    <x v="2"/>
    <x v="3"/>
  </r>
  <r>
    <n v="5468"/>
    <x v="6"/>
    <x v="0"/>
  </r>
  <r>
    <n v="7451"/>
    <x v="2"/>
    <x v="2"/>
  </r>
  <r>
    <n v="1253"/>
    <x v="4"/>
    <x v="3"/>
  </r>
  <r>
    <n v="6746"/>
    <x v="5"/>
    <x v="0"/>
  </r>
  <r>
    <n v="8089"/>
    <x v="0"/>
    <x v="0"/>
  </r>
  <r>
    <n v="8045"/>
    <x v="6"/>
    <x v="3"/>
  </r>
  <r>
    <n v="9417"/>
    <x v="0"/>
    <x v="1"/>
  </r>
  <r>
    <n v="3217"/>
    <x v="5"/>
    <x v="4"/>
  </r>
  <r>
    <n v="4234"/>
    <x v="3"/>
    <x v="4"/>
  </r>
  <r>
    <n v="1118"/>
    <x v="0"/>
    <x v="4"/>
  </r>
  <r>
    <n v="4027"/>
    <x v="4"/>
    <x v="0"/>
  </r>
  <r>
    <n v="8451"/>
    <x v="0"/>
    <x v="3"/>
  </r>
  <r>
    <n v="6647"/>
    <x v="1"/>
    <x v="3"/>
  </r>
  <r>
    <n v="4002"/>
    <x v="4"/>
    <x v="2"/>
  </r>
  <r>
    <n v="6910"/>
    <x v="4"/>
    <x v="1"/>
  </r>
  <r>
    <n v="3164"/>
    <x v="5"/>
    <x v="1"/>
  </r>
  <r>
    <n v="2400"/>
    <x v="4"/>
    <x v="1"/>
  </r>
  <r>
    <n v="5499"/>
    <x v="4"/>
    <x v="0"/>
  </r>
  <r>
    <n v="7221"/>
    <x v="2"/>
    <x v="1"/>
  </r>
  <r>
    <n v="4556"/>
    <x v="6"/>
    <x v="0"/>
  </r>
  <r>
    <n v="7175"/>
    <x v="6"/>
    <x v="4"/>
  </r>
  <r>
    <n v="7072"/>
    <x v="2"/>
    <x v="1"/>
  </r>
  <r>
    <n v="4320"/>
    <x v="0"/>
    <x v="3"/>
  </r>
  <r>
    <n v="3558"/>
    <x v="2"/>
    <x v="0"/>
  </r>
  <r>
    <n v="8581"/>
    <x v="6"/>
    <x v="4"/>
  </r>
  <r>
    <n v="5827"/>
    <x v="5"/>
    <x v="3"/>
  </r>
  <r>
    <n v="6929"/>
    <x v="0"/>
    <x v="2"/>
  </r>
  <r>
    <n v="9179"/>
    <x v="4"/>
    <x v="0"/>
  </r>
  <r>
    <n v="7580"/>
    <x v="4"/>
    <x v="2"/>
  </r>
  <r>
    <n v="3858"/>
    <x v="6"/>
    <x v="4"/>
  </r>
  <r>
    <n v="8627"/>
    <x v="5"/>
    <x v="1"/>
  </r>
  <r>
    <n v="7552"/>
    <x v="3"/>
    <x v="4"/>
  </r>
  <r>
    <n v="6020"/>
    <x v="4"/>
    <x v="3"/>
  </r>
  <r>
    <n v="9408"/>
    <x v="5"/>
    <x v="3"/>
  </r>
  <r>
    <n v="9990"/>
    <x v="3"/>
    <x v="2"/>
  </r>
  <r>
    <n v="3687"/>
    <x v="4"/>
    <x v="3"/>
  </r>
  <r>
    <n v="4540"/>
    <x v="0"/>
    <x v="2"/>
  </r>
  <r>
    <n v="8264"/>
    <x v="4"/>
    <x v="1"/>
  </r>
  <r>
    <n v="7448"/>
    <x v="3"/>
    <x v="2"/>
  </r>
  <r>
    <n v="1123"/>
    <x v="0"/>
    <x v="2"/>
  </r>
  <r>
    <n v="4103"/>
    <x v="4"/>
    <x v="1"/>
  </r>
  <r>
    <n v="2904"/>
    <x v="6"/>
    <x v="4"/>
  </r>
  <r>
    <n v="5634"/>
    <x v="4"/>
    <x v="4"/>
  </r>
  <r>
    <n v="5360"/>
    <x v="0"/>
    <x v="0"/>
  </r>
  <r>
    <n v="8571"/>
    <x v="0"/>
    <x v="3"/>
  </r>
  <r>
    <n v="9439"/>
    <x v="2"/>
    <x v="1"/>
  </r>
  <r>
    <n v="8356"/>
    <x v="5"/>
    <x v="4"/>
  </r>
  <r>
    <n v="2039"/>
    <x v="6"/>
    <x v="1"/>
  </r>
  <r>
    <n v="2613"/>
    <x v="3"/>
    <x v="0"/>
  </r>
  <r>
    <n v="8226"/>
    <x v="1"/>
    <x v="3"/>
  </r>
  <r>
    <n v="1425"/>
    <x v="0"/>
    <x v="4"/>
  </r>
  <r>
    <n v="4479"/>
    <x v="6"/>
    <x v="1"/>
  </r>
  <r>
    <n v="3393"/>
    <x v="4"/>
    <x v="2"/>
  </r>
  <r>
    <n v="8528"/>
    <x v="2"/>
    <x v="3"/>
  </r>
  <r>
    <n v="9372"/>
    <x v="4"/>
    <x v="4"/>
  </r>
  <r>
    <n v="5469"/>
    <x v="2"/>
    <x v="2"/>
  </r>
  <r>
    <n v="2603"/>
    <x v="6"/>
    <x v="2"/>
  </r>
  <r>
    <n v="5306"/>
    <x v="5"/>
    <x v="1"/>
  </r>
  <r>
    <n v="7869"/>
    <x v="1"/>
    <x v="3"/>
  </r>
  <r>
    <n v="1699"/>
    <x v="3"/>
    <x v="1"/>
  </r>
  <r>
    <n v="3214"/>
    <x v="0"/>
    <x v="2"/>
  </r>
  <r>
    <n v="1050"/>
    <x v="6"/>
    <x v="3"/>
  </r>
  <r>
    <n v="3325"/>
    <x v="1"/>
    <x v="1"/>
  </r>
  <r>
    <n v="1970"/>
    <x v="2"/>
    <x v="0"/>
  </r>
  <r>
    <n v="6272"/>
    <x v="0"/>
    <x v="1"/>
  </r>
  <r>
    <n v="4745"/>
    <x v="1"/>
    <x v="4"/>
  </r>
  <r>
    <n v="8867"/>
    <x v="5"/>
    <x v="3"/>
  </r>
  <r>
    <n v="4901"/>
    <x v="3"/>
    <x v="1"/>
  </r>
  <r>
    <n v="9575"/>
    <x v="4"/>
    <x v="4"/>
  </r>
  <r>
    <n v="4471"/>
    <x v="1"/>
    <x v="1"/>
  </r>
  <r>
    <n v="1385"/>
    <x v="1"/>
    <x v="0"/>
  </r>
  <r>
    <n v="4302"/>
    <x v="4"/>
    <x v="0"/>
  </r>
  <r>
    <n v="4738"/>
    <x v="1"/>
    <x v="0"/>
  </r>
  <r>
    <n v="2441"/>
    <x v="2"/>
    <x v="1"/>
  </r>
  <r>
    <n v="6546"/>
    <x v="2"/>
    <x v="0"/>
  </r>
  <r>
    <n v="5459"/>
    <x v="4"/>
    <x v="3"/>
  </r>
  <r>
    <n v="7051"/>
    <x v="1"/>
    <x v="1"/>
  </r>
  <r>
    <n v="6671"/>
    <x v="6"/>
    <x v="0"/>
  </r>
  <r>
    <n v="6013"/>
    <x v="5"/>
    <x v="1"/>
  </r>
  <r>
    <n v="9996"/>
    <x v="5"/>
    <x v="2"/>
  </r>
  <r>
    <n v="4851"/>
    <x v="1"/>
    <x v="3"/>
  </r>
  <r>
    <n v="2498"/>
    <x v="6"/>
    <x v="3"/>
  </r>
  <r>
    <n v="6208"/>
    <x v="4"/>
    <x v="3"/>
  </r>
  <r>
    <n v="7171"/>
    <x v="0"/>
    <x v="1"/>
  </r>
  <r>
    <n v="7667"/>
    <x v="6"/>
    <x v="0"/>
  </r>
  <r>
    <n v="4912"/>
    <x v="2"/>
    <x v="3"/>
  </r>
  <r>
    <n v="7975"/>
    <x v="4"/>
    <x v="1"/>
  </r>
  <r>
    <n v="6804"/>
    <x v="1"/>
    <x v="4"/>
  </r>
  <r>
    <n v="3877"/>
    <x v="0"/>
    <x v="1"/>
  </r>
  <r>
    <n v="8768"/>
    <x v="2"/>
    <x v="1"/>
  </r>
  <r>
    <n v="1420"/>
    <x v="3"/>
    <x v="4"/>
  </r>
  <r>
    <n v="2306"/>
    <x v="4"/>
    <x v="1"/>
  </r>
  <r>
    <n v="2079"/>
    <x v="4"/>
    <x v="0"/>
  </r>
  <r>
    <n v="3554"/>
    <x v="1"/>
    <x v="1"/>
  </r>
  <r>
    <n v="7616"/>
    <x v="4"/>
    <x v="0"/>
  </r>
  <r>
    <n v="5650"/>
    <x v="4"/>
    <x v="2"/>
  </r>
  <r>
    <n v="9385"/>
    <x v="1"/>
    <x v="4"/>
  </r>
  <r>
    <n v="2482"/>
    <x v="0"/>
    <x v="3"/>
  </r>
  <r>
    <n v="9017"/>
    <x v="3"/>
    <x v="0"/>
  </r>
  <r>
    <n v="7001"/>
    <x v="1"/>
    <x v="2"/>
  </r>
  <r>
    <n v="2942"/>
    <x v="2"/>
    <x v="0"/>
  </r>
  <r>
    <n v="8833"/>
    <x v="1"/>
    <x v="4"/>
  </r>
  <r>
    <n v="8079"/>
    <x v="0"/>
    <x v="0"/>
  </r>
  <r>
    <n v="3797"/>
    <x v="2"/>
    <x v="4"/>
  </r>
  <r>
    <n v="7268"/>
    <x v="0"/>
    <x v="2"/>
  </r>
  <r>
    <n v="9803"/>
    <x v="1"/>
    <x v="1"/>
  </r>
  <r>
    <n v="2165"/>
    <x v="3"/>
    <x v="0"/>
  </r>
  <r>
    <n v="1528"/>
    <x v="1"/>
    <x v="2"/>
  </r>
  <r>
    <n v="5978"/>
    <x v="1"/>
    <x v="1"/>
  </r>
  <r>
    <n v="5967"/>
    <x v="0"/>
    <x v="1"/>
  </r>
  <r>
    <n v="4254"/>
    <x v="6"/>
    <x v="2"/>
  </r>
  <r>
    <n v="2186"/>
    <x v="1"/>
    <x v="0"/>
  </r>
  <r>
    <n v="7644"/>
    <x v="0"/>
    <x v="2"/>
  </r>
  <r>
    <n v="5897"/>
    <x v="1"/>
    <x v="2"/>
  </r>
  <r>
    <n v="7465"/>
    <x v="0"/>
    <x v="2"/>
  </r>
  <r>
    <n v="3724"/>
    <x v="6"/>
    <x v="3"/>
  </r>
  <r>
    <n v="2914"/>
    <x v="5"/>
    <x v="4"/>
  </r>
  <r>
    <n v="4110"/>
    <x v="1"/>
    <x v="3"/>
  </r>
  <r>
    <n v="6944"/>
    <x v="5"/>
    <x v="2"/>
  </r>
  <r>
    <n v="3639"/>
    <x v="4"/>
    <x v="0"/>
  </r>
  <r>
    <n v="8416"/>
    <x v="1"/>
    <x v="2"/>
  </r>
  <r>
    <n v="7753"/>
    <x v="1"/>
    <x v="0"/>
  </r>
  <r>
    <n v="9528"/>
    <x v="0"/>
    <x v="2"/>
  </r>
  <r>
    <n v="2960"/>
    <x v="2"/>
    <x v="0"/>
  </r>
  <r>
    <n v="1090"/>
    <x v="2"/>
    <x v="1"/>
  </r>
  <r>
    <n v="2410"/>
    <x v="6"/>
    <x v="1"/>
  </r>
  <r>
    <n v="1575"/>
    <x v="5"/>
    <x v="3"/>
  </r>
  <r>
    <n v="9259"/>
    <x v="4"/>
    <x v="3"/>
  </r>
  <r>
    <n v="2170"/>
    <x v="0"/>
    <x v="2"/>
  </r>
  <r>
    <n v="2237"/>
    <x v="5"/>
    <x v="0"/>
  </r>
  <r>
    <n v="2697"/>
    <x v="1"/>
    <x v="4"/>
  </r>
  <r>
    <n v="4488"/>
    <x v="6"/>
    <x v="1"/>
  </r>
  <r>
    <n v="5291"/>
    <x v="1"/>
    <x v="2"/>
  </r>
  <r>
    <n v="6287"/>
    <x v="3"/>
    <x v="1"/>
  </r>
  <r>
    <n v="1953"/>
    <x v="1"/>
    <x v="1"/>
  </r>
  <r>
    <n v="3457"/>
    <x v="5"/>
    <x v="1"/>
  </r>
  <r>
    <n v="6504"/>
    <x v="2"/>
    <x v="2"/>
  </r>
  <r>
    <n v="7463"/>
    <x v="3"/>
    <x v="4"/>
  </r>
  <r>
    <n v="3898"/>
    <x v="5"/>
    <x v="4"/>
  </r>
  <r>
    <n v="8481"/>
    <x v="6"/>
    <x v="2"/>
  </r>
  <r>
    <n v="7810"/>
    <x v="4"/>
    <x v="2"/>
  </r>
  <r>
    <n v="6534"/>
    <x v="3"/>
    <x v="0"/>
  </r>
  <r>
    <n v="6025"/>
    <x v="4"/>
    <x v="3"/>
  </r>
  <r>
    <n v="5825"/>
    <x v="1"/>
    <x v="3"/>
  </r>
  <r>
    <n v="1185"/>
    <x v="6"/>
    <x v="0"/>
  </r>
  <r>
    <n v="4392"/>
    <x v="2"/>
    <x v="0"/>
  </r>
  <r>
    <n v="5785"/>
    <x v="0"/>
    <x v="4"/>
  </r>
  <r>
    <n v="4718"/>
    <x v="1"/>
    <x v="4"/>
  </r>
  <r>
    <n v="3992"/>
    <x v="0"/>
    <x v="1"/>
  </r>
  <r>
    <n v="6100"/>
    <x v="5"/>
    <x v="2"/>
  </r>
  <r>
    <n v="8495"/>
    <x v="5"/>
    <x v="4"/>
  </r>
  <r>
    <n v="3083"/>
    <x v="3"/>
    <x v="0"/>
  </r>
  <r>
    <n v="9936"/>
    <x v="0"/>
    <x v="1"/>
  </r>
  <r>
    <n v="2418"/>
    <x v="6"/>
    <x v="3"/>
  </r>
  <r>
    <n v="4089"/>
    <x v="2"/>
    <x v="4"/>
  </r>
  <r>
    <n v="8876"/>
    <x v="4"/>
    <x v="1"/>
  </r>
  <r>
    <n v="3959"/>
    <x v="2"/>
    <x v="3"/>
  </r>
  <r>
    <n v="2011"/>
    <x v="6"/>
    <x v="0"/>
  </r>
  <r>
    <n v="7896"/>
    <x v="2"/>
    <x v="0"/>
  </r>
  <r>
    <n v="5495"/>
    <x v="3"/>
    <x v="2"/>
  </r>
  <r>
    <n v="6219"/>
    <x v="1"/>
    <x v="1"/>
  </r>
  <r>
    <n v="4458"/>
    <x v="2"/>
    <x v="2"/>
  </r>
  <r>
    <n v="4115"/>
    <x v="5"/>
    <x v="4"/>
  </r>
  <r>
    <n v="6586"/>
    <x v="5"/>
    <x v="3"/>
  </r>
  <r>
    <n v="3985"/>
    <x v="3"/>
    <x v="3"/>
  </r>
  <r>
    <n v="8501"/>
    <x v="3"/>
    <x v="2"/>
  </r>
  <r>
    <n v="4048"/>
    <x v="4"/>
    <x v="2"/>
  </r>
  <r>
    <n v="4466"/>
    <x v="1"/>
    <x v="1"/>
  </r>
  <r>
    <n v="5479"/>
    <x v="6"/>
    <x v="4"/>
  </r>
  <r>
    <n v="2480"/>
    <x v="5"/>
    <x v="2"/>
  </r>
  <r>
    <n v="6288"/>
    <x v="6"/>
    <x v="1"/>
  </r>
  <r>
    <n v="9973"/>
    <x v="6"/>
    <x v="1"/>
  </r>
  <r>
    <n v="6078"/>
    <x v="5"/>
    <x v="2"/>
  </r>
  <r>
    <n v="5362"/>
    <x v="5"/>
    <x v="4"/>
  </r>
  <r>
    <n v="1687"/>
    <x v="0"/>
    <x v="2"/>
  </r>
  <r>
    <n v="8986"/>
    <x v="0"/>
    <x v="1"/>
  </r>
  <r>
    <n v="5994"/>
    <x v="1"/>
    <x v="0"/>
  </r>
  <r>
    <n v="6293"/>
    <x v="2"/>
    <x v="0"/>
  </r>
  <r>
    <n v="7558"/>
    <x v="2"/>
    <x v="0"/>
  </r>
  <r>
    <n v="1805"/>
    <x v="5"/>
    <x v="0"/>
  </r>
  <r>
    <n v="1661"/>
    <x v="5"/>
    <x v="4"/>
  </r>
  <r>
    <n v="8960"/>
    <x v="6"/>
    <x v="4"/>
  </r>
  <r>
    <n v="6131"/>
    <x v="4"/>
    <x v="2"/>
  </r>
  <r>
    <n v="4114"/>
    <x v="4"/>
    <x v="2"/>
  </r>
  <r>
    <n v="4833"/>
    <x v="1"/>
    <x v="1"/>
  </r>
  <r>
    <n v="2401"/>
    <x v="5"/>
    <x v="0"/>
  </r>
  <r>
    <n v="1037"/>
    <x v="3"/>
    <x v="1"/>
  </r>
  <r>
    <n v="2675"/>
    <x v="3"/>
    <x v="2"/>
  </r>
  <r>
    <n v="1665"/>
    <x v="5"/>
    <x v="0"/>
  </r>
  <r>
    <n v="5671"/>
    <x v="1"/>
    <x v="0"/>
  </r>
  <r>
    <n v="5153"/>
    <x v="2"/>
    <x v="4"/>
  </r>
  <r>
    <n v="1114"/>
    <x v="4"/>
    <x v="3"/>
  </r>
  <r>
    <n v="6180"/>
    <x v="6"/>
    <x v="2"/>
  </r>
  <r>
    <n v="8237"/>
    <x v="5"/>
    <x v="1"/>
  </r>
  <r>
    <n v="9500"/>
    <x v="3"/>
    <x v="1"/>
  </r>
  <r>
    <n v="7476"/>
    <x v="4"/>
    <x v="0"/>
  </r>
  <r>
    <n v="9908"/>
    <x v="6"/>
    <x v="3"/>
  </r>
  <r>
    <n v="1534"/>
    <x v="0"/>
    <x v="4"/>
  </r>
  <r>
    <n v="4613"/>
    <x v="0"/>
    <x v="0"/>
  </r>
  <r>
    <n v="5063"/>
    <x v="0"/>
    <x v="1"/>
  </r>
  <r>
    <n v="4548"/>
    <x v="6"/>
    <x v="1"/>
  </r>
  <r>
    <n v="7556"/>
    <x v="0"/>
    <x v="0"/>
  </r>
  <r>
    <n v="1846"/>
    <x v="2"/>
    <x v="3"/>
  </r>
  <r>
    <n v="7088"/>
    <x v="3"/>
    <x v="2"/>
  </r>
  <r>
    <n v="1179"/>
    <x v="6"/>
    <x v="0"/>
  </r>
  <r>
    <n v="2190"/>
    <x v="4"/>
    <x v="4"/>
  </r>
  <r>
    <n v="2847"/>
    <x v="3"/>
    <x v="3"/>
  </r>
  <r>
    <n v="6570"/>
    <x v="6"/>
    <x v="4"/>
  </r>
  <r>
    <n v="1149"/>
    <x v="0"/>
    <x v="3"/>
  </r>
  <r>
    <n v="1336"/>
    <x v="2"/>
    <x v="4"/>
  </r>
  <r>
    <n v="6956"/>
    <x v="2"/>
    <x v="4"/>
  </r>
  <r>
    <n v="7015"/>
    <x v="1"/>
    <x v="1"/>
  </r>
  <r>
    <n v="4104"/>
    <x v="2"/>
    <x v="0"/>
  </r>
  <r>
    <n v="9413"/>
    <x v="2"/>
    <x v="0"/>
  </r>
  <r>
    <n v="8300"/>
    <x v="3"/>
    <x v="4"/>
  </r>
  <r>
    <n v="5126"/>
    <x v="1"/>
    <x v="1"/>
  </r>
  <r>
    <n v="1754"/>
    <x v="6"/>
    <x v="3"/>
  </r>
  <r>
    <n v="7089"/>
    <x v="6"/>
    <x v="1"/>
  </r>
  <r>
    <n v="1697"/>
    <x v="0"/>
    <x v="4"/>
  </r>
  <r>
    <n v="4768"/>
    <x v="3"/>
    <x v="3"/>
  </r>
  <r>
    <n v="4205"/>
    <x v="5"/>
    <x v="4"/>
  </r>
  <r>
    <n v="8844"/>
    <x v="2"/>
    <x v="3"/>
  </r>
  <r>
    <n v="1103"/>
    <x v="2"/>
    <x v="4"/>
  </r>
  <r>
    <n v="2180"/>
    <x v="4"/>
    <x v="0"/>
  </r>
  <r>
    <n v="6607"/>
    <x v="1"/>
    <x v="0"/>
  </r>
  <r>
    <n v="7949"/>
    <x v="5"/>
    <x v="0"/>
  </r>
  <r>
    <n v="5337"/>
    <x v="4"/>
    <x v="2"/>
  </r>
  <r>
    <n v="8477"/>
    <x v="1"/>
    <x v="3"/>
  </r>
  <r>
    <n v="7673"/>
    <x v="0"/>
    <x v="4"/>
  </r>
  <r>
    <n v="6113"/>
    <x v="5"/>
    <x v="4"/>
  </r>
  <r>
    <n v="7457"/>
    <x v="2"/>
    <x v="3"/>
  </r>
  <r>
    <n v="6639"/>
    <x v="0"/>
    <x v="0"/>
  </r>
  <r>
    <n v="5220"/>
    <x v="4"/>
    <x v="2"/>
  </r>
  <r>
    <n v="6970"/>
    <x v="6"/>
    <x v="0"/>
  </r>
  <r>
    <n v="6705"/>
    <x v="6"/>
    <x v="0"/>
  </r>
  <r>
    <n v="2477"/>
    <x v="2"/>
    <x v="0"/>
  </r>
  <r>
    <n v="6236"/>
    <x v="0"/>
    <x v="1"/>
  </r>
  <r>
    <n v="4079"/>
    <x v="4"/>
    <x v="3"/>
  </r>
  <r>
    <n v="7927"/>
    <x v="3"/>
    <x v="4"/>
  </r>
  <r>
    <n v="5059"/>
    <x v="5"/>
    <x v="3"/>
  </r>
  <r>
    <n v="4210"/>
    <x v="4"/>
    <x v="0"/>
  </r>
  <r>
    <n v="5054"/>
    <x v="3"/>
    <x v="3"/>
  </r>
  <r>
    <n v="5836"/>
    <x v="2"/>
    <x v="0"/>
  </r>
  <r>
    <n v="8612"/>
    <x v="5"/>
    <x v="1"/>
  </r>
  <r>
    <n v="7445"/>
    <x v="4"/>
    <x v="0"/>
  </r>
  <r>
    <n v="6135"/>
    <x v="1"/>
    <x v="1"/>
  </r>
  <r>
    <n v="3168"/>
    <x v="0"/>
    <x v="3"/>
  </r>
  <r>
    <n v="2981"/>
    <x v="2"/>
    <x v="2"/>
  </r>
  <r>
    <n v="7739"/>
    <x v="2"/>
    <x v="1"/>
  </r>
  <r>
    <n v="5905"/>
    <x v="5"/>
    <x v="4"/>
  </r>
  <r>
    <n v="1443"/>
    <x v="1"/>
    <x v="4"/>
  </r>
  <r>
    <n v="6181"/>
    <x v="4"/>
    <x v="0"/>
  </r>
  <r>
    <n v="8406"/>
    <x v="0"/>
    <x v="0"/>
  </r>
  <r>
    <n v="5389"/>
    <x v="1"/>
    <x v="3"/>
  </r>
  <r>
    <n v="4586"/>
    <x v="0"/>
    <x v="1"/>
  </r>
  <r>
    <n v="4020"/>
    <x v="2"/>
    <x v="3"/>
  </r>
  <r>
    <n v="1635"/>
    <x v="2"/>
    <x v="0"/>
  </r>
  <r>
    <n v="9257"/>
    <x v="4"/>
    <x v="2"/>
  </r>
  <r>
    <n v="6380"/>
    <x v="1"/>
    <x v="2"/>
  </r>
  <r>
    <n v="6385"/>
    <x v="3"/>
    <x v="2"/>
  </r>
  <r>
    <n v="6858"/>
    <x v="3"/>
    <x v="4"/>
  </r>
  <r>
    <n v="8875"/>
    <x v="0"/>
    <x v="1"/>
  </r>
  <r>
    <n v="3334"/>
    <x v="0"/>
    <x v="1"/>
  </r>
  <r>
    <n v="5850"/>
    <x v="0"/>
    <x v="2"/>
  </r>
  <r>
    <n v="8593"/>
    <x v="4"/>
    <x v="3"/>
  </r>
  <r>
    <n v="6278"/>
    <x v="1"/>
    <x v="3"/>
  </r>
  <r>
    <n v="1388"/>
    <x v="6"/>
    <x v="2"/>
  </r>
  <r>
    <n v="2521"/>
    <x v="0"/>
    <x v="4"/>
  </r>
  <r>
    <n v="1269"/>
    <x v="0"/>
    <x v="2"/>
  </r>
  <r>
    <n v="9959"/>
    <x v="0"/>
    <x v="1"/>
  </r>
  <r>
    <n v="7549"/>
    <x v="6"/>
    <x v="2"/>
  </r>
  <r>
    <n v="4747"/>
    <x v="0"/>
    <x v="4"/>
  </r>
  <r>
    <n v="8320"/>
    <x v="5"/>
    <x v="0"/>
  </r>
  <r>
    <n v="1333"/>
    <x v="2"/>
    <x v="3"/>
  </r>
  <r>
    <n v="5254"/>
    <x v="6"/>
    <x v="2"/>
  </r>
  <r>
    <n v="6842"/>
    <x v="1"/>
    <x v="4"/>
  </r>
  <r>
    <n v="9333"/>
    <x v="5"/>
    <x v="1"/>
  </r>
  <r>
    <n v="9122"/>
    <x v="0"/>
    <x v="1"/>
  </r>
  <r>
    <n v="6221"/>
    <x v="0"/>
    <x v="2"/>
  </r>
  <r>
    <n v="9957"/>
    <x v="3"/>
    <x v="4"/>
  </r>
  <r>
    <n v="4680"/>
    <x v="6"/>
    <x v="0"/>
  </r>
  <r>
    <n v="5974"/>
    <x v="3"/>
    <x v="2"/>
  </r>
  <r>
    <n v="6938"/>
    <x v="0"/>
    <x v="2"/>
  </r>
  <r>
    <n v="1175"/>
    <x v="5"/>
    <x v="1"/>
  </r>
  <r>
    <n v="1260"/>
    <x v="3"/>
    <x v="0"/>
  </r>
  <r>
    <n v="4645"/>
    <x v="0"/>
    <x v="0"/>
  </r>
  <r>
    <n v="1637"/>
    <x v="2"/>
    <x v="3"/>
  </r>
  <r>
    <n v="7960"/>
    <x v="5"/>
    <x v="2"/>
  </r>
  <r>
    <n v="9693"/>
    <x v="5"/>
    <x v="2"/>
  </r>
  <r>
    <n v="8743"/>
    <x v="0"/>
    <x v="3"/>
  </r>
  <r>
    <n v="3379"/>
    <x v="2"/>
    <x v="4"/>
  </r>
  <r>
    <n v="7696"/>
    <x v="0"/>
    <x v="3"/>
  </r>
  <r>
    <n v="8552"/>
    <x v="0"/>
    <x v="4"/>
  </r>
  <r>
    <n v="5065"/>
    <x v="6"/>
    <x v="4"/>
  </r>
  <r>
    <n v="6878"/>
    <x v="2"/>
    <x v="0"/>
  </r>
  <r>
    <n v="5681"/>
    <x v="6"/>
    <x v="2"/>
  </r>
  <r>
    <n v="4448"/>
    <x v="2"/>
    <x v="0"/>
  </r>
  <r>
    <n v="5795"/>
    <x v="0"/>
    <x v="1"/>
  </r>
  <r>
    <n v="5320"/>
    <x v="3"/>
    <x v="1"/>
  </r>
  <r>
    <m/>
    <x v="7"/>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n v="2878"/>
    <n v="2518"/>
  </r>
  <r>
    <x v="0"/>
    <n v="2291"/>
    <n v="6430"/>
  </r>
  <r>
    <x v="0"/>
    <n v="1692"/>
    <n v="1798"/>
  </r>
  <r>
    <x v="0"/>
    <n v="952"/>
    <n v="5255"/>
  </r>
  <r>
    <x v="0"/>
    <n v="1823"/>
    <n v="2854"/>
  </r>
  <r>
    <x v="0"/>
    <n v="33"/>
    <n v="6735"/>
  </r>
  <r>
    <x v="0"/>
    <n v="755"/>
    <n v="2995"/>
  </r>
  <r>
    <x v="0"/>
    <n v="2866"/>
    <n v="5120"/>
  </r>
  <r>
    <x v="0"/>
    <n v="336"/>
    <n v="6063"/>
  </r>
  <r>
    <x v="0"/>
    <n v="3898"/>
    <n v="6896"/>
  </r>
  <r>
    <x v="0"/>
    <n v="650"/>
    <n v="8447"/>
  </r>
  <r>
    <x v="0"/>
    <n v="185"/>
    <n v="1433"/>
  </r>
  <r>
    <x v="0"/>
    <n v="1547"/>
    <n v="4511"/>
  </r>
  <r>
    <x v="0"/>
    <n v="3788"/>
    <n v="9966"/>
  </r>
  <r>
    <x v="0"/>
    <n v="1051"/>
    <n v="7093"/>
  </r>
  <r>
    <x v="0"/>
    <n v="633"/>
    <n v="4351"/>
  </r>
  <r>
    <x v="0"/>
    <n v="4133"/>
    <n v="6007"/>
  </r>
  <r>
    <x v="0"/>
    <n v="1159"/>
    <n v="9710"/>
  </r>
  <r>
    <x v="0"/>
    <n v="4673"/>
    <n v="9034"/>
  </r>
  <r>
    <x v="0"/>
    <n v="4200"/>
    <n v="6197"/>
  </r>
  <r>
    <x v="0"/>
    <n v="3607"/>
    <n v="2820"/>
  </r>
  <r>
    <x v="0"/>
    <n v="4602"/>
    <n v="1101"/>
  </r>
  <r>
    <x v="0"/>
    <n v="256"/>
    <n v="1650"/>
  </r>
  <r>
    <x v="0"/>
    <n v="2406"/>
    <n v="4884"/>
  </r>
  <r>
    <x v="0"/>
    <n v="1394"/>
    <n v="8321"/>
  </r>
  <r>
    <x v="0"/>
    <n v="1856"/>
    <n v="2381"/>
  </r>
  <r>
    <x v="0"/>
    <n v="1665"/>
    <n v="9507"/>
  </r>
  <r>
    <x v="0"/>
    <n v="2759"/>
    <n v="2851"/>
  </r>
  <r>
    <x v="0"/>
    <n v="3433"/>
    <n v="4083"/>
  </r>
  <r>
    <x v="0"/>
    <n v="3966"/>
    <n v="4608"/>
  </r>
  <r>
    <x v="0"/>
    <n v="4185"/>
    <n v="4815"/>
  </r>
  <r>
    <x v="0"/>
    <n v="784"/>
    <n v="9597"/>
  </r>
  <r>
    <x v="0"/>
    <n v="3428"/>
    <n v="6566"/>
  </r>
  <r>
    <x v="0"/>
    <n v="4245"/>
    <n v="1419"/>
  </r>
  <r>
    <x v="0"/>
    <n v="2580"/>
    <n v="9470"/>
  </r>
  <r>
    <x v="0"/>
    <n v="2779"/>
    <n v="4989"/>
  </r>
  <r>
    <x v="0"/>
    <n v="2318"/>
    <n v="9389"/>
  </r>
  <r>
    <x v="0"/>
    <n v="827"/>
    <n v="7728"/>
  </r>
  <r>
    <x v="0"/>
    <n v="2670"/>
    <n v="7943"/>
  </r>
  <r>
    <x v="0"/>
    <n v="2409"/>
    <n v="2490"/>
  </r>
  <r>
    <x v="0"/>
    <n v="1577"/>
    <n v="5042"/>
  </r>
  <r>
    <x v="0"/>
    <n v="4072"/>
    <n v="3620"/>
  </r>
  <r>
    <x v="0"/>
    <n v="3432"/>
    <n v="8976"/>
  </r>
  <r>
    <x v="0"/>
    <n v="4511"/>
    <n v="1570"/>
  </r>
  <r>
    <x v="0"/>
    <n v="583"/>
    <n v="7709"/>
  </r>
  <r>
    <x v="0"/>
    <n v="3626"/>
    <n v="9503"/>
  </r>
  <r>
    <x v="0"/>
    <n v="476"/>
    <n v="9564"/>
  </r>
  <r>
    <x v="0"/>
    <n v="4114"/>
    <n v="8934"/>
  </r>
  <r>
    <x v="0"/>
    <n v="1581"/>
    <n v="1222"/>
  </r>
  <r>
    <x v="0"/>
    <n v="1293"/>
    <n v="5762"/>
  </r>
  <r>
    <x v="0"/>
    <n v="1744"/>
    <n v="4066"/>
  </r>
  <r>
    <x v="0"/>
    <n v="448"/>
    <n v="6469"/>
  </r>
  <r>
    <x v="0"/>
    <n v="3398"/>
    <n v="1364"/>
  </r>
  <r>
    <x v="0"/>
    <n v="4691"/>
    <n v="4197"/>
  </r>
  <r>
    <x v="0"/>
    <n v="4674"/>
    <n v="9700"/>
  </r>
  <r>
    <x v="0"/>
    <n v="3641"/>
    <n v="5644"/>
  </r>
  <r>
    <x v="0"/>
    <n v="1765"/>
    <n v="5420"/>
  </r>
  <r>
    <x v="0"/>
    <n v="3462"/>
    <n v="7560"/>
  </r>
  <r>
    <x v="0"/>
    <n v="790"/>
    <n v="9644"/>
  </r>
  <r>
    <x v="0"/>
    <n v="4732"/>
    <n v="7239"/>
  </r>
  <r>
    <x v="0"/>
    <n v="4599"/>
    <n v="6415"/>
  </r>
  <r>
    <x v="0"/>
    <n v="965"/>
    <n v="9020"/>
  </r>
  <r>
    <x v="0"/>
    <n v="1155"/>
    <n v="2324"/>
  </r>
  <r>
    <x v="0"/>
    <n v="1110"/>
    <n v="1354"/>
  </r>
  <r>
    <x v="0"/>
    <n v="1911"/>
    <n v="4019"/>
  </r>
  <r>
    <x v="0"/>
    <n v="1721"/>
    <n v="6178"/>
  </r>
  <r>
    <x v="0"/>
    <n v="353"/>
    <n v="8673"/>
  </r>
  <r>
    <x v="0"/>
    <n v="423"/>
    <n v="8250"/>
  </r>
  <r>
    <x v="0"/>
    <n v="344"/>
    <n v="1609"/>
  </r>
  <r>
    <x v="0"/>
    <n v="4117"/>
    <n v="3806"/>
  </r>
  <r>
    <x v="0"/>
    <n v="3983"/>
    <n v="7973"/>
  </r>
  <r>
    <x v="0"/>
    <n v="3941"/>
    <n v="7948"/>
  </r>
  <r>
    <x v="0"/>
    <n v="3085"/>
    <n v="3195"/>
  </r>
  <r>
    <x v="0"/>
    <n v="48"/>
    <n v="6285"/>
  </r>
  <r>
    <x v="0"/>
    <n v="1520"/>
    <n v="4303"/>
  </r>
  <r>
    <x v="0"/>
    <n v="935"/>
    <n v="7751"/>
  </r>
  <r>
    <x v="0"/>
    <n v="4641"/>
    <n v="7813"/>
  </r>
  <r>
    <x v="0"/>
    <n v="2941"/>
    <n v="9028"/>
  </r>
  <r>
    <x v="0"/>
    <n v="1325"/>
    <n v="6109"/>
  </r>
  <r>
    <x v="0"/>
    <n v="4465"/>
    <n v="2565"/>
  </r>
  <r>
    <x v="0"/>
    <n v="3517"/>
    <n v="7551"/>
  </r>
  <r>
    <x v="0"/>
    <n v="1672"/>
    <n v="6398"/>
  </r>
  <r>
    <x v="0"/>
    <n v="2164"/>
    <n v="4982"/>
  </r>
  <r>
    <x v="0"/>
    <n v="3663"/>
    <n v="8108"/>
  </r>
  <r>
    <x v="0"/>
    <n v="2845"/>
    <n v="6779"/>
  </r>
  <r>
    <x v="0"/>
    <n v="2390"/>
    <n v="1169"/>
  </r>
  <r>
    <x v="0"/>
    <n v="234"/>
    <n v="5067"/>
  </r>
  <r>
    <x v="0"/>
    <n v="3975"/>
    <n v="5299"/>
  </r>
  <r>
    <x v="0"/>
    <n v="561"/>
    <n v="3978"/>
  </r>
  <r>
    <x v="0"/>
    <n v="4647"/>
    <n v="8634"/>
  </r>
  <r>
    <x v="0"/>
    <n v="581"/>
    <n v="9635"/>
  </r>
  <r>
    <x v="0"/>
    <n v="1250"/>
    <n v="1776"/>
  </r>
  <r>
    <x v="0"/>
    <n v="3441"/>
    <n v="9703"/>
  </r>
  <r>
    <x v="0"/>
    <n v="3211"/>
    <n v="3498"/>
  </r>
  <r>
    <x v="0"/>
    <n v="647"/>
    <n v="4260"/>
  </r>
  <r>
    <x v="0"/>
    <n v="3751"/>
    <n v="7152"/>
  </r>
  <r>
    <x v="0"/>
    <n v="2925"/>
    <n v="2457"/>
  </r>
  <r>
    <x v="0"/>
    <n v="4646"/>
    <n v="8530"/>
  </r>
  <r>
    <x v="0"/>
    <n v="2867"/>
    <n v="9131"/>
  </r>
  <r>
    <x v="0"/>
    <n v="4131"/>
    <n v="9770"/>
  </r>
  <r>
    <x v="0"/>
    <n v="2927"/>
    <n v="8095"/>
  </r>
  <r>
    <x v="0"/>
    <n v="3314"/>
    <n v="3763"/>
  </r>
  <r>
    <x v="0"/>
    <n v="1782"/>
    <n v="4346"/>
  </r>
  <r>
    <x v="0"/>
    <n v="1938"/>
    <n v="5866"/>
  </r>
  <r>
    <x v="0"/>
    <n v="3935"/>
    <n v="5865"/>
  </r>
  <r>
    <x v="0"/>
    <n v="3206"/>
    <n v="9398"/>
  </r>
  <r>
    <x v="0"/>
    <n v="2523"/>
    <n v="9695"/>
  </r>
  <r>
    <x v="0"/>
    <n v="2727"/>
    <n v="8805"/>
  </r>
  <r>
    <x v="0"/>
    <n v="2864"/>
    <n v="8353"/>
  </r>
  <r>
    <x v="0"/>
    <n v="3698"/>
    <n v="3178"/>
  </r>
  <r>
    <x v="0"/>
    <n v="1531"/>
    <n v="4917"/>
  </r>
  <r>
    <x v="0"/>
    <n v="4884"/>
    <n v="8878"/>
  </r>
  <r>
    <x v="0"/>
    <n v="3633"/>
    <n v="3810"/>
  </r>
  <r>
    <x v="0"/>
    <n v="4719"/>
    <n v="9353"/>
  </r>
  <r>
    <x v="0"/>
    <n v="3161"/>
    <n v="1672"/>
  </r>
  <r>
    <x v="0"/>
    <n v="3607"/>
    <n v="6650"/>
  </r>
  <r>
    <x v="0"/>
    <n v="944"/>
    <n v="2581"/>
  </r>
  <r>
    <x v="0"/>
    <n v="2757"/>
    <n v="6860"/>
  </r>
  <r>
    <x v="0"/>
    <n v="727"/>
    <n v="4584"/>
  </r>
  <r>
    <x v="0"/>
    <n v="3496"/>
    <n v="3354"/>
  </r>
  <r>
    <x v="0"/>
    <n v="4293"/>
    <n v="4668"/>
  </r>
  <r>
    <x v="0"/>
    <n v="1357"/>
    <n v="6684"/>
  </r>
  <r>
    <x v="0"/>
    <n v="3596"/>
    <n v="8058"/>
  </r>
  <r>
    <x v="0"/>
    <n v="613"/>
    <n v="3035"/>
  </r>
  <r>
    <x v="0"/>
    <n v="2381"/>
    <n v="2146"/>
  </r>
  <r>
    <x v="0"/>
    <n v="2159"/>
    <n v="5761"/>
  </r>
  <r>
    <x v="0"/>
    <n v="119"/>
    <n v="5256"/>
  </r>
  <r>
    <x v="0"/>
    <n v="2798"/>
    <n v="5995"/>
  </r>
  <r>
    <x v="0"/>
    <n v="496"/>
    <n v="4155"/>
  </r>
  <r>
    <x v="0"/>
    <n v="3599"/>
    <n v="1851"/>
  </r>
  <r>
    <x v="0"/>
    <n v="1752"/>
    <n v="8068"/>
  </r>
  <r>
    <x v="0"/>
    <n v="3633"/>
    <n v="8425"/>
  </r>
  <r>
    <x v="0"/>
    <n v="3568"/>
    <n v="4706"/>
  </r>
  <r>
    <x v="0"/>
    <n v="4361"/>
    <n v="7544"/>
  </r>
  <r>
    <x v="0"/>
    <n v="1176"/>
    <n v="4029"/>
  </r>
  <r>
    <x v="0"/>
    <n v="1849"/>
    <n v="6117"/>
  </r>
  <r>
    <x v="0"/>
    <n v="3953"/>
    <n v="1408"/>
  </r>
  <r>
    <x v="0"/>
    <n v="3277"/>
    <n v="8396"/>
  </r>
  <r>
    <x v="0"/>
    <n v="1572"/>
    <n v="6806"/>
  </r>
  <r>
    <x v="0"/>
    <n v="2676"/>
    <n v="3496"/>
  </r>
  <r>
    <x v="0"/>
    <n v="3053"/>
    <n v="7840"/>
  </r>
  <r>
    <x v="0"/>
    <n v="2620"/>
    <n v="2099"/>
  </r>
  <r>
    <x v="0"/>
    <n v="4068"/>
    <n v="6518"/>
  </r>
  <r>
    <x v="0"/>
    <n v="172"/>
    <n v="1976"/>
  </r>
  <r>
    <x v="0"/>
    <n v="1040"/>
    <n v="8777"/>
  </r>
  <r>
    <x v="0"/>
    <n v="3574"/>
    <n v="1576"/>
  </r>
  <r>
    <x v="0"/>
    <n v="3659"/>
    <n v="7979"/>
  </r>
  <r>
    <x v="0"/>
    <n v="1991"/>
    <n v="6300"/>
  </r>
  <r>
    <x v="0"/>
    <n v="2043"/>
    <n v="1003"/>
  </r>
  <r>
    <x v="0"/>
    <n v="882"/>
    <n v="8238"/>
  </r>
  <r>
    <x v="0"/>
    <n v="4243"/>
    <n v="8261"/>
  </r>
  <r>
    <x v="0"/>
    <n v="2218"/>
    <n v="7729"/>
  </r>
  <r>
    <x v="0"/>
    <n v="97"/>
    <n v="8616"/>
  </r>
  <r>
    <x v="0"/>
    <n v="4928"/>
    <n v="9734"/>
  </r>
  <r>
    <x v="0"/>
    <n v="1982"/>
    <n v="2086"/>
  </r>
  <r>
    <x v="0"/>
    <n v="510"/>
    <n v="8721"/>
  </r>
  <r>
    <x v="0"/>
    <n v="2508"/>
    <n v="1075"/>
  </r>
  <r>
    <x v="0"/>
    <n v="4004"/>
    <n v="2690"/>
  </r>
  <r>
    <x v="0"/>
    <n v="494"/>
    <n v="7654"/>
  </r>
  <r>
    <x v="0"/>
    <n v="460"/>
    <n v="7577"/>
  </r>
  <r>
    <x v="0"/>
    <n v="1416"/>
    <n v="9814"/>
  </r>
  <r>
    <x v="0"/>
    <n v="4798"/>
    <n v="5423"/>
  </r>
  <r>
    <x v="0"/>
    <n v="732"/>
    <n v="2660"/>
  </r>
  <r>
    <x v="0"/>
    <n v="4008"/>
    <n v="4206"/>
  </r>
  <r>
    <x v="0"/>
    <n v="4868"/>
    <n v="5269"/>
  </r>
  <r>
    <x v="0"/>
    <n v="2600"/>
    <n v="7922"/>
  </r>
  <r>
    <x v="0"/>
    <n v="3247"/>
    <n v="7829"/>
  </r>
  <r>
    <x v="0"/>
    <n v="941"/>
    <n v="1715"/>
  </r>
  <r>
    <x v="0"/>
    <n v="1934"/>
    <n v="2639"/>
  </r>
  <r>
    <x v="0"/>
    <n v="4650"/>
    <n v="1801"/>
  </r>
  <r>
    <x v="0"/>
    <n v="4450"/>
    <n v="9163"/>
  </r>
  <r>
    <x v="0"/>
    <n v="2395"/>
    <n v="1284"/>
  </r>
  <r>
    <x v="0"/>
    <n v="4504"/>
    <n v="8774"/>
  </r>
  <r>
    <x v="0"/>
    <n v="3015"/>
    <n v="3866"/>
  </r>
  <r>
    <x v="0"/>
    <n v="4971"/>
    <n v="4477"/>
  </r>
  <r>
    <x v="0"/>
    <n v="2377"/>
    <n v="4829"/>
  </r>
  <r>
    <x v="0"/>
    <n v="212"/>
    <n v="1257"/>
  </r>
  <r>
    <x v="0"/>
    <n v="188"/>
    <n v="1897"/>
  </r>
  <r>
    <x v="0"/>
    <n v="4435"/>
    <n v="3603"/>
  </r>
  <r>
    <x v="0"/>
    <n v="1454"/>
    <n v="9256"/>
  </r>
  <r>
    <x v="0"/>
    <n v="2841"/>
    <n v="9469"/>
  </r>
  <r>
    <x v="0"/>
    <n v="1626"/>
    <n v="7136"/>
  </r>
  <r>
    <x v="0"/>
    <n v="111"/>
    <n v="2321"/>
  </r>
  <r>
    <x v="0"/>
    <n v="450"/>
    <n v="4243"/>
  </r>
  <r>
    <x v="0"/>
    <n v="3325"/>
    <n v="8015"/>
  </r>
  <r>
    <x v="0"/>
    <n v="3059"/>
    <n v="3440"/>
  </r>
  <r>
    <x v="0"/>
    <n v="1065"/>
    <n v="9914"/>
  </r>
  <r>
    <x v="0"/>
    <n v="2575"/>
    <n v="5045"/>
  </r>
  <r>
    <x v="0"/>
    <n v="1690"/>
    <n v="1379"/>
  </r>
  <r>
    <x v="0"/>
    <n v="1382"/>
    <n v="6099"/>
  </r>
  <r>
    <x v="0"/>
    <n v="1050"/>
    <n v="4696"/>
  </r>
  <r>
    <x v="0"/>
    <n v="2328"/>
    <n v="4808"/>
  </r>
  <r>
    <x v="0"/>
    <n v="4414"/>
    <n v="3633"/>
  </r>
  <r>
    <x v="0"/>
    <n v="3980"/>
    <n v="4979"/>
  </r>
  <r>
    <x v="0"/>
    <n v="3596"/>
    <n v="2214"/>
  </r>
  <r>
    <x v="0"/>
    <n v="1150"/>
    <n v="6606"/>
  </r>
  <r>
    <x v="0"/>
    <n v="1858"/>
    <n v="4246"/>
  </r>
  <r>
    <x v="0"/>
    <n v="1926"/>
    <n v="2836"/>
  </r>
  <r>
    <x v="0"/>
    <n v="2933"/>
    <n v="6963"/>
  </r>
  <r>
    <x v="0"/>
    <n v="2397"/>
    <n v="2243"/>
  </r>
  <r>
    <x v="0"/>
    <n v="1946"/>
    <n v="5081"/>
  </r>
  <r>
    <x v="0"/>
    <n v="2576"/>
    <n v="4171"/>
  </r>
  <r>
    <x v="0"/>
    <n v="2259"/>
    <n v="7399"/>
  </r>
  <r>
    <x v="0"/>
    <n v="1068"/>
    <n v="1110"/>
  </r>
  <r>
    <x v="0"/>
    <n v="2928"/>
    <n v="5630"/>
  </r>
  <r>
    <x v="0"/>
    <n v="3674"/>
    <n v="9430"/>
  </r>
  <r>
    <x v="0"/>
    <n v="130"/>
    <n v="7436"/>
  </r>
  <r>
    <x v="0"/>
    <n v="4873"/>
    <n v="2147"/>
  </r>
  <r>
    <x v="0"/>
    <n v="96"/>
    <n v="3264"/>
  </r>
  <r>
    <x v="0"/>
    <n v="110"/>
    <n v="1214"/>
  </r>
  <r>
    <x v="0"/>
    <n v="225"/>
    <n v="6050"/>
  </r>
  <r>
    <x v="0"/>
    <n v="4083"/>
    <n v="7395"/>
  </r>
  <r>
    <x v="0"/>
    <n v="2714"/>
    <n v="3904"/>
  </r>
  <r>
    <x v="0"/>
    <n v="674"/>
    <n v="6545"/>
  </r>
  <r>
    <x v="0"/>
    <n v="948"/>
    <n v="3131"/>
  </r>
  <r>
    <x v="0"/>
    <n v="933"/>
    <n v="8589"/>
  </r>
  <r>
    <x v="0"/>
    <n v="2914"/>
    <n v="2908"/>
  </r>
  <r>
    <x v="0"/>
    <n v="3928"/>
    <n v="5209"/>
  </r>
  <r>
    <x v="0"/>
    <n v="2559"/>
    <n v="2319"/>
  </r>
  <r>
    <x v="0"/>
    <n v="2571"/>
    <n v="9026"/>
  </r>
  <r>
    <x v="0"/>
    <n v="3834"/>
    <n v="2723"/>
  </r>
  <r>
    <x v="0"/>
    <n v="4714"/>
    <n v="5487"/>
  </r>
  <r>
    <x v="0"/>
    <n v="4800"/>
    <n v="4656"/>
  </r>
  <r>
    <x v="0"/>
    <n v="1610"/>
    <n v="5718"/>
  </r>
  <r>
    <x v="0"/>
    <n v="2780"/>
    <n v="1215"/>
  </r>
  <r>
    <x v="0"/>
    <n v="639"/>
    <n v="3427"/>
  </r>
  <r>
    <x v="0"/>
    <n v="1960"/>
    <n v="2428"/>
  </r>
  <r>
    <x v="0"/>
    <n v="1764"/>
    <n v="1947"/>
  </r>
  <r>
    <x v="0"/>
    <n v="967"/>
    <n v="5036"/>
  </r>
  <r>
    <x v="0"/>
    <n v="2086"/>
    <n v="5857"/>
  </r>
  <r>
    <x v="0"/>
    <n v="3288"/>
    <n v="8770"/>
  </r>
  <r>
    <x v="0"/>
    <n v="1486"/>
    <n v="4118"/>
  </r>
  <r>
    <x v="0"/>
    <n v="223"/>
    <n v="7162"/>
  </r>
  <r>
    <x v="0"/>
    <n v="2394"/>
    <n v="9278"/>
  </r>
  <r>
    <x v="0"/>
    <n v="4329"/>
    <n v="5406"/>
  </r>
  <r>
    <x v="0"/>
    <n v="2193"/>
    <n v="4641"/>
  </r>
  <r>
    <x v="0"/>
    <n v="3730"/>
    <n v="3969"/>
  </r>
  <r>
    <x v="0"/>
    <n v="2234"/>
    <n v="3078"/>
  </r>
  <r>
    <x v="0"/>
    <n v="718"/>
    <n v="2808"/>
  </r>
  <r>
    <x v="0"/>
    <n v="1594"/>
    <n v="7484"/>
  </r>
  <r>
    <x v="0"/>
    <n v="681"/>
    <n v="2396"/>
  </r>
  <r>
    <x v="0"/>
    <n v="428"/>
    <n v="2472"/>
  </r>
  <r>
    <x v="0"/>
    <n v="2542"/>
    <n v="7939"/>
  </r>
  <r>
    <x v="0"/>
    <n v="4763"/>
    <n v="8269"/>
  </r>
  <r>
    <x v="0"/>
    <n v="486"/>
    <n v="9073"/>
  </r>
  <r>
    <x v="0"/>
    <n v="4327"/>
    <n v="9879"/>
  </r>
  <r>
    <x v="0"/>
    <n v="2938"/>
    <n v="3822"/>
  </r>
  <r>
    <x v="0"/>
    <n v="1429"/>
    <n v="9183"/>
  </r>
  <r>
    <x v="0"/>
    <n v="2897"/>
    <n v="8674"/>
  </r>
  <r>
    <x v="0"/>
    <n v="274"/>
    <n v="2481"/>
  </r>
  <r>
    <x v="0"/>
    <n v="3910"/>
    <n v="8729"/>
  </r>
  <r>
    <x v="0"/>
    <n v="130"/>
    <n v="5534"/>
  </r>
  <r>
    <x v="0"/>
    <n v="2557"/>
    <n v="9785"/>
  </r>
  <r>
    <x v="0"/>
    <n v="3823"/>
    <n v="9609"/>
  </r>
  <r>
    <x v="0"/>
    <n v="4048"/>
    <n v="2829"/>
  </r>
  <r>
    <x v="0"/>
    <n v="3173"/>
    <n v="1714"/>
  </r>
  <r>
    <x v="0"/>
    <n v="3289"/>
    <n v="4475"/>
  </r>
  <r>
    <x v="0"/>
    <n v="4377"/>
    <n v="9820"/>
  </r>
  <r>
    <x v="0"/>
    <n v="995"/>
    <n v="3261"/>
  </r>
  <r>
    <x v="0"/>
    <n v="2299"/>
    <n v="6130"/>
  </r>
  <r>
    <x v="0"/>
    <n v="4644"/>
    <n v="9399"/>
  </r>
  <r>
    <x v="0"/>
    <n v="746"/>
    <n v="6047"/>
  </r>
  <r>
    <x v="0"/>
    <n v="2835"/>
    <n v="7789"/>
  </r>
  <r>
    <x v="0"/>
    <n v="3626"/>
    <n v="6111"/>
  </r>
  <r>
    <x v="0"/>
    <n v="1000"/>
    <n v="4968"/>
  </r>
  <r>
    <x v="0"/>
    <n v="368"/>
    <n v="2739"/>
  </r>
  <r>
    <x v="0"/>
    <n v="2229"/>
    <n v="6974"/>
  </r>
  <r>
    <x v="0"/>
    <n v="2643"/>
    <n v="1784"/>
  </r>
  <r>
    <x v="0"/>
    <n v="2647"/>
    <n v="8077"/>
  </r>
  <r>
    <x v="0"/>
    <n v="4497"/>
    <n v="2727"/>
  </r>
  <r>
    <x v="0"/>
    <n v="1121"/>
    <n v="7661"/>
  </r>
  <r>
    <x v="0"/>
    <n v="1525"/>
    <n v="5083"/>
  </r>
  <r>
    <x v="0"/>
    <n v="3488"/>
    <n v="7275"/>
  </r>
  <r>
    <x v="0"/>
    <n v="3009"/>
    <n v="7316"/>
  </r>
  <r>
    <x v="0"/>
    <n v="15"/>
    <n v="4497"/>
  </r>
  <r>
    <x v="0"/>
    <n v="3007"/>
    <n v="8685"/>
  </r>
  <r>
    <x v="0"/>
    <n v="4588"/>
    <n v="8583"/>
  </r>
  <r>
    <x v="0"/>
    <n v="73"/>
    <n v="1062"/>
  </r>
  <r>
    <x v="0"/>
    <n v="4635"/>
    <n v="2593"/>
  </r>
  <r>
    <x v="0"/>
    <n v="1882"/>
    <n v="3951"/>
  </r>
  <r>
    <x v="0"/>
    <n v="1690"/>
    <n v="8580"/>
  </r>
  <r>
    <x v="0"/>
    <n v="2572"/>
    <n v="4372"/>
  </r>
  <r>
    <x v="0"/>
    <n v="3865"/>
    <n v="4463"/>
  </r>
  <r>
    <x v="0"/>
    <n v="380"/>
    <n v="7498"/>
  </r>
  <r>
    <x v="0"/>
    <n v="3566"/>
    <n v="9618"/>
  </r>
  <r>
    <x v="0"/>
    <n v="1835"/>
    <n v="1813"/>
  </r>
  <r>
    <x v="0"/>
    <n v="1882"/>
    <n v="3009"/>
  </r>
  <r>
    <x v="0"/>
    <n v="525"/>
    <n v="8210"/>
  </r>
  <r>
    <x v="0"/>
    <n v="1025"/>
    <n v="8439"/>
  </r>
  <r>
    <x v="0"/>
    <n v="2508"/>
    <n v="8310"/>
  </r>
  <r>
    <x v="0"/>
    <n v="1546"/>
    <n v="6369"/>
  </r>
  <r>
    <x v="0"/>
    <n v="1955"/>
    <n v="5721"/>
  </r>
  <r>
    <x v="0"/>
    <n v="4889"/>
    <n v="4204"/>
  </r>
  <r>
    <x v="0"/>
    <n v="1185"/>
    <n v="5666"/>
  </r>
  <r>
    <x v="0"/>
    <n v="3040"/>
    <n v="5943"/>
  </r>
  <r>
    <x v="0"/>
    <n v="4729"/>
    <n v="3202"/>
  </r>
  <r>
    <x v="0"/>
    <n v="4193"/>
    <n v="4512"/>
  </r>
  <r>
    <x v="0"/>
    <n v="4626"/>
    <n v="2075"/>
  </r>
  <r>
    <x v="0"/>
    <n v="60"/>
    <n v="4057"/>
  </r>
  <r>
    <x v="0"/>
    <n v="2597"/>
    <n v="5537"/>
  </r>
  <r>
    <x v="0"/>
    <n v="260"/>
    <n v="9520"/>
  </r>
  <r>
    <x v="0"/>
    <n v="1544"/>
    <n v="1081"/>
  </r>
  <r>
    <x v="0"/>
    <n v="4528"/>
    <n v="7621"/>
  </r>
  <r>
    <x v="0"/>
    <n v="1127"/>
    <n v="4558"/>
  </r>
  <r>
    <x v="0"/>
    <n v="4542"/>
    <n v="6628"/>
  </r>
  <r>
    <x v="0"/>
    <n v="1436"/>
    <n v="7643"/>
  </r>
  <r>
    <x v="0"/>
    <n v="4438"/>
    <n v="4709"/>
  </r>
  <r>
    <x v="0"/>
    <n v="3130"/>
    <n v="8408"/>
  </r>
  <r>
    <x v="0"/>
    <n v="3379"/>
    <n v="3530"/>
  </r>
  <r>
    <x v="0"/>
    <n v="3696"/>
    <n v="3779"/>
  </r>
  <r>
    <x v="0"/>
    <n v="2416"/>
    <n v="8564"/>
  </r>
  <r>
    <x v="0"/>
    <n v="2856"/>
    <n v="8731"/>
  </r>
  <r>
    <x v="0"/>
    <n v="4177"/>
    <n v="5000"/>
  </r>
  <r>
    <x v="0"/>
    <n v="1912"/>
    <n v="3882"/>
  </r>
  <r>
    <x v="0"/>
    <n v="2388"/>
    <n v="4551"/>
  </r>
  <r>
    <x v="0"/>
    <n v="4216"/>
    <n v="7970"/>
  </r>
  <r>
    <x v="0"/>
    <n v="599"/>
    <n v="2466"/>
  </r>
  <r>
    <x v="0"/>
    <n v="804"/>
    <n v="1303"/>
  </r>
  <r>
    <x v="0"/>
    <n v="4565"/>
    <n v="9832"/>
  </r>
  <r>
    <x v="0"/>
    <n v="1095"/>
    <n v="3618"/>
  </r>
  <r>
    <x v="0"/>
    <n v="1512"/>
    <n v="7424"/>
  </r>
  <r>
    <x v="0"/>
    <n v="1422"/>
    <n v="8414"/>
  </r>
  <r>
    <x v="0"/>
    <n v="147"/>
    <n v="5688"/>
  </r>
  <r>
    <x v="0"/>
    <n v="4317"/>
    <n v="2062"/>
  </r>
  <r>
    <x v="0"/>
    <n v="3197"/>
    <n v="5031"/>
  </r>
  <r>
    <x v="0"/>
    <n v="1413"/>
    <n v="1162"/>
  </r>
  <r>
    <x v="0"/>
    <n v="747"/>
    <n v="6564"/>
  </r>
  <r>
    <x v="0"/>
    <n v="1099"/>
    <n v="9298"/>
  </r>
  <r>
    <x v="0"/>
    <n v="585"/>
    <n v="4216"/>
  </r>
  <r>
    <x v="0"/>
    <n v="615"/>
    <n v="3677"/>
  </r>
  <r>
    <x v="0"/>
    <n v="2634"/>
    <n v="8453"/>
  </r>
  <r>
    <x v="0"/>
    <n v="136"/>
    <n v="6231"/>
  </r>
  <r>
    <x v="0"/>
    <n v="4566"/>
    <n v="1481"/>
  </r>
  <r>
    <x v="0"/>
    <n v="3281"/>
    <n v="7400"/>
  </r>
  <r>
    <x v="0"/>
    <n v="1559"/>
    <n v="7447"/>
  </r>
  <r>
    <x v="0"/>
    <n v="3113"/>
    <n v="4597"/>
  </r>
  <r>
    <x v="0"/>
    <n v="3836"/>
    <n v="3173"/>
  </r>
  <r>
    <x v="0"/>
    <n v="1522"/>
    <n v="9514"/>
  </r>
  <r>
    <x v="0"/>
    <n v="1756"/>
    <n v="4985"/>
  </r>
  <r>
    <x v="0"/>
    <n v="1542"/>
    <n v="4486"/>
  </r>
  <r>
    <x v="0"/>
    <n v="77"/>
    <n v="8756"/>
  </r>
  <r>
    <x v="0"/>
    <n v="4356"/>
    <n v="9121"/>
  </r>
  <r>
    <x v="0"/>
    <n v="1989"/>
    <n v="6471"/>
  </r>
  <r>
    <x v="0"/>
    <n v="906"/>
    <n v="6601"/>
  </r>
  <r>
    <x v="0"/>
    <n v="4108"/>
    <n v="4340"/>
  </r>
  <r>
    <x v="0"/>
    <n v="333"/>
    <n v="5112"/>
  </r>
  <r>
    <x v="0"/>
    <n v="3847"/>
    <n v="5700"/>
  </r>
  <r>
    <x v="0"/>
    <n v="1423"/>
    <n v="8617"/>
  </r>
  <r>
    <x v="0"/>
    <n v="595"/>
    <n v="9149"/>
  </r>
  <r>
    <x v="0"/>
    <n v="4445"/>
    <n v="8651"/>
  </r>
  <r>
    <x v="0"/>
    <n v="144"/>
    <n v="1495"/>
  </r>
  <r>
    <x v="0"/>
    <n v="3428"/>
    <n v="7359"/>
  </r>
  <r>
    <x v="0"/>
    <n v="4919"/>
    <n v="6525"/>
  </r>
  <r>
    <x v="0"/>
    <n v="4905"/>
    <n v="7207"/>
  </r>
  <r>
    <x v="0"/>
    <n v="428"/>
    <n v="2361"/>
  </r>
  <r>
    <x v="0"/>
    <n v="1634"/>
    <n v="8766"/>
  </r>
  <r>
    <x v="0"/>
    <n v="4085"/>
    <n v="7236"/>
  </r>
  <r>
    <x v="0"/>
    <n v="2790"/>
    <n v="8605"/>
  </r>
  <r>
    <x v="0"/>
    <n v="2440"/>
    <n v="1055"/>
  </r>
  <r>
    <x v="0"/>
    <n v="2741"/>
    <n v="7986"/>
  </r>
  <r>
    <x v="0"/>
    <n v="4338"/>
    <n v="6170"/>
  </r>
  <r>
    <x v="0"/>
    <n v="2039"/>
    <n v="7172"/>
  </r>
  <r>
    <x v="0"/>
    <n v="2097"/>
    <n v="7408"/>
  </r>
  <r>
    <x v="0"/>
    <n v="2384"/>
    <n v="7274"/>
  </r>
  <r>
    <x v="0"/>
    <n v="4159"/>
    <n v="6001"/>
  </r>
  <r>
    <x v="0"/>
    <n v="2002"/>
    <n v="9418"/>
  </r>
  <r>
    <x v="0"/>
    <n v="782"/>
    <n v="9354"/>
  </r>
  <r>
    <x v="0"/>
    <n v="4056"/>
    <n v="8122"/>
  </r>
  <r>
    <x v="0"/>
    <n v="1341"/>
    <n v="1765"/>
  </r>
  <r>
    <x v="0"/>
    <n v="3028"/>
    <n v="5352"/>
  </r>
  <r>
    <x v="0"/>
    <n v="4799"/>
    <n v="7578"/>
  </r>
  <r>
    <x v="0"/>
    <n v="4556"/>
    <n v="8912"/>
  </r>
  <r>
    <x v="0"/>
    <n v="2965"/>
    <n v="6641"/>
  </r>
  <r>
    <x v="0"/>
    <n v="3556"/>
    <n v="9664"/>
  </r>
  <r>
    <x v="0"/>
    <n v="2901"/>
    <n v="9134"/>
  </r>
  <r>
    <x v="0"/>
    <n v="3520"/>
    <n v="6663"/>
  </r>
  <r>
    <x v="0"/>
    <n v="3983"/>
    <n v="9800"/>
  </r>
  <r>
    <x v="0"/>
    <n v="4632"/>
    <n v="2363"/>
  </r>
  <r>
    <x v="0"/>
    <n v="314"/>
    <n v="4875"/>
  </r>
  <r>
    <x v="0"/>
    <n v="4012"/>
    <n v="8961"/>
  </r>
  <r>
    <x v="0"/>
    <n v="2356"/>
    <n v="1539"/>
  </r>
  <r>
    <x v="0"/>
    <n v="1824"/>
    <n v="4037"/>
  </r>
  <r>
    <x v="0"/>
    <n v="4236"/>
    <n v="4239"/>
  </r>
  <r>
    <x v="0"/>
    <n v="2102"/>
    <n v="4364"/>
  </r>
  <r>
    <x v="0"/>
    <n v="1876"/>
    <n v="8946"/>
  </r>
  <r>
    <x v="0"/>
    <n v="242"/>
    <n v="5911"/>
  </r>
  <r>
    <x v="0"/>
    <n v="4531"/>
    <n v="8033"/>
  </r>
  <r>
    <x v="0"/>
    <n v="959"/>
    <n v="6603"/>
  </r>
  <r>
    <x v="0"/>
    <n v="2156"/>
    <n v="9630"/>
  </r>
  <r>
    <x v="0"/>
    <n v="1442"/>
    <n v="1691"/>
  </r>
  <r>
    <x v="0"/>
    <n v="4586"/>
    <n v="5590"/>
  </r>
  <r>
    <x v="0"/>
    <n v="4170"/>
    <n v="8645"/>
  </r>
  <r>
    <x v="0"/>
    <n v="1294"/>
    <n v="7663"/>
  </r>
  <r>
    <x v="0"/>
    <n v="2460"/>
    <n v="2647"/>
  </r>
  <r>
    <x v="0"/>
    <n v="3276"/>
    <n v="6539"/>
  </r>
  <r>
    <x v="0"/>
    <n v="941"/>
    <n v="3472"/>
  </r>
  <r>
    <x v="0"/>
    <n v="4062"/>
    <n v="4314"/>
  </r>
  <r>
    <x v="0"/>
    <n v="4322"/>
    <n v="6739"/>
  </r>
  <r>
    <x v="0"/>
    <n v="1456"/>
    <n v="6368"/>
  </r>
  <r>
    <x v="0"/>
    <n v="1281"/>
    <n v="7309"/>
  </r>
  <r>
    <x v="0"/>
    <n v="1926"/>
    <n v="3976"/>
  </r>
  <r>
    <x v="0"/>
    <n v="1368"/>
    <n v="7230"/>
  </r>
  <r>
    <x v="0"/>
    <n v="571"/>
    <n v="8888"/>
  </r>
  <r>
    <x v="0"/>
    <n v="3807"/>
    <n v="1194"/>
  </r>
  <r>
    <x v="0"/>
    <n v="3424"/>
    <n v="6983"/>
  </r>
  <r>
    <x v="0"/>
    <n v="1428"/>
    <n v="1413"/>
  </r>
  <r>
    <x v="0"/>
    <n v="2387"/>
    <n v="9509"/>
  </r>
  <r>
    <x v="0"/>
    <n v="218"/>
    <n v="6330"/>
  </r>
  <r>
    <x v="0"/>
    <n v="68"/>
    <n v="2504"/>
  </r>
  <r>
    <x v="0"/>
    <n v="2749"/>
    <n v="6593"/>
  </r>
  <r>
    <x v="0"/>
    <n v="4942"/>
    <n v="9537"/>
  </r>
  <r>
    <x v="0"/>
    <n v="1813"/>
    <n v="9628"/>
  </r>
  <r>
    <x v="0"/>
    <n v="318"/>
    <n v="4024"/>
  </r>
  <r>
    <x v="0"/>
    <n v="4216"/>
    <n v="5321"/>
  </r>
  <r>
    <x v="0"/>
    <n v="3003"/>
    <n v="3926"/>
  </r>
  <r>
    <x v="0"/>
    <n v="342"/>
    <n v="8738"/>
  </r>
  <r>
    <x v="0"/>
    <n v="2124"/>
    <n v="2701"/>
  </r>
  <r>
    <x v="0"/>
    <n v="1016"/>
    <n v="5339"/>
  </r>
  <r>
    <x v="0"/>
    <n v="1925"/>
    <n v="1612"/>
  </r>
  <r>
    <x v="0"/>
    <n v="3773"/>
    <n v="5407"/>
  </r>
  <r>
    <x v="0"/>
    <n v="1231"/>
    <n v="8225"/>
  </r>
  <r>
    <x v="0"/>
    <n v="62"/>
    <n v="4714"/>
  </r>
  <r>
    <x v="0"/>
    <n v="1580"/>
    <n v="3826"/>
  </r>
  <r>
    <x v="0"/>
    <n v="74"/>
    <n v="3781"/>
  </r>
  <r>
    <x v="0"/>
    <n v="3452"/>
    <n v="5635"/>
  </r>
  <r>
    <x v="0"/>
    <n v="4792"/>
    <n v="2291"/>
  </r>
  <r>
    <x v="0"/>
    <n v="4378"/>
    <n v="3119"/>
  </r>
  <r>
    <x v="0"/>
    <n v="1713"/>
    <n v="5280"/>
  </r>
  <r>
    <x v="0"/>
    <n v="1201"/>
    <n v="2546"/>
  </r>
  <r>
    <x v="0"/>
    <n v="416"/>
    <n v="5975"/>
  </r>
  <r>
    <x v="0"/>
    <n v="17"/>
    <n v="9113"/>
  </r>
  <r>
    <x v="0"/>
    <n v="4820"/>
    <n v="6250"/>
  </r>
  <r>
    <x v="0"/>
    <n v="1758"/>
    <n v="6190"/>
  </r>
  <r>
    <x v="0"/>
    <n v="2568"/>
    <n v="5713"/>
  </r>
  <r>
    <x v="0"/>
    <n v="4235"/>
    <n v="1932"/>
  </r>
  <r>
    <x v="0"/>
    <n v="3775"/>
    <n v="6527"/>
  </r>
  <r>
    <x v="0"/>
    <n v="92"/>
    <n v="9363"/>
  </r>
  <r>
    <x v="0"/>
    <n v="72"/>
    <n v="5019"/>
  </r>
  <r>
    <x v="0"/>
    <n v="2488"/>
    <n v="9258"/>
  </r>
  <r>
    <x v="0"/>
    <n v="2666"/>
    <n v="7512"/>
  </r>
  <r>
    <x v="0"/>
    <n v="4221"/>
    <n v="8195"/>
  </r>
  <r>
    <x v="0"/>
    <n v="4569"/>
    <n v="8242"/>
  </r>
  <r>
    <x v="0"/>
    <n v="2695"/>
    <n v="2220"/>
  </r>
  <r>
    <x v="0"/>
    <n v="48"/>
    <n v="9308"/>
  </r>
  <r>
    <x v="0"/>
    <n v="1526"/>
    <n v="3437"/>
  </r>
  <r>
    <x v="0"/>
    <n v="4934"/>
    <n v="8305"/>
  </r>
  <r>
    <x v="0"/>
    <n v="628"/>
    <n v="6773"/>
  </r>
  <r>
    <x v="0"/>
    <n v="167"/>
    <n v="3010"/>
  </r>
  <r>
    <x v="0"/>
    <n v="1309"/>
    <n v="3622"/>
  </r>
  <r>
    <x v="0"/>
    <n v="710"/>
    <n v="6006"/>
  </r>
  <r>
    <x v="0"/>
    <n v="106"/>
    <n v="1338"/>
  </r>
  <r>
    <x v="0"/>
    <n v="2652"/>
    <n v="6722"/>
  </r>
  <r>
    <x v="0"/>
    <n v="4879"/>
    <n v="5871"/>
  </r>
  <r>
    <x v="0"/>
    <n v="1426"/>
    <n v="9290"/>
  </r>
  <r>
    <x v="0"/>
    <n v="1504"/>
    <n v="8567"/>
  </r>
  <r>
    <x v="0"/>
    <n v="1518"/>
    <n v="5253"/>
  </r>
  <r>
    <x v="0"/>
    <n v="708"/>
    <n v="8172"/>
  </r>
  <r>
    <x v="0"/>
    <n v="4651"/>
    <n v="2154"/>
  </r>
  <r>
    <x v="0"/>
    <n v="4397"/>
    <n v="5013"/>
  </r>
  <r>
    <x v="0"/>
    <n v="1360"/>
    <n v="4211"/>
  </r>
  <r>
    <x v="0"/>
    <n v="4155"/>
    <n v="4408"/>
  </r>
  <r>
    <x v="0"/>
    <n v="1289"/>
    <n v="8473"/>
  </r>
  <r>
    <x v="0"/>
    <n v="2922"/>
    <n v="7510"/>
  </r>
  <r>
    <x v="0"/>
    <n v="28"/>
    <n v="5376"/>
  </r>
  <r>
    <x v="0"/>
    <n v="3083"/>
    <n v="8005"/>
  </r>
  <r>
    <x v="0"/>
    <n v="547"/>
    <n v="7439"/>
  </r>
  <r>
    <x v="0"/>
    <n v="239"/>
    <n v="3699"/>
  </r>
  <r>
    <x v="0"/>
    <n v="3516"/>
    <n v="3162"/>
  </r>
  <r>
    <x v="0"/>
    <n v="4031"/>
    <n v="8798"/>
  </r>
  <r>
    <x v="0"/>
    <n v="3408"/>
    <n v="6400"/>
  </r>
  <r>
    <x v="0"/>
    <n v="3849"/>
    <n v="9404"/>
  </r>
  <r>
    <x v="0"/>
    <n v="1813"/>
    <n v="8151"/>
  </r>
  <r>
    <x v="0"/>
    <n v="2084"/>
    <n v="7742"/>
  </r>
  <r>
    <x v="0"/>
    <n v="749"/>
    <n v="4553"/>
  </r>
  <r>
    <x v="0"/>
    <n v="3157"/>
    <n v="6919"/>
  </r>
  <r>
    <x v="0"/>
    <n v="173"/>
    <n v="7168"/>
  </r>
  <r>
    <x v="0"/>
    <n v="2925"/>
    <n v="6474"/>
  </r>
  <r>
    <x v="0"/>
    <n v="3182"/>
    <n v="4242"/>
  </r>
  <r>
    <x v="0"/>
    <n v="2432"/>
    <n v="3395"/>
  </r>
  <r>
    <x v="0"/>
    <n v="414"/>
    <n v="8694"/>
  </r>
  <r>
    <x v="0"/>
    <n v="888"/>
    <n v="7150"/>
  </r>
  <r>
    <x v="0"/>
    <n v="1058"/>
    <n v="4111"/>
  </r>
  <r>
    <x v="0"/>
    <n v="2067"/>
    <n v="3532"/>
  </r>
  <r>
    <x v="0"/>
    <n v="3763"/>
    <n v="5375"/>
  </r>
  <r>
    <x v="0"/>
    <n v="957"/>
    <n v="8881"/>
  </r>
  <r>
    <x v="0"/>
    <n v="3003"/>
    <n v="1235"/>
  </r>
  <r>
    <x v="0"/>
    <n v="354"/>
    <n v="2533"/>
  </r>
  <r>
    <x v="0"/>
    <n v="4922"/>
    <n v="2734"/>
  </r>
  <r>
    <x v="0"/>
    <n v="2083"/>
    <n v="4129"/>
  </r>
  <r>
    <x v="0"/>
    <n v="2098"/>
    <n v="3762"/>
  </r>
  <r>
    <x v="0"/>
    <n v="2022"/>
    <n v="4341"/>
  </r>
  <r>
    <x v="0"/>
    <n v="3791"/>
    <n v="6638"/>
  </r>
  <r>
    <x v="0"/>
    <n v="728"/>
    <n v="5861"/>
  </r>
  <r>
    <x v="0"/>
    <n v="3448"/>
    <n v="8815"/>
  </r>
  <r>
    <x v="0"/>
    <n v="3930"/>
    <n v="8793"/>
  </r>
  <r>
    <x v="0"/>
    <n v="3702"/>
    <n v="3469"/>
  </r>
  <r>
    <x v="0"/>
    <n v="2400"/>
    <n v="3654"/>
  </r>
  <r>
    <x v="0"/>
    <n v="548"/>
    <n v="9555"/>
  </r>
  <r>
    <x v="0"/>
    <n v="4702"/>
    <n v="4028"/>
  </r>
  <r>
    <x v="0"/>
    <n v="2821"/>
    <n v="9499"/>
  </r>
  <r>
    <x v="0"/>
    <n v="484"/>
    <n v="8628"/>
  </r>
  <r>
    <x v="0"/>
    <n v="2871"/>
    <n v="9942"/>
  </r>
  <r>
    <x v="0"/>
    <n v="4783"/>
    <n v="4044"/>
  </r>
  <r>
    <x v="0"/>
    <n v="2725"/>
    <n v="8143"/>
  </r>
  <r>
    <x v="0"/>
    <n v="4400"/>
    <n v="3984"/>
  </r>
  <r>
    <x v="0"/>
    <n v="2218"/>
    <n v="9294"/>
  </r>
  <r>
    <x v="0"/>
    <n v="4552"/>
    <n v="4769"/>
  </r>
  <r>
    <x v="0"/>
    <n v="4125"/>
    <n v="8864"/>
  </r>
  <r>
    <x v="0"/>
    <n v="424"/>
    <n v="1857"/>
  </r>
  <r>
    <x v="0"/>
    <n v="2418"/>
    <n v="5566"/>
  </r>
  <r>
    <x v="0"/>
    <n v="756"/>
    <n v="1373"/>
  </r>
  <r>
    <x v="0"/>
    <n v="754"/>
    <n v="6345"/>
  </r>
  <r>
    <x v="0"/>
    <n v="3476"/>
    <n v="3234"/>
  </r>
  <r>
    <x v="0"/>
    <n v="290"/>
    <n v="6998"/>
  </r>
  <r>
    <x v="0"/>
    <n v="987"/>
    <n v="5809"/>
  </r>
  <r>
    <x v="0"/>
    <n v="4972"/>
    <n v="6522"/>
  </r>
  <r>
    <x v="0"/>
    <n v="1628"/>
    <n v="3892"/>
  </r>
  <r>
    <x v="0"/>
    <n v="1285"/>
    <n v="4427"/>
  </r>
  <r>
    <x v="0"/>
    <n v="1960"/>
    <n v="8145"/>
  </r>
  <r>
    <x v="0"/>
    <n v="771"/>
    <n v="1150"/>
  </r>
  <r>
    <x v="0"/>
    <n v="1785"/>
    <n v="7366"/>
  </r>
  <r>
    <x v="0"/>
    <n v="2760"/>
    <n v="3004"/>
  </r>
  <r>
    <x v="0"/>
    <n v="388"/>
    <n v="9934"/>
  </r>
  <r>
    <x v="0"/>
    <n v="2385"/>
    <n v="1228"/>
  </r>
  <r>
    <x v="0"/>
    <n v="3714"/>
    <n v="5806"/>
  </r>
  <r>
    <x v="0"/>
    <n v="2015"/>
    <n v="7538"/>
  </r>
  <r>
    <x v="0"/>
    <n v="3201"/>
    <n v="1035"/>
  </r>
  <r>
    <x v="0"/>
    <n v="3426"/>
    <n v="8399"/>
  </r>
  <r>
    <x v="0"/>
    <n v="3366"/>
    <n v="1912"/>
  </r>
  <r>
    <x v="0"/>
    <n v="125"/>
    <n v="6604"/>
  </r>
  <r>
    <x v="0"/>
    <n v="4037"/>
    <n v="8952"/>
  </r>
  <r>
    <x v="0"/>
    <n v="4348"/>
    <n v="2549"/>
  </r>
  <r>
    <x v="0"/>
    <n v="546"/>
    <n v="8954"/>
  </r>
  <r>
    <x v="0"/>
    <n v="2785"/>
    <n v="1922"/>
  </r>
  <r>
    <x v="0"/>
    <n v="3308"/>
    <n v="9861"/>
  </r>
  <r>
    <x v="0"/>
    <n v="527"/>
    <n v="4383"/>
  </r>
  <r>
    <x v="0"/>
    <n v="837"/>
    <n v="4328"/>
  </r>
  <r>
    <x v="0"/>
    <n v="371"/>
    <n v="4622"/>
  </r>
  <r>
    <x v="0"/>
    <n v="877"/>
    <n v="7828"/>
  </r>
  <r>
    <x v="0"/>
    <n v="4873"/>
    <n v="1393"/>
  </r>
  <r>
    <x v="0"/>
    <n v="4194"/>
    <n v="9239"/>
  </r>
  <r>
    <x v="0"/>
    <n v="3118"/>
    <n v="1636"/>
  </r>
  <r>
    <x v="0"/>
    <n v="2088"/>
    <n v="4401"/>
  </r>
  <r>
    <x v="0"/>
    <n v="3468"/>
    <n v="7135"/>
  </r>
  <r>
    <x v="0"/>
    <n v="3183"/>
    <n v="8923"/>
  </r>
  <r>
    <x v="0"/>
    <n v="4070"/>
    <n v="9748"/>
  </r>
  <r>
    <x v="0"/>
    <n v="4147"/>
    <n v="7046"/>
  </r>
  <r>
    <x v="0"/>
    <n v="255"/>
    <n v="9688"/>
  </r>
  <r>
    <x v="0"/>
    <n v="3278"/>
    <n v="6720"/>
  </r>
  <r>
    <x v="0"/>
    <n v="213"/>
    <n v="2766"/>
  </r>
  <r>
    <x v="0"/>
    <n v="2886"/>
    <n v="3847"/>
  </r>
  <r>
    <x v="0"/>
    <n v="1901"/>
    <n v="8554"/>
  </r>
  <r>
    <x v="0"/>
    <n v="4456"/>
    <n v="6569"/>
  </r>
  <r>
    <x v="0"/>
    <n v="237"/>
    <n v="6391"/>
  </r>
  <r>
    <x v="0"/>
    <n v="4659"/>
    <n v="4883"/>
  </r>
  <r>
    <x v="0"/>
    <n v="4906"/>
    <n v="4530"/>
  </r>
  <r>
    <x v="0"/>
    <n v="1155"/>
    <n v="6531"/>
  </r>
  <r>
    <x v="0"/>
    <n v="4378"/>
    <n v="9701"/>
  </r>
  <r>
    <x v="0"/>
    <n v="1674"/>
    <n v="4702"/>
  </r>
  <r>
    <x v="0"/>
    <n v="2407"/>
    <n v="3163"/>
  </r>
  <r>
    <x v="0"/>
    <n v="2636"/>
    <n v="8719"/>
  </r>
  <r>
    <x v="0"/>
    <n v="4020"/>
    <n v="1282"/>
  </r>
  <r>
    <x v="0"/>
    <n v="4127"/>
    <n v="4538"/>
  </r>
  <r>
    <x v="0"/>
    <n v="4503"/>
    <n v="9538"/>
  </r>
  <r>
    <x v="0"/>
    <n v="1080"/>
    <n v="5109"/>
  </r>
  <r>
    <x v="0"/>
    <n v="1610"/>
    <n v="7947"/>
  </r>
  <r>
    <x v="0"/>
    <n v="1535"/>
    <n v="7546"/>
  </r>
  <r>
    <x v="0"/>
    <n v="3840"/>
    <n v="4213"/>
  </r>
  <r>
    <x v="0"/>
    <n v="1108"/>
    <n v="3135"/>
  </r>
  <r>
    <x v="0"/>
    <n v="4510"/>
    <n v="9916"/>
  </r>
  <r>
    <x v="0"/>
    <n v="1042"/>
    <n v="2784"/>
  </r>
  <r>
    <x v="0"/>
    <n v="2175"/>
    <n v="5916"/>
  </r>
  <r>
    <x v="0"/>
    <n v="1311"/>
    <n v="1674"/>
  </r>
  <r>
    <x v="0"/>
    <n v="4201"/>
    <n v="2095"/>
  </r>
  <r>
    <x v="0"/>
    <n v="513"/>
    <n v="9594"/>
  </r>
  <r>
    <x v="0"/>
    <n v="1330"/>
    <n v="6750"/>
  </r>
  <r>
    <x v="0"/>
    <n v="3689"/>
    <n v="7235"/>
  </r>
  <r>
    <x v="0"/>
    <n v="670"/>
    <n v="3910"/>
  </r>
  <r>
    <x v="0"/>
    <n v="544"/>
    <n v="8190"/>
  </r>
  <r>
    <x v="0"/>
    <n v="1392"/>
    <n v="5315"/>
  </r>
  <r>
    <x v="0"/>
    <n v="3199"/>
    <n v="7503"/>
  </r>
  <r>
    <x v="0"/>
    <n v="4204"/>
    <n v="5788"/>
  </r>
  <r>
    <x v="0"/>
    <n v="1461"/>
    <n v="7030"/>
  </r>
  <r>
    <x v="0"/>
    <n v="658"/>
    <n v="6619"/>
  </r>
  <r>
    <x v="0"/>
    <n v="423"/>
    <n v="6319"/>
  </r>
  <r>
    <x v="0"/>
    <n v="2824"/>
    <n v="6268"/>
  </r>
  <r>
    <x v="0"/>
    <n v="2657"/>
    <n v="5016"/>
  </r>
  <r>
    <x v="0"/>
    <n v="2213"/>
    <n v="3888"/>
  </r>
  <r>
    <x v="0"/>
    <n v="3455"/>
    <n v="9918"/>
  </r>
  <r>
    <x v="0"/>
    <n v="3334"/>
    <n v="7305"/>
  </r>
  <r>
    <x v="0"/>
    <n v="105"/>
    <n v="5719"/>
  </r>
  <r>
    <x v="0"/>
    <n v="1404"/>
    <n v="2334"/>
  </r>
  <r>
    <x v="0"/>
    <n v="1017"/>
    <n v="1006"/>
  </r>
  <r>
    <x v="0"/>
    <n v="2812"/>
    <n v="6719"/>
  </r>
  <r>
    <x v="0"/>
    <n v="959"/>
    <n v="6138"/>
  </r>
  <r>
    <x v="0"/>
    <n v="1870"/>
    <n v="1255"/>
  </r>
  <r>
    <x v="0"/>
    <n v="2984"/>
    <n v="5528"/>
  </r>
  <r>
    <x v="0"/>
    <n v="3379"/>
    <n v="2517"/>
  </r>
  <r>
    <x v="0"/>
    <n v="4990"/>
    <n v="9593"/>
  </r>
  <r>
    <x v="0"/>
    <n v="2554"/>
    <n v="7507"/>
  </r>
  <r>
    <x v="0"/>
    <n v="4307"/>
    <n v="2884"/>
  </r>
  <r>
    <x v="0"/>
    <n v="3124"/>
    <n v="6374"/>
  </r>
  <r>
    <x v="0"/>
    <n v="1261"/>
    <n v="6888"/>
  </r>
  <r>
    <x v="0"/>
    <n v="1290"/>
    <n v="2788"/>
  </r>
  <r>
    <x v="0"/>
    <n v="874"/>
    <n v="7892"/>
  </r>
  <r>
    <x v="0"/>
    <n v="1734"/>
    <n v="4576"/>
  </r>
  <r>
    <x v="0"/>
    <n v="2444"/>
    <n v="8901"/>
  </r>
  <r>
    <x v="0"/>
    <n v="1529"/>
    <n v="5147"/>
  </r>
  <r>
    <x v="0"/>
    <n v="1976"/>
    <n v="8646"/>
  </r>
  <r>
    <x v="0"/>
    <n v="3452"/>
    <n v="8343"/>
  </r>
  <r>
    <x v="0"/>
    <n v="2610"/>
    <n v="9332"/>
  </r>
  <r>
    <x v="0"/>
    <n v="3152"/>
    <n v="7398"/>
  </r>
  <r>
    <x v="0"/>
    <n v="4963"/>
    <n v="3572"/>
  </r>
  <r>
    <x v="0"/>
    <n v="3290"/>
    <n v="4590"/>
  </r>
  <r>
    <x v="0"/>
    <n v="2596"/>
    <n v="1831"/>
  </r>
  <r>
    <x v="0"/>
    <n v="745"/>
    <n v="6899"/>
  </r>
  <r>
    <x v="0"/>
    <n v="668"/>
    <n v="1148"/>
  </r>
  <r>
    <x v="0"/>
    <n v="3282"/>
    <n v="3745"/>
  </r>
  <r>
    <x v="0"/>
    <n v="1510"/>
    <n v="5084"/>
  </r>
  <r>
    <x v="0"/>
    <n v="1206"/>
    <n v="7179"/>
  </r>
  <r>
    <x v="0"/>
    <n v="168"/>
    <n v="1005"/>
  </r>
  <r>
    <x v="0"/>
    <n v="1303"/>
    <n v="6405"/>
  </r>
  <r>
    <x v="0"/>
    <n v="1365"/>
    <n v="5215"/>
  </r>
  <r>
    <x v="0"/>
    <n v="1563"/>
    <n v="7525"/>
  </r>
  <r>
    <x v="0"/>
    <n v="1172"/>
    <n v="9115"/>
  </r>
  <r>
    <x v="0"/>
    <n v="1704"/>
    <n v="6454"/>
  </r>
  <r>
    <x v="0"/>
    <n v="4421"/>
    <n v="4781"/>
  </r>
  <r>
    <x v="0"/>
    <n v="2964"/>
    <n v="5040"/>
  </r>
  <r>
    <x v="0"/>
    <n v="1094"/>
    <n v="3209"/>
  </r>
  <r>
    <x v="0"/>
    <n v="3674"/>
    <n v="8703"/>
  </r>
  <r>
    <x v="0"/>
    <n v="296"/>
    <n v="2536"/>
  </r>
  <r>
    <x v="0"/>
    <n v="4164"/>
    <n v="2057"/>
  </r>
  <r>
    <x v="0"/>
    <n v="3349"/>
    <n v="5627"/>
  </r>
  <r>
    <x v="0"/>
    <n v="2830"/>
    <n v="4763"/>
  </r>
  <r>
    <x v="0"/>
    <n v="2409"/>
    <n v="4577"/>
  </r>
  <r>
    <x v="0"/>
    <n v="2872"/>
    <n v="5216"/>
  </r>
  <r>
    <x v="0"/>
    <n v="1364"/>
    <n v="3941"/>
  </r>
  <r>
    <x v="0"/>
    <n v="473"/>
    <n v="4396"/>
  </r>
  <r>
    <x v="0"/>
    <n v="4883"/>
    <n v="4865"/>
  </r>
  <r>
    <x v="0"/>
    <n v="99"/>
    <n v="2497"/>
  </r>
  <r>
    <x v="0"/>
    <n v="2284"/>
    <n v="4945"/>
  </r>
  <r>
    <x v="0"/>
    <n v="3505"/>
    <n v="5227"/>
  </r>
  <r>
    <x v="0"/>
    <n v="412"/>
    <n v="2150"/>
  </r>
  <r>
    <x v="0"/>
    <n v="4867"/>
    <n v="7145"/>
  </r>
  <r>
    <x v="0"/>
    <n v="2560"/>
    <n v="2040"/>
  </r>
  <r>
    <x v="0"/>
    <n v="4269"/>
    <n v="4191"/>
  </r>
  <r>
    <x v="0"/>
    <n v="1317"/>
    <n v="4336"/>
  </r>
  <r>
    <x v="0"/>
    <n v="2936"/>
    <n v="5438"/>
  </r>
  <r>
    <x v="0"/>
    <n v="905"/>
    <n v="9857"/>
  </r>
  <r>
    <x v="0"/>
    <n v="4513"/>
    <n v="4767"/>
  </r>
  <r>
    <x v="0"/>
    <n v="1153"/>
    <n v="9374"/>
  </r>
  <r>
    <x v="0"/>
    <n v="1506"/>
    <n v="3918"/>
  </r>
  <r>
    <x v="0"/>
    <n v="3817"/>
    <n v="9866"/>
  </r>
  <r>
    <x v="0"/>
    <n v="4662"/>
    <n v="6389"/>
  </r>
  <r>
    <x v="0"/>
    <n v="3708"/>
    <n v="8733"/>
  </r>
  <r>
    <x v="0"/>
    <n v="1256"/>
    <n v="8105"/>
  </r>
  <r>
    <x v="0"/>
    <n v="1792"/>
    <n v="3443"/>
  </r>
  <r>
    <x v="0"/>
    <n v="402"/>
    <n v="2664"/>
  </r>
  <r>
    <x v="0"/>
    <n v="1271"/>
    <n v="1782"/>
  </r>
  <r>
    <x v="0"/>
    <n v="4537"/>
    <n v="1337"/>
  </r>
  <r>
    <x v="0"/>
    <n v="4815"/>
    <n v="5901"/>
  </r>
  <r>
    <x v="0"/>
    <n v="3510"/>
    <n v="2731"/>
  </r>
  <r>
    <x v="0"/>
    <n v="4789"/>
    <n v="8307"/>
  </r>
  <r>
    <x v="0"/>
    <n v="863"/>
    <n v="8019"/>
  </r>
  <r>
    <x v="0"/>
    <n v="1584"/>
    <n v="4847"/>
  </r>
  <r>
    <x v="0"/>
    <n v="3178"/>
    <n v="9822"/>
  </r>
  <r>
    <x v="0"/>
    <n v="4108"/>
    <n v="9141"/>
  </r>
  <r>
    <x v="0"/>
    <n v="2562"/>
    <n v="7539"/>
  </r>
  <r>
    <x v="0"/>
    <n v="3499"/>
    <n v="1390"/>
  </r>
  <r>
    <x v="0"/>
    <n v="3645"/>
    <n v="9505"/>
  </r>
  <r>
    <x v="0"/>
    <n v="2989"/>
    <n v="6741"/>
  </r>
  <r>
    <x v="0"/>
    <n v="55"/>
    <n v="1790"/>
  </r>
  <r>
    <x v="0"/>
    <n v="1850"/>
    <n v="6491"/>
  </r>
  <r>
    <x v="0"/>
    <n v="4672"/>
    <n v="3102"/>
  </r>
  <r>
    <x v="0"/>
    <n v="2615"/>
    <n v="1300"/>
  </r>
  <r>
    <x v="0"/>
    <n v="4927"/>
    <n v="5410"/>
  </r>
  <r>
    <x v="0"/>
    <n v="3069"/>
    <n v="2714"/>
  </r>
  <r>
    <x v="0"/>
    <n v="1906"/>
    <n v="4700"/>
  </r>
  <r>
    <x v="0"/>
    <n v="105"/>
    <n v="7589"/>
  </r>
  <r>
    <x v="0"/>
    <n v="4"/>
    <n v="6866"/>
  </r>
  <r>
    <x v="0"/>
    <n v="1651"/>
    <n v="6960"/>
  </r>
  <r>
    <x v="0"/>
    <n v="1828"/>
    <n v="5808"/>
  </r>
  <r>
    <x v="0"/>
    <n v="396"/>
    <n v="5525"/>
  </r>
  <r>
    <x v="0"/>
    <n v="809"/>
    <n v="1272"/>
  </r>
  <r>
    <x v="0"/>
    <n v="1431"/>
    <n v="8063"/>
  </r>
  <r>
    <x v="0"/>
    <n v="2394"/>
    <n v="1856"/>
  </r>
  <r>
    <x v="0"/>
    <n v="4685"/>
    <n v="2830"/>
  </r>
  <r>
    <x v="0"/>
    <n v="4332"/>
    <n v="3287"/>
  </r>
  <r>
    <x v="0"/>
    <n v="851"/>
    <n v="5679"/>
  </r>
  <r>
    <x v="0"/>
    <n v="2261"/>
    <n v="6399"/>
  </r>
  <r>
    <x v="0"/>
    <n v="1500"/>
    <n v="8753"/>
  </r>
  <r>
    <x v="0"/>
    <n v="2130"/>
    <n v="9267"/>
  </r>
  <r>
    <x v="0"/>
    <n v="4308"/>
    <n v="9846"/>
  </r>
  <r>
    <x v="0"/>
    <n v="421"/>
    <n v="2382"/>
  </r>
  <r>
    <x v="0"/>
    <n v="2163"/>
    <n v="3593"/>
  </r>
  <r>
    <x v="0"/>
    <n v="3354"/>
    <n v="4097"/>
  </r>
  <r>
    <x v="0"/>
    <n v="3702"/>
    <n v="2886"/>
  </r>
  <r>
    <x v="0"/>
    <n v="3758"/>
    <n v="3255"/>
  </r>
  <r>
    <x v="0"/>
    <n v="3942"/>
    <n v="6752"/>
  </r>
  <r>
    <x v="0"/>
    <n v="2242"/>
    <n v="7945"/>
  </r>
  <r>
    <x v="0"/>
    <n v="2561"/>
    <n v="6658"/>
  </r>
  <r>
    <x v="0"/>
    <n v="2465"/>
    <n v="5468"/>
  </r>
  <r>
    <x v="0"/>
    <n v="4435"/>
    <n v="7451"/>
  </r>
  <r>
    <x v="0"/>
    <n v="4116"/>
    <n v="1253"/>
  </r>
  <r>
    <x v="0"/>
    <n v="944"/>
    <n v="6746"/>
  </r>
  <r>
    <x v="0"/>
    <n v="4219"/>
    <n v="8089"/>
  </r>
  <r>
    <x v="0"/>
    <n v="4311"/>
    <n v="8045"/>
  </r>
  <r>
    <x v="0"/>
    <n v="1972"/>
    <n v="9417"/>
  </r>
  <r>
    <x v="0"/>
    <n v="2132"/>
    <n v="3217"/>
  </r>
  <r>
    <x v="0"/>
    <n v="2370"/>
    <n v="4234"/>
  </r>
  <r>
    <x v="0"/>
    <n v="1312"/>
    <n v="1118"/>
  </r>
  <r>
    <x v="0"/>
    <n v="4920"/>
    <n v="4027"/>
  </r>
  <r>
    <x v="0"/>
    <n v="2897"/>
    <n v="8451"/>
  </r>
  <r>
    <x v="0"/>
    <n v="1275"/>
    <n v="6647"/>
  </r>
  <r>
    <x v="0"/>
    <n v="340"/>
    <n v="4002"/>
  </r>
  <r>
    <x v="0"/>
    <n v="444"/>
    <n v="6910"/>
  </r>
  <r>
    <x v="0"/>
    <n v="292"/>
    <n v="3164"/>
  </r>
  <r>
    <x v="0"/>
    <n v="53"/>
    <n v="2400"/>
  </r>
  <r>
    <x v="0"/>
    <n v="1638"/>
    <n v="5499"/>
  </r>
  <r>
    <x v="0"/>
    <n v="3542"/>
    <n v="7221"/>
  </r>
  <r>
    <x v="0"/>
    <n v="4935"/>
    <n v="4556"/>
  </r>
  <r>
    <x v="0"/>
    <n v="1216"/>
    <n v="7175"/>
  </r>
  <r>
    <x v="0"/>
    <n v="4409"/>
    <n v="7072"/>
  </r>
  <r>
    <x v="0"/>
    <n v="2853"/>
    <n v="4320"/>
  </r>
  <r>
    <x v="0"/>
    <n v="1252"/>
    <n v="3558"/>
  </r>
  <r>
    <x v="0"/>
    <n v="3027"/>
    <n v="8581"/>
  </r>
  <r>
    <x v="0"/>
    <n v="1228"/>
    <n v="5827"/>
  </r>
  <r>
    <x v="0"/>
    <n v="3616"/>
    <n v="6929"/>
  </r>
  <r>
    <x v="0"/>
    <n v="3913"/>
    <n v="9179"/>
  </r>
  <r>
    <x v="0"/>
    <n v="775"/>
    <n v="7580"/>
  </r>
  <r>
    <x v="0"/>
    <n v="2536"/>
    <n v="3858"/>
  </r>
  <r>
    <x v="0"/>
    <n v="2331"/>
    <n v="8627"/>
  </r>
  <r>
    <x v="0"/>
    <n v="2953"/>
    <n v="7552"/>
  </r>
  <r>
    <x v="0"/>
    <n v="868"/>
    <n v="6020"/>
  </r>
  <r>
    <x v="0"/>
    <n v="4808"/>
    <n v="9408"/>
  </r>
  <r>
    <x v="0"/>
    <n v="4177"/>
    <n v="9990"/>
  </r>
  <r>
    <x v="0"/>
    <n v="564"/>
    <n v="3687"/>
  </r>
  <r>
    <x v="0"/>
    <n v="1702"/>
    <n v="4540"/>
  </r>
  <r>
    <x v="0"/>
    <n v="249"/>
    <n v="8264"/>
  </r>
  <r>
    <x v="0"/>
    <n v="30"/>
    <n v="7448"/>
  </r>
  <r>
    <x v="0"/>
    <n v="3842"/>
    <n v="1123"/>
  </r>
  <r>
    <x v="0"/>
    <n v="1299"/>
    <n v="4103"/>
  </r>
  <r>
    <x v="0"/>
    <n v="2346"/>
    <n v="2904"/>
  </r>
  <r>
    <x v="0"/>
    <n v="215"/>
    <n v="5634"/>
  </r>
  <r>
    <x v="0"/>
    <n v="3062"/>
    <n v="5360"/>
  </r>
  <r>
    <x v="0"/>
    <n v="2978"/>
    <n v="8571"/>
  </r>
  <r>
    <x v="0"/>
    <n v="1984"/>
    <n v="9439"/>
  </r>
  <r>
    <x v="0"/>
    <n v="945"/>
    <n v="8356"/>
  </r>
  <r>
    <x v="0"/>
    <n v="4134"/>
    <n v="2039"/>
  </r>
  <r>
    <x v="0"/>
    <n v="3741"/>
    <n v="2613"/>
  </r>
  <r>
    <x v="0"/>
    <n v="1408"/>
    <n v="8226"/>
  </r>
  <r>
    <x v="0"/>
    <n v="1917"/>
    <n v="1425"/>
  </r>
  <r>
    <x v="0"/>
    <n v="1986"/>
    <n v="4479"/>
  </r>
  <r>
    <x v="0"/>
    <n v="3254"/>
    <n v="3393"/>
  </r>
  <r>
    <x v="0"/>
    <n v="3648"/>
    <n v="8528"/>
  </r>
  <r>
    <x v="0"/>
    <n v="3552"/>
    <n v="9372"/>
  </r>
  <r>
    <x v="0"/>
    <n v="150"/>
    <n v="5469"/>
  </r>
  <r>
    <x v="0"/>
    <n v="786"/>
    <n v="2603"/>
  </r>
  <r>
    <x v="0"/>
    <n v="1808"/>
    <n v="5306"/>
  </r>
  <r>
    <x v="0"/>
    <n v="3091"/>
    <n v="7869"/>
  </r>
  <r>
    <x v="0"/>
    <n v="3697"/>
    <n v="1699"/>
  </r>
  <r>
    <x v="0"/>
    <n v="4835"/>
    <n v="3214"/>
  </r>
  <r>
    <x v="0"/>
    <n v="2023"/>
    <n v="1050"/>
  </r>
  <r>
    <x v="0"/>
    <n v="1005"/>
    <n v="3325"/>
  </r>
  <r>
    <x v="0"/>
    <n v="876"/>
    <n v="1970"/>
  </r>
  <r>
    <x v="0"/>
    <n v="2089"/>
    <n v="6272"/>
  </r>
  <r>
    <x v="0"/>
    <n v="772"/>
    <n v="4745"/>
  </r>
  <r>
    <x v="0"/>
    <n v="373"/>
    <n v="8867"/>
  </r>
  <r>
    <x v="0"/>
    <n v="3425"/>
    <n v="4901"/>
  </r>
  <r>
    <x v="0"/>
    <n v="4422"/>
    <n v="9575"/>
  </r>
  <r>
    <x v="0"/>
    <n v="4980"/>
    <n v="4471"/>
  </r>
  <r>
    <x v="0"/>
    <n v="1367"/>
    <n v="1385"/>
  </r>
  <r>
    <x v="0"/>
    <n v="2728"/>
    <n v="4302"/>
  </r>
  <r>
    <x v="0"/>
    <n v="1556"/>
    <n v="4738"/>
  </r>
  <r>
    <x v="0"/>
    <n v="4566"/>
    <n v="2441"/>
  </r>
  <r>
    <x v="0"/>
    <n v="2969"/>
    <n v="6546"/>
  </r>
  <r>
    <x v="0"/>
    <n v="3421"/>
    <n v="5459"/>
  </r>
  <r>
    <x v="0"/>
    <n v="2535"/>
    <n v="7051"/>
  </r>
  <r>
    <x v="0"/>
    <n v="290"/>
    <n v="6671"/>
  </r>
  <r>
    <x v="0"/>
    <n v="756"/>
    <n v="6013"/>
  </r>
  <r>
    <x v="0"/>
    <n v="947"/>
    <n v="9996"/>
  </r>
  <r>
    <x v="0"/>
    <n v="2138"/>
    <n v="4851"/>
  </r>
  <r>
    <x v="0"/>
    <n v="3151"/>
    <n v="2498"/>
  </r>
  <r>
    <x v="0"/>
    <n v="670"/>
    <n v="6208"/>
  </r>
  <r>
    <x v="0"/>
    <n v="3037"/>
    <n v="7171"/>
  </r>
  <r>
    <x v="0"/>
    <n v="3712"/>
    <n v="7667"/>
  </r>
  <r>
    <x v="0"/>
    <n v="2029"/>
    <n v="4912"/>
  </r>
  <r>
    <x v="0"/>
    <n v="2406"/>
    <n v="7975"/>
  </r>
  <r>
    <x v="0"/>
    <n v="3264"/>
    <n v="6804"/>
  </r>
  <r>
    <x v="0"/>
    <n v="1135"/>
    <n v="3877"/>
  </r>
  <r>
    <x v="0"/>
    <n v="3761"/>
    <n v="8768"/>
  </r>
  <r>
    <x v="0"/>
    <n v="3633"/>
    <n v="1420"/>
  </r>
  <r>
    <x v="0"/>
    <n v="3308"/>
    <n v="2306"/>
  </r>
  <r>
    <x v="0"/>
    <n v="1311"/>
    <n v="2079"/>
  </r>
  <r>
    <x v="0"/>
    <n v="4333"/>
    <n v="3554"/>
  </r>
  <r>
    <x v="0"/>
    <n v="4575"/>
    <n v="7616"/>
  </r>
  <r>
    <x v="0"/>
    <n v="2448"/>
    <n v="5650"/>
  </r>
  <r>
    <x v="0"/>
    <n v="1072"/>
    <n v="9385"/>
  </r>
  <r>
    <x v="0"/>
    <n v="1784"/>
    <n v="2482"/>
  </r>
  <r>
    <x v="0"/>
    <n v="3787"/>
    <n v="9017"/>
  </r>
  <r>
    <x v="0"/>
    <n v="4477"/>
    <n v="7001"/>
  </r>
  <r>
    <x v="0"/>
    <n v="711"/>
    <n v="2942"/>
  </r>
  <r>
    <x v="0"/>
    <n v="3711"/>
    <n v="8833"/>
  </r>
  <r>
    <x v="0"/>
    <n v="2534"/>
    <n v="8079"/>
  </r>
  <r>
    <x v="0"/>
    <n v="2624"/>
    <n v="3797"/>
  </r>
  <r>
    <x v="0"/>
    <n v="3617"/>
    <n v="7268"/>
  </r>
  <r>
    <x v="0"/>
    <n v="3078"/>
    <n v="9803"/>
  </r>
  <r>
    <x v="0"/>
    <n v="164"/>
    <n v="2165"/>
  </r>
  <r>
    <x v="0"/>
    <n v="2805"/>
    <n v="1528"/>
  </r>
  <r>
    <x v="0"/>
    <n v="3848"/>
    <n v="5978"/>
  </r>
  <r>
    <x v="0"/>
    <n v="836"/>
    <n v="5967"/>
  </r>
  <r>
    <x v="0"/>
    <n v="2761"/>
    <n v="4254"/>
  </r>
  <r>
    <x v="0"/>
    <n v="4633"/>
    <n v="2186"/>
  </r>
  <r>
    <x v="0"/>
    <n v="4260"/>
    <n v="7644"/>
  </r>
  <r>
    <x v="0"/>
    <n v="447"/>
    <n v="5897"/>
  </r>
  <r>
    <x v="0"/>
    <n v="1298"/>
    <n v="7465"/>
  </r>
  <r>
    <x v="0"/>
    <n v="3445"/>
    <n v="3724"/>
  </r>
  <r>
    <x v="0"/>
    <n v="3039"/>
    <n v="2914"/>
  </r>
  <r>
    <x v="0"/>
    <n v="3815"/>
    <n v="4110"/>
  </r>
  <r>
    <x v="0"/>
    <n v="1135"/>
    <n v="6944"/>
  </r>
  <r>
    <x v="0"/>
    <n v="2706"/>
    <n v="3639"/>
  </r>
  <r>
    <x v="0"/>
    <n v="3828"/>
    <n v="8416"/>
  </r>
  <r>
    <x v="0"/>
    <n v="4409"/>
    <n v="7753"/>
  </r>
  <r>
    <x v="0"/>
    <n v="433"/>
    <n v="9528"/>
  </r>
  <r>
    <x v="0"/>
    <n v="2554"/>
    <n v="2960"/>
  </r>
  <r>
    <x v="0"/>
    <n v="1348"/>
    <n v="1090"/>
  </r>
  <r>
    <x v="0"/>
    <n v="1375"/>
    <n v="2410"/>
  </r>
  <r>
    <x v="0"/>
    <n v="3630"/>
    <n v="1575"/>
  </r>
  <r>
    <x v="0"/>
    <n v="1457"/>
    <n v="9259"/>
  </r>
  <r>
    <x v="0"/>
    <n v="3332"/>
    <n v="2170"/>
  </r>
  <r>
    <x v="0"/>
    <n v="3815"/>
    <n v="2237"/>
  </r>
  <r>
    <x v="0"/>
    <n v="3859"/>
    <n v="2697"/>
  </r>
  <r>
    <x v="0"/>
    <n v="3923"/>
    <n v="4488"/>
  </r>
  <r>
    <x v="0"/>
    <n v="4486"/>
    <n v="5291"/>
  </r>
  <r>
    <x v="0"/>
    <n v="993"/>
    <n v="6287"/>
  </r>
  <r>
    <x v="0"/>
    <n v="631"/>
    <n v="1953"/>
  </r>
  <r>
    <x v="0"/>
    <n v="214"/>
    <n v="3457"/>
  </r>
  <r>
    <x v="0"/>
    <n v="2327"/>
    <n v="6504"/>
  </r>
  <r>
    <x v="0"/>
    <n v="3679"/>
    <n v="7463"/>
  </r>
  <r>
    <x v="0"/>
    <n v="2238"/>
    <n v="3898"/>
  </r>
  <r>
    <x v="0"/>
    <n v="3655"/>
    <n v="8481"/>
  </r>
  <r>
    <x v="0"/>
    <n v="1587"/>
    <n v="7810"/>
  </r>
  <r>
    <x v="0"/>
    <n v="4501"/>
    <n v="6534"/>
  </r>
  <r>
    <x v="0"/>
    <n v="1910"/>
    <n v="6025"/>
  </r>
  <r>
    <x v="0"/>
    <n v="2731"/>
    <n v="5825"/>
  </r>
  <r>
    <x v="0"/>
    <n v="4517"/>
    <n v="1185"/>
  </r>
  <r>
    <x v="0"/>
    <n v="1238"/>
    <n v="4392"/>
  </r>
  <r>
    <x v="0"/>
    <n v="1786"/>
    <n v="5785"/>
  </r>
  <r>
    <x v="0"/>
    <n v="1683"/>
    <n v="4718"/>
  </r>
  <r>
    <x v="0"/>
    <n v="996"/>
    <n v="3992"/>
  </r>
  <r>
    <x v="0"/>
    <n v="608"/>
    <n v="6100"/>
  </r>
  <r>
    <x v="0"/>
    <n v="4650"/>
    <n v="8495"/>
  </r>
  <r>
    <x v="0"/>
    <n v="1340"/>
    <n v="3083"/>
  </r>
  <r>
    <x v="0"/>
    <n v="1821"/>
    <n v="9936"/>
  </r>
  <r>
    <x v="0"/>
    <n v="3020"/>
    <n v="2418"/>
  </r>
  <r>
    <x v="0"/>
    <n v="1243"/>
    <n v="4089"/>
  </r>
  <r>
    <x v="0"/>
    <n v="540"/>
    <n v="8876"/>
  </r>
  <r>
    <x v="0"/>
    <n v="2583"/>
    <n v="3959"/>
  </r>
  <r>
    <x v="0"/>
    <n v="3463"/>
    <n v="2011"/>
  </r>
  <r>
    <x v="0"/>
    <n v="4130"/>
    <n v="7896"/>
  </r>
  <r>
    <x v="0"/>
    <n v="3918"/>
    <n v="5495"/>
  </r>
  <r>
    <x v="0"/>
    <n v="4264"/>
    <n v="6219"/>
  </r>
  <r>
    <x v="0"/>
    <n v="1485"/>
    <n v="4458"/>
  </r>
  <r>
    <x v="0"/>
    <n v="3508"/>
    <n v="4115"/>
  </r>
  <r>
    <x v="0"/>
    <n v="3433"/>
    <n v="6586"/>
  </r>
  <r>
    <x v="0"/>
    <n v="3610"/>
    <n v="3985"/>
  </r>
  <r>
    <x v="0"/>
    <n v="3307"/>
    <n v="8501"/>
  </r>
  <r>
    <x v="0"/>
    <n v="868"/>
    <n v="4048"/>
  </r>
  <r>
    <x v="0"/>
    <n v="4358"/>
    <n v="4466"/>
  </r>
  <r>
    <x v="0"/>
    <n v="4552"/>
    <n v="5479"/>
  </r>
  <r>
    <x v="0"/>
    <n v="3003"/>
    <n v="2480"/>
  </r>
  <r>
    <x v="0"/>
    <n v="783"/>
    <n v="6288"/>
  </r>
  <r>
    <x v="0"/>
    <n v="3578"/>
    <n v="9973"/>
  </r>
  <r>
    <x v="0"/>
    <n v="1952"/>
    <n v="6078"/>
  </r>
  <r>
    <x v="0"/>
    <n v="860"/>
    <n v="5362"/>
  </r>
  <r>
    <x v="0"/>
    <n v="3"/>
    <n v="1687"/>
  </r>
  <r>
    <x v="0"/>
    <n v="1836"/>
    <n v="8986"/>
  </r>
  <r>
    <x v="0"/>
    <n v="808"/>
    <n v="5994"/>
  </r>
  <r>
    <x v="0"/>
    <n v="2141"/>
    <n v="6293"/>
  </r>
  <r>
    <x v="0"/>
    <n v="1254"/>
    <n v="7558"/>
  </r>
  <r>
    <x v="0"/>
    <n v="2864"/>
    <n v="1805"/>
  </r>
  <r>
    <x v="0"/>
    <n v="4589"/>
    <n v="1661"/>
  </r>
  <r>
    <x v="0"/>
    <n v="2932"/>
    <n v="8960"/>
  </r>
  <r>
    <x v="0"/>
    <n v="1697"/>
    <n v="6131"/>
  </r>
  <r>
    <x v="0"/>
    <n v="1411"/>
    <n v="4114"/>
  </r>
  <r>
    <x v="0"/>
    <n v="3437"/>
    <n v="4833"/>
  </r>
  <r>
    <x v="0"/>
    <n v="4509"/>
    <n v="2401"/>
  </r>
  <r>
    <x v="0"/>
    <n v="3165"/>
    <n v="1037"/>
  </r>
  <r>
    <x v="0"/>
    <n v="2538"/>
    <n v="2675"/>
  </r>
  <r>
    <x v="0"/>
    <n v="245"/>
    <n v="1665"/>
  </r>
  <r>
    <x v="0"/>
    <n v="1364"/>
    <n v="5671"/>
  </r>
  <r>
    <x v="0"/>
    <n v="732"/>
    <n v="5153"/>
  </r>
  <r>
    <x v="0"/>
    <n v="4976"/>
    <n v="1114"/>
  </r>
  <r>
    <x v="0"/>
    <n v="4176"/>
    <n v="6180"/>
  </r>
  <r>
    <x v="0"/>
    <n v="2919"/>
    <n v="8237"/>
  </r>
  <r>
    <x v="0"/>
    <n v="3081"/>
    <n v="9500"/>
  </r>
  <r>
    <x v="0"/>
    <n v="3138"/>
    <n v="7476"/>
  </r>
  <r>
    <x v="0"/>
    <n v="1180"/>
    <n v="9908"/>
  </r>
  <r>
    <x v="0"/>
    <n v="4518"/>
    <n v="1534"/>
  </r>
  <r>
    <x v="0"/>
    <n v="3843"/>
    <n v="4613"/>
  </r>
  <r>
    <x v="0"/>
    <n v="3604"/>
    <n v="5063"/>
  </r>
  <r>
    <x v="0"/>
    <n v="4445"/>
    <n v="4548"/>
  </r>
  <r>
    <x v="0"/>
    <n v="1587"/>
    <n v="7556"/>
  </r>
  <r>
    <x v="0"/>
    <n v="4400"/>
    <n v="1846"/>
  </r>
  <r>
    <x v="0"/>
    <n v="2891"/>
    <n v="7088"/>
  </r>
  <r>
    <x v="0"/>
    <n v="1363"/>
    <n v="1179"/>
  </r>
  <r>
    <x v="0"/>
    <n v="2323"/>
    <n v="2190"/>
  </r>
  <r>
    <x v="0"/>
    <n v="4291"/>
    <n v="2847"/>
  </r>
  <r>
    <x v="0"/>
    <n v="4938"/>
    <n v="6570"/>
  </r>
  <r>
    <x v="0"/>
    <n v="913"/>
    <n v="1149"/>
  </r>
  <r>
    <x v="0"/>
    <n v="3925"/>
    <n v="1336"/>
  </r>
  <r>
    <x v="0"/>
    <n v="2517"/>
    <n v="6956"/>
  </r>
  <r>
    <x v="0"/>
    <n v="2070"/>
    <n v="7015"/>
  </r>
  <r>
    <x v="0"/>
    <n v="4726"/>
    <n v="4104"/>
  </r>
  <r>
    <x v="0"/>
    <n v="1536"/>
    <n v="9413"/>
  </r>
  <r>
    <x v="0"/>
    <n v="2113"/>
    <n v="8300"/>
  </r>
  <r>
    <x v="0"/>
    <n v="428"/>
    <n v="5126"/>
  </r>
  <r>
    <x v="0"/>
    <n v="2336"/>
    <n v="1754"/>
  </r>
  <r>
    <x v="0"/>
    <n v="2344"/>
    <n v="7089"/>
  </r>
  <r>
    <x v="0"/>
    <n v="1351"/>
    <n v="1697"/>
  </r>
  <r>
    <x v="0"/>
    <n v="165"/>
    <n v="4768"/>
  </r>
  <r>
    <x v="0"/>
    <n v="3411"/>
    <n v="4205"/>
  </r>
  <r>
    <x v="0"/>
    <n v="615"/>
    <n v="8844"/>
  </r>
  <r>
    <x v="0"/>
    <n v="1538"/>
    <n v="1103"/>
  </r>
  <r>
    <x v="0"/>
    <n v="1835"/>
    <n v="2180"/>
  </r>
  <r>
    <x v="0"/>
    <n v="3515"/>
    <n v="6607"/>
  </r>
  <r>
    <x v="0"/>
    <n v="1657"/>
    <n v="7949"/>
  </r>
  <r>
    <x v="0"/>
    <n v="2209"/>
    <n v="5337"/>
  </r>
  <r>
    <x v="0"/>
    <n v="1327"/>
    <n v="8477"/>
  </r>
  <r>
    <x v="0"/>
    <n v="4337"/>
    <n v="7673"/>
  </r>
  <r>
    <x v="0"/>
    <n v="398"/>
    <n v="6113"/>
  </r>
  <r>
    <x v="0"/>
    <n v="1508"/>
    <n v="7457"/>
  </r>
  <r>
    <x v="0"/>
    <n v="249"/>
    <n v="6639"/>
  </r>
  <r>
    <x v="0"/>
    <n v="954"/>
    <n v="5220"/>
  </r>
  <r>
    <x v="0"/>
    <n v="3313"/>
    <n v="6970"/>
  </r>
  <r>
    <x v="0"/>
    <n v="1790"/>
    <n v="6705"/>
  </r>
  <r>
    <x v="0"/>
    <n v="2864"/>
    <n v="2477"/>
  </r>
  <r>
    <x v="0"/>
    <n v="1872"/>
    <n v="6236"/>
  </r>
  <r>
    <x v="0"/>
    <n v="2521"/>
    <n v="4079"/>
  </r>
  <r>
    <x v="0"/>
    <n v="4426"/>
    <n v="7927"/>
  </r>
  <r>
    <x v="0"/>
    <n v="3100"/>
    <n v="5059"/>
  </r>
  <r>
    <x v="0"/>
    <n v="4273"/>
    <n v="4210"/>
  </r>
  <r>
    <x v="0"/>
    <n v="1254"/>
    <n v="5054"/>
  </r>
  <r>
    <x v="0"/>
    <n v="4817"/>
    <n v="5836"/>
  </r>
  <r>
    <x v="0"/>
    <n v="2330"/>
    <n v="8612"/>
  </r>
  <r>
    <x v="0"/>
    <n v="244"/>
    <n v="7445"/>
  </r>
  <r>
    <x v="0"/>
    <n v="1539"/>
    <n v="6135"/>
  </r>
  <r>
    <x v="0"/>
    <n v="2657"/>
    <n v="3168"/>
  </r>
  <r>
    <x v="0"/>
    <n v="4851"/>
    <n v="2981"/>
  </r>
  <r>
    <x v="0"/>
    <n v="2341"/>
    <n v="7739"/>
  </r>
  <r>
    <x v="0"/>
    <n v="3356"/>
    <n v="5905"/>
  </r>
  <r>
    <x v="0"/>
    <n v="228"/>
    <n v="1443"/>
  </r>
  <r>
    <x v="0"/>
    <n v="2821"/>
    <n v="6181"/>
  </r>
  <r>
    <x v="0"/>
    <n v="4380"/>
    <n v="8406"/>
  </r>
  <r>
    <x v="0"/>
    <n v="2131"/>
    <n v="5389"/>
  </r>
  <r>
    <x v="0"/>
    <n v="3589"/>
    <n v="4586"/>
  </r>
  <r>
    <x v="0"/>
    <n v="4162"/>
    <n v="4020"/>
  </r>
  <r>
    <x v="0"/>
    <n v="1013"/>
    <n v="1635"/>
  </r>
  <r>
    <x v="0"/>
    <n v="2731"/>
    <n v="9257"/>
  </r>
  <r>
    <x v="0"/>
    <n v="833"/>
    <n v="6380"/>
  </r>
  <r>
    <x v="0"/>
    <n v="2428"/>
    <n v="6385"/>
  </r>
  <r>
    <x v="0"/>
    <n v="4555"/>
    <n v="6858"/>
  </r>
  <r>
    <x v="0"/>
    <n v="4777"/>
    <n v="8875"/>
  </r>
  <r>
    <x v="0"/>
    <n v="459"/>
    <n v="3334"/>
  </r>
  <r>
    <x v="0"/>
    <n v="2644"/>
    <n v="5850"/>
  </r>
  <r>
    <x v="0"/>
    <n v="2678"/>
    <n v="8593"/>
  </r>
  <r>
    <x v="0"/>
    <n v="1129"/>
    <n v="6278"/>
  </r>
  <r>
    <x v="0"/>
    <n v="1258"/>
    <n v="1388"/>
  </r>
  <r>
    <x v="0"/>
    <n v="3213"/>
    <n v="2521"/>
  </r>
  <r>
    <x v="0"/>
    <n v="4127"/>
    <n v="1269"/>
  </r>
  <r>
    <x v="0"/>
    <n v="1961"/>
    <n v="9959"/>
  </r>
  <r>
    <x v="0"/>
    <n v="1708"/>
    <n v="7549"/>
  </r>
  <r>
    <x v="0"/>
    <n v="2288"/>
    <n v="4747"/>
  </r>
  <r>
    <x v="0"/>
    <n v="4570"/>
    <n v="8320"/>
  </r>
  <r>
    <x v="0"/>
    <n v="2547"/>
    <n v="1333"/>
  </r>
  <r>
    <x v="0"/>
    <n v="4655"/>
    <n v="5254"/>
  </r>
  <r>
    <x v="0"/>
    <n v="1656"/>
    <n v="6842"/>
  </r>
  <r>
    <x v="0"/>
    <n v="2761"/>
    <n v="9333"/>
  </r>
  <r>
    <x v="0"/>
    <n v="773"/>
    <n v="9122"/>
  </r>
  <r>
    <x v="0"/>
    <n v="1652"/>
    <n v="6221"/>
  </r>
  <r>
    <x v="0"/>
    <n v="1037"/>
    <n v="9957"/>
  </r>
  <r>
    <x v="0"/>
    <n v="4505"/>
    <n v="4680"/>
  </r>
  <r>
    <x v="0"/>
    <n v="3648"/>
    <n v="5974"/>
  </r>
  <r>
    <x v="0"/>
    <n v="4015"/>
    <n v="6938"/>
  </r>
  <r>
    <x v="0"/>
    <n v="2050"/>
    <n v="1175"/>
  </r>
  <r>
    <x v="0"/>
    <n v="2390"/>
    <n v="1260"/>
  </r>
  <r>
    <x v="0"/>
    <n v="3079"/>
    <n v="4645"/>
  </r>
  <r>
    <x v="0"/>
    <n v="4111"/>
    <n v="1637"/>
  </r>
  <r>
    <x v="0"/>
    <n v="3221"/>
    <n v="7960"/>
  </r>
  <r>
    <x v="0"/>
    <n v="2461"/>
    <n v="9693"/>
  </r>
  <r>
    <x v="0"/>
    <n v="2858"/>
    <n v="8743"/>
  </r>
  <r>
    <x v="0"/>
    <n v="4076"/>
    <n v="3379"/>
  </r>
  <r>
    <x v="0"/>
    <n v="2163"/>
    <n v="7696"/>
  </r>
  <r>
    <x v="0"/>
    <n v="3726"/>
    <n v="8552"/>
  </r>
  <r>
    <x v="0"/>
    <n v="47"/>
    <n v="5065"/>
  </r>
  <r>
    <x v="0"/>
    <n v="4742"/>
    <n v="6878"/>
  </r>
  <r>
    <x v="0"/>
    <n v="2910"/>
    <n v="5681"/>
  </r>
  <r>
    <x v="0"/>
    <n v="1180"/>
    <n v="4448"/>
  </r>
  <r>
    <x v="0"/>
    <n v="1965"/>
    <n v="5795"/>
  </r>
  <r>
    <x v="0"/>
    <n v="3179"/>
    <n v="5320"/>
  </r>
  <r>
    <x v="1"/>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2518"/>
    <x v="0"/>
    <x v="0"/>
  </r>
  <r>
    <n v="6430"/>
    <x v="0"/>
    <x v="0"/>
  </r>
  <r>
    <n v="1798"/>
    <x v="1"/>
    <x v="1"/>
  </r>
  <r>
    <n v="5255"/>
    <x v="2"/>
    <x v="1"/>
  </r>
  <r>
    <n v="2854"/>
    <x v="0"/>
    <x v="0"/>
  </r>
  <r>
    <n v="6735"/>
    <x v="3"/>
    <x v="2"/>
  </r>
  <r>
    <n v="2995"/>
    <x v="0"/>
    <x v="2"/>
  </r>
  <r>
    <n v="5120"/>
    <x v="4"/>
    <x v="1"/>
  </r>
  <r>
    <n v="6063"/>
    <x v="5"/>
    <x v="3"/>
  </r>
  <r>
    <n v="6896"/>
    <x v="0"/>
    <x v="2"/>
  </r>
  <r>
    <n v="8447"/>
    <x v="2"/>
    <x v="2"/>
  </r>
  <r>
    <n v="1433"/>
    <x v="1"/>
    <x v="1"/>
  </r>
  <r>
    <n v="4511"/>
    <x v="5"/>
    <x v="1"/>
  </r>
  <r>
    <n v="9966"/>
    <x v="2"/>
    <x v="3"/>
  </r>
  <r>
    <n v="7093"/>
    <x v="6"/>
    <x v="0"/>
  </r>
  <r>
    <n v="4351"/>
    <x v="0"/>
    <x v="0"/>
  </r>
  <r>
    <n v="6007"/>
    <x v="5"/>
    <x v="1"/>
  </r>
  <r>
    <n v="9710"/>
    <x v="5"/>
    <x v="0"/>
  </r>
  <r>
    <n v="9034"/>
    <x v="1"/>
    <x v="1"/>
  </r>
  <r>
    <n v="6197"/>
    <x v="3"/>
    <x v="0"/>
  </r>
  <r>
    <n v="2820"/>
    <x v="0"/>
    <x v="3"/>
  </r>
  <r>
    <n v="1101"/>
    <x v="4"/>
    <x v="0"/>
  </r>
  <r>
    <n v="1650"/>
    <x v="6"/>
    <x v="3"/>
  </r>
  <r>
    <n v="4884"/>
    <x v="1"/>
    <x v="1"/>
  </r>
  <r>
    <n v="8321"/>
    <x v="3"/>
    <x v="2"/>
  </r>
  <r>
    <n v="2381"/>
    <x v="0"/>
    <x v="2"/>
  </r>
  <r>
    <n v="9507"/>
    <x v="0"/>
    <x v="3"/>
  </r>
  <r>
    <n v="2851"/>
    <x v="4"/>
    <x v="3"/>
  </r>
  <r>
    <n v="4083"/>
    <x v="6"/>
    <x v="2"/>
  </r>
  <r>
    <n v="4608"/>
    <x v="2"/>
    <x v="3"/>
  </r>
  <r>
    <n v="4815"/>
    <x v="0"/>
    <x v="0"/>
  </r>
  <r>
    <n v="9597"/>
    <x v="5"/>
    <x v="1"/>
  </r>
  <r>
    <n v="6566"/>
    <x v="5"/>
    <x v="1"/>
  </r>
  <r>
    <n v="1419"/>
    <x v="3"/>
    <x v="3"/>
  </r>
  <r>
    <n v="9470"/>
    <x v="6"/>
    <x v="2"/>
  </r>
  <r>
    <n v="4989"/>
    <x v="0"/>
    <x v="0"/>
  </r>
  <r>
    <n v="9389"/>
    <x v="3"/>
    <x v="2"/>
  </r>
  <r>
    <n v="7728"/>
    <x v="2"/>
    <x v="0"/>
  </r>
  <r>
    <n v="7943"/>
    <x v="4"/>
    <x v="2"/>
  </r>
  <r>
    <n v="2490"/>
    <x v="3"/>
    <x v="1"/>
  </r>
  <r>
    <n v="5042"/>
    <x v="4"/>
    <x v="3"/>
  </r>
  <r>
    <n v="3620"/>
    <x v="0"/>
    <x v="1"/>
  </r>
  <r>
    <n v="8976"/>
    <x v="6"/>
    <x v="2"/>
  </r>
  <r>
    <n v="1570"/>
    <x v="2"/>
    <x v="1"/>
  </r>
  <r>
    <n v="7709"/>
    <x v="4"/>
    <x v="1"/>
  </r>
  <r>
    <n v="9503"/>
    <x v="6"/>
    <x v="3"/>
  </r>
  <r>
    <n v="9564"/>
    <x v="4"/>
    <x v="3"/>
  </r>
  <r>
    <n v="8934"/>
    <x v="1"/>
    <x v="3"/>
  </r>
  <r>
    <n v="1222"/>
    <x v="1"/>
    <x v="0"/>
  </r>
  <r>
    <n v="5762"/>
    <x v="6"/>
    <x v="1"/>
  </r>
  <r>
    <n v="4066"/>
    <x v="2"/>
    <x v="2"/>
  </r>
  <r>
    <n v="6469"/>
    <x v="4"/>
    <x v="0"/>
  </r>
  <r>
    <n v="1364"/>
    <x v="2"/>
    <x v="2"/>
  </r>
  <r>
    <n v="4197"/>
    <x v="1"/>
    <x v="1"/>
  </r>
  <r>
    <n v="9700"/>
    <x v="3"/>
    <x v="3"/>
  </r>
  <r>
    <n v="5644"/>
    <x v="6"/>
    <x v="0"/>
  </r>
  <r>
    <n v="5420"/>
    <x v="3"/>
    <x v="2"/>
  </r>
  <r>
    <n v="7560"/>
    <x v="0"/>
    <x v="2"/>
  </r>
  <r>
    <n v="9644"/>
    <x v="6"/>
    <x v="0"/>
  </r>
  <r>
    <n v="7239"/>
    <x v="1"/>
    <x v="0"/>
  </r>
  <r>
    <n v="6415"/>
    <x v="2"/>
    <x v="3"/>
  </r>
  <r>
    <n v="9020"/>
    <x v="3"/>
    <x v="2"/>
  </r>
  <r>
    <n v="2324"/>
    <x v="0"/>
    <x v="2"/>
  </r>
  <r>
    <n v="1354"/>
    <x v="3"/>
    <x v="0"/>
  </r>
  <r>
    <n v="4019"/>
    <x v="1"/>
    <x v="2"/>
  </r>
  <r>
    <n v="6178"/>
    <x v="3"/>
    <x v="2"/>
  </r>
  <r>
    <n v="8673"/>
    <x v="2"/>
    <x v="1"/>
  </r>
  <r>
    <n v="8250"/>
    <x v="4"/>
    <x v="3"/>
  </r>
  <r>
    <n v="1609"/>
    <x v="1"/>
    <x v="2"/>
  </r>
  <r>
    <n v="3806"/>
    <x v="1"/>
    <x v="0"/>
  </r>
  <r>
    <n v="7973"/>
    <x v="6"/>
    <x v="3"/>
  </r>
  <r>
    <n v="7948"/>
    <x v="5"/>
    <x v="0"/>
  </r>
  <r>
    <n v="3195"/>
    <x v="5"/>
    <x v="1"/>
  </r>
  <r>
    <n v="6285"/>
    <x v="0"/>
    <x v="0"/>
  </r>
  <r>
    <n v="4303"/>
    <x v="5"/>
    <x v="3"/>
  </r>
  <r>
    <n v="7751"/>
    <x v="1"/>
    <x v="0"/>
  </r>
  <r>
    <n v="7813"/>
    <x v="3"/>
    <x v="3"/>
  </r>
  <r>
    <n v="9028"/>
    <x v="0"/>
    <x v="0"/>
  </r>
  <r>
    <n v="6109"/>
    <x v="5"/>
    <x v="3"/>
  </r>
  <r>
    <n v="2565"/>
    <x v="4"/>
    <x v="2"/>
  </r>
  <r>
    <n v="7551"/>
    <x v="0"/>
    <x v="3"/>
  </r>
  <r>
    <n v="6398"/>
    <x v="2"/>
    <x v="0"/>
  </r>
  <r>
    <n v="4982"/>
    <x v="1"/>
    <x v="0"/>
  </r>
  <r>
    <n v="8108"/>
    <x v="1"/>
    <x v="3"/>
  </r>
  <r>
    <n v="6779"/>
    <x v="4"/>
    <x v="0"/>
  </r>
  <r>
    <n v="1169"/>
    <x v="4"/>
    <x v="2"/>
  </r>
  <r>
    <n v="5067"/>
    <x v="0"/>
    <x v="3"/>
  </r>
  <r>
    <n v="5299"/>
    <x v="5"/>
    <x v="1"/>
  </r>
  <r>
    <n v="3978"/>
    <x v="0"/>
    <x v="1"/>
  </r>
  <r>
    <n v="8634"/>
    <x v="0"/>
    <x v="3"/>
  </r>
  <r>
    <n v="9635"/>
    <x v="3"/>
    <x v="1"/>
  </r>
  <r>
    <n v="1776"/>
    <x v="6"/>
    <x v="3"/>
  </r>
  <r>
    <n v="9703"/>
    <x v="2"/>
    <x v="3"/>
  </r>
  <r>
    <n v="3498"/>
    <x v="3"/>
    <x v="2"/>
  </r>
  <r>
    <n v="4260"/>
    <x v="5"/>
    <x v="2"/>
  </r>
  <r>
    <n v="7152"/>
    <x v="3"/>
    <x v="1"/>
  </r>
  <r>
    <n v="2457"/>
    <x v="1"/>
    <x v="1"/>
  </r>
  <r>
    <n v="8530"/>
    <x v="4"/>
    <x v="1"/>
  </r>
  <r>
    <n v="9131"/>
    <x v="3"/>
    <x v="3"/>
  </r>
  <r>
    <n v="9770"/>
    <x v="2"/>
    <x v="0"/>
  </r>
  <r>
    <n v="8095"/>
    <x v="4"/>
    <x v="1"/>
  </r>
  <r>
    <n v="3763"/>
    <x v="3"/>
    <x v="3"/>
  </r>
  <r>
    <n v="4346"/>
    <x v="0"/>
    <x v="3"/>
  </r>
  <r>
    <n v="5866"/>
    <x v="5"/>
    <x v="0"/>
  </r>
  <r>
    <n v="5865"/>
    <x v="5"/>
    <x v="0"/>
  </r>
  <r>
    <n v="9398"/>
    <x v="2"/>
    <x v="2"/>
  </r>
  <r>
    <n v="9695"/>
    <x v="4"/>
    <x v="0"/>
  </r>
  <r>
    <n v="8805"/>
    <x v="4"/>
    <x v="0"/>
  </r>
  <r>
    <n v="8353"/>
    <x v="4"/>
    <x v="0"/>
  </r>
  <r>
    <n v="3178"/>
    <x v="3"/>
    <x v="1"/>
  </r>
  <r>
    <n v="4917"/>
    <x v="4"/>
    <x v="0"/>
  </r>
  <r>
    <n v="8878"/>
    <x v="1"/>
    <x v="2"/>
  </r>
  <r>
    <n v="3810"/>
    <x v="4"/>
    <x v="3"/>
  </r>
  <r>
    <n v="9353"/>
    <x v="5"/>
    <x v="1"/>
  </r>
  <r>
    <n v="1672"/>
    <x v="6"/>
    <x v="2"/>
  </r>
  <r>
    <n v="6650"/>
    <x v="5"/>
    <x v="3"/>
  </r>
  <r>
    <n v="2581"/>
    <x v="2"/>
    <x v="2"/>
  </r>
  <r>
    <n v="6860"/>
    <x v="2"/>
    <x v="3"/>
  </r>
  <r>
    <n v="4584"/>
    <x v="0"/>
    <x v="2"/>
  </r>
  <r>
    <n v="3354"/>
    <x v="6"/>
    <x v="0"/>
  </r>
  <r>
    <n v="4668"/>
    <x v="1"/>
    <x v="0"/>
  </r>
  <r>
    <n v="6684"/>
    <x v="5"/>
    <x v="3"/>
  </r>
  <r>
    <n v="8058"/>
    <x v="4"/>
    <x v="3"/>
  </r>
  <r>
    <n v="3035"/>
    <x v="5"/>
    <x v="2"/>
  </r>
  <r>
    <n v="2146"/>
    <x v="4"/>
    <x v="0"/>
  </r>
  <r>
    <n v="5761"/>
    <x v="3"/>
    <x v="3"/>
  </r>
  <r>
    <n v="5256"/>
    <x v="4"/>
    <x v="1"/>
  </r>
  <r>
    <n v="5995"/>
    <x v="2"/>
    <x v="2"/>
  </r>
  <r>
    <n v="4155"/>
    <x v="6"/>
    <x v="1"/>
  </r>
  <r>
    <n v="1851"/>
    <x v="6"/>
    <x v="2"/>
  </r>
  <r>
    <n v="8068"/>
    <x v="3"/>
    <x v="3"/>
  </r>
  <r>
    <n v="8425"/>
    <x v="4"/>
    <x v="3"/>
  </r>
  <r>
    <n v="4706"/>
    <x v="6"/>
    <x v="0"/>
  </r>
  <r>
    <n v="7544"/>
    <x v="2"/>
    <x v="2"/>
  </r>
  <r>
    <n v="4029"/>
    <x v="1"/>
    <x v="1"/>
  </r>
  <r>
    <n v="6117"/>
    <x v="4"/>
    <x v="2"/>
  </r>
  <r>
    <n v="1408"/>
    <x v="3"/>
    <x v="1"/>
  </r>
  <r>
    <n v="8396"/>
    <x v="5"/>
    <x v="0"/>
  </r>
  <r>
    <n v="6806"/>
    <x v="5"/>
    <x v="1"/>
  </r>
  <r>
    <n v="3496"/>
    <x v="3"/>
    <x v="0"/>
  </r>
  <r>
    <n v="7840"/>
    <x v="2"/>
    <x v="0"/>
  </r>
  <r>
    <n v="2099"/>
    <x v="5"/>
    <x v="3"/>
  </r>
  <r>
    <n v="6518"/>
    <x v="2"/>
    <x v="0"/>
  </r>
  <r>
    <n v="1976"/>
    <x v="2"/>
    <x v="1"/>
  </r>
  <r>
    <n v="8777"/>
    <x v="6"/>
    <x v="2"/>
  </r>
  <r>
    <n v="1576"/>
    <x v="4"/>
    <x v="3"/>
  </r>
  <r>
    <n v="7979"/>
    <x v="6"/>
    <x v="0"/>
  </r>
  <r>
    <n v="6300"/>
    <x v="4"/>
    <x v="3"/>
  </r>
  <r>
    <n v="1003"/>
    <x v="5"/>
    <x v="3"/>
  </r>
  <r>
    <n v="8238"/>
    <x v="6"/>
    <x v="0"/>
  </r>
  <r>
    <n v="8261"/>
    <x v="5"/>
    <x v="1"/>
  </r>
  <r>
    <n v="7729"/>
    <x v="5"/>
    <x v="0"/>
  </r>
  <r>
    <n v="8616"/>
    <x v="2"/>
    <x v="1"/>
  </r>
  <r>
    <n v="9734"/>
    <x v="1"/>
    <x v="3"/>
  </r>
  <r>
    <n v="2086"/>
    <x v="0"/>
    <x v="0"/>
  </r>
  <r>
    <n v="8721"/>
    <x v="1"/>
    <x v="3"/>
  </r>
  <r>
    <n v="1075"/>
    <x v="0"/>
    <x v="3"/>
  </r>
  <r>
    <n v="2690"/>
    <x v="6"/>
    <x v="3"/>
  </r>
  <r>
    <n v="7654"/>
    <x v="1"/>
    <x v="1"/>
  </r>
  <r>
    <n v="7577"/>
    <x v="6"/>
    <x v="2"/>
  </r>
  <r>
    <n v="9814"/>
    <x v="0"/>
    <x v="0"/>
  </r>
  <r>
    <n v="5423"/>
    <x v="4"/>
    <x v="0"/>
  </r>
  <r>
    <n v="2660"/>
    <x v="0"/>
    <x v="2"/>
  </r>
  <r>
    <n v="4206"/>
    <x v="2"/>
    <x v="2"/>
  </r>
  <r>
    <n v="5269"/>
    <x v="3"/>
    <x v="3"/>
  </r>
  <r>
    <n v="7922"/>
    <x v="2"/>
    <x v="0"/>
  </r>
  <r>
    <n v="7829"/>
    <x v="1"/>
    <x v="0"/>
  </r>
  <r>
    <n v="1715"/>
    <x v="2"/>
    <x v="1"/>
  </r>
  <r>
    <n v="2639"/>
    <x v="4"/>
    <x v="1"/>
  </r>
  <r>
    <n v="1801"/>
    <x v="5"/>
    <x v="2"/>
  </r>
  <r>
    <n v="9163"/>
    <x v="3"/>
    <x v="1"/>
  </r>
  <r>
    <n v="1284"/>
    <x v="4"/>
    <x v="2"/>
  </r>
  <r>
    <n v="8774"/>
    <x v="0"/>
    <x v="3"/>
  </r>
  <r>
    <n v="3866"/>
    <x v="5"/>
    <x v="1"/>
  </r>
  <r>
    <n v="4477"/>
    <x v="2"/>
    <x v="0"/>
  </r>
  <r>
    <n v="4829"/>
    <x v="5"/>
    <x v="2"/>
  </r>
  <r>
    <n v="1257"/>
    <x v="1"/>
    <x v="0"/>
  </r>
  <r>
    <n v="1897"/>
    <x v="3"/>
    <x v="0"/>
  </r>
  <r>
    <n v="3603"/>
    <x v="0"/>
    <x v="2"/>
  </r>
  <r>
    <n v="9256"/>
    <x v="6"/>
    <x v="2"/>
  </r>
  <r>
    <n v="9469"/>
    <x v="5"/>
    <x v="2"/>
  </r>
  <r>
    <n v="7136"/>
    <x v="6"/>
    <x v="0"/>
  </r>
  <r>
    <n v="2321"/>
    <x v="6"/>
    <x v="1"/>
  </r>
  <r>
    <n v="4243"/>
    <x v="1"/>
    <x v="3"/>
  </r>
  <r>
    <n v="8015"/>
    <x v="2"/>
    <x v="1"/>
  </r>
  <r>
    <n v="3440"/>
    <x v="6"/>
    <x v="0"/>
  </r>
  <r>
    <n v="9914"/>
    <x v="5"/>
    <x v="0"/>
  </r>
  <r>
    <n v="5045"/>
    <x v="6"/>
    <x v="0"/>
  </r>
  <r>
    <n v="1379"/>
    <x v="2"/>
    <x v="0"/>
  </r>
  <r>
    <n v="6099"/>
    <x v="1"/>
    <x v="1"/>
  </r>
  <r>
    <n v="4696"/>
    <x v="0"/>
    <x v="3"/>
  </r>
  <r>
    <n v="4808"/>
    <x v="1"/>
    <x v="0"/>
  </r>
  <r>
    <n v="3633"/>
    <x v="6"/>
    <x v="3"/>
  </r>
  <r>
    <n v="4979"/>
    <x v="4"/>
    <x v="0"/>
  </r>
  <r>
    <n v="2214"/>
    <x v="3"/>
    <x v="0"/>
  </r>
  <r>
    <n v="6606"/>
    <x v="6"/>
    <x v="3"/>
  </r>
  <r>
    <n v="4246"/>
    <x v="2"/>
    <x v="0"/>
  </r>
  <r>
    <n v="2836"/>
    <x v="4"/>
    <x v="3"/>
  </r>
  <r>
    <n v="6963"/>
    <x v="2"/>
    <x v="0"/>
  </r>
  <r>
    <n v="2243"/>
    <x v="6"/>
    <x v="3"/>
  </r>
  <r>
    <n v="5081"/>
    <x v="4"/>
    <x v="3"/>
  </r>
  <r>
    <n v="4171"/>
    <x v="1"/>
    <x v="0"/>
  </r>
  <r>
    <n v="7399"/>
    <x v="5"/>
    <x v="1"/>
  </r>
  <r>
    <n v="1110"/>
    <x v="0"/>
    <x v="0"/>
  </r>
  <r>
    <n v="5630"/>
    <x v="0"/>
    <x v="1"/>
  </r>
  <r>
    <n v="9430"/>
    <x v="2"/>
    <x v="1"/>
  </r>
  <r>
    <n v="7436"/>
    <x v="1"/>
    <x v="1"/>
  </r>
  <r>
    <n v="2147"/>
    <x v="6"/>
    <x v="1"/>
  </r>
  <r>
    <n v="3264"/>
    <x v="2"/>
    <x v="2"/>
  </r>
  <r>
    <n v="1214"/>
    <x v="5"/>
    <x v="0"/>
  </r>
  <r>
    <n v="6050"/>
    <x v="0"/>
    <x v="1"/>
  </r>
  <r>
    <n v="7395"/>
    <x v="4"/>
    <x v="1"/>
  </r>
  <r>
    <n v="3904"/>
    <x v="6"/>
    <x v="1"/>
  </r>
  <r>
    <n v="6545"/>
    <x v="5"/>
    <x v="3"/>
  </r>
  <r>
    <n v="3131"/>
    <x v="2"/>
    <x v="1"/>
  </r>
  <r>
    <n v="8589"/>
    <x v="6"/>
    <x v="0"/>
  </r>
  <r>
    <n v="2908"/>
    <x v="6"/>
    <x v="3"/>
  </r>
  <r>
    <n v="5209"/>
    <x v="6"/>
    <x v="2"/>
  </r>
  <r>
    <n v="2319"/>
    <x v="6"/>
    <x v="2"/>
  </r>
  <r>
    <n v="9026"/>
    <x v="2"/>
    <x v="2"/>
  </r>
  <r>
    <n v="2723"/>
    <x v="3"/>
    <x v="1"/>
  </r>
  <r>
    <n v="5487"/>
    <x v="0"/>
    <x v="0"/>
  </r>
  <r>
    <n v="4656"/>
    <x v="1"/>
    <x v="3"/>
  </r>
  <r>
    <n v="5718"/>
    <x v="1"/>
    <x v="0"/>
  </r>
  <r>
    <n v="1215"/>
    <x v="1"/>
    <x v="2"/>
  </r>
  <r>
    <n v="3427"/>
    <x v="0"/>
    <x v="2"/>
  </r>
  <r>
    <n v="2428"/>
    <x v="6"/>
    <x v="2"/>
  </r>
  <r>
    <n v="1947"/>
    <x v="1"/>
    <x v="2"/>
  </r>
  <r>
    <n v="5036"/>
    <x v="1"/>
    <x v="3"/>
  </r>
  <r>
    <n v="5857"/>
    <x v="5"/>
    <x v="2"/>
  </r>
  <r>
    <n v="8770"/>
    <x v="1"/>
    <x v="3"/>
  </r>
  <r>
    <n v="4118"/>
    <x v="4"/>
    <x v="0"/>
  </r>
  <r>
    <n v="7162"/>
    <x v="6"/>
    <x v="1"/>
  </r>
  <r>
    <n v="9278"/>
    <x v="6"/>
    <x v="0"/>
  </r>
  <r>
    <n v="5406"/>
    <x v="1"/>
    <x v="2"/>
  </r>
  <r>
    <n v="4641"/>
    <x v="4"/>
    <x v="0"/>
  </r>
  <r>
    <n v="3969"/>
    <x v="1"/>
    <x v="0"/>
  </r>
  <r>
    <n v="3078"/>
    <x v="5"/>
    <x v="2"/>
  </r>
  <r>
    <n v="2808"/>
    <x v="0"/>
    <x v="0"/>
  </r>
  <r>
    <n v="7484"/>
    <x v="1"/>
    <x v="3"/>
  </r>
  <r>
    <n v="2396"/>
    <x v="2"/>
    <x v="0"/>
  </r>
  <r>
    <n v="2472"/>
    <x v="3"/>
    <x v="1"/>
  </r>
  <r>
    <n v="7939"/>
    <x v="6"/>
    <x v="0"/>
  </r>
  <r>
    <n v="8269"/>
    <x v="3"/>
    <x v="2"/>
  </r>
  <r>
    <n v="9073"/>
    <x v="4"/>
    <x v="2"/>
  </r>
  <r>
    <n v="9879"/>
    <x v="1"/>
    <x v="0"/>
  </r>
  <r>
    <n v="3822"/>
    <x v="0"/>
    <x v="2"/>
  </r>
  <r>
    <n v="9183"/>
    <x v="5"/>
    <x v="0"/>
  </r>
  <r>
    <n v="8674"/>
    <x v="1"/>
    <x v="3"/>
  </r>
  <r>
    <n v="2481"/>
    <x v="6"/>
    <x v="3"/>
  </r>
  <r>
    <n v="8729"/>
    <x v="4"/>
    <x v="0"/>
  </r>
  <r>
    <n v="5534"/>
    <x v="1"/>
    <x v="1"/>
  </r>
  <r>
    <n v="9785"/>
    <x v="5"/>
    <x v="0"/>
  </r>
  <r>
    <n v="9609"/>
    <x v="4"/>
    <x v="1"/>
  </r>
  <r>
    <n v="2829"/>
    <x v="6"/>
    <x v="2"/>
  </r>
  <r>
    <n v="1714"/>
    <x v="6"/>
    <x v="2"/>
  </r>
  <r>
    <n v="4475"/>
    <x v="1"/>
    <x v="0"/>
  </r>
  <r>
    <n v="9820"/>
    <x v="2"/>
    <x v="2"/>
  </r>
  <r>
    <n v="3261"/>
    <x v="4"/>
    <x v="3"/>
  </r>
  <r>
    <n v="6130"/>
    <x v="3"/>
    <x v="1"/>
  </r>
  <r>
    <n v="9399"/>
    <x v="1"/>
    <x v="3"/>
  </r>
  <r>
    <n v="6047"/>
    <x v="1"/>
    <x v="0"/>
  </r>
  <r>
    <n v="7789"/>
    <x v="0"/>
    <x v="3"/>
  </r>
  <r>
    <n v="6111"/>
    <x v="6"/>
    <x v="3"/>
  </r>
  <r>
    <n v="4968"/>
    <x v="3"/>
    <x v="2"/>
  </r>
  <r>
    <n v="2739"/>
    <x v="2"/>
    <x v="0"/>
  </r>
  <r>
    <n v="6974"/>
    <x v="3"/>
    <x v="3"/>
  </r>
  <r>
    <n v="1784"/>
    <x v="6"/>
    <x v="2"/>
  </r>
  <r>
    <n v="8077"/>
    <x v="5"/>
    <x v="1"/>
  </r>
  <r>
    <n v="2727"/>
    <x v="3"/>
    <x v="1"/>
  </r>
  <r>
    <n v="7661"/>
    <x v="0"/>
    <x v="1"/>
  </r>
  <r>
    <n v="5083"/>
    <x v="1"/>
    <x v="1"/>
  </r>
  <r>
    <n v="7275"/>
    <x v="5"/>
    <x v="0"/>
  </r>
  <r>
    <n v="7316"/>
    <x v="1"/>
    <x v="0"/>
  </r>
  <r>
    <n v="4497"/>
    <x v="0"/>
    <x v="0"/>
  </r>
  <r>
    <n v="8685"/>
    <x v="6"/>
    <x v="0"/>
  </r>
  <r>
    <n v="8583"/>
    <x v="6"/>
    <x v="1"/>
  </r>
  <r>
    <n v="1062"/>
    <x v="0"/>
    <x v="1"/>
  </r>
  <r>
    <n v="2593"/>
    <x v="3"/>
    <x v="0"/>
  </r>
  <r>
    <n v="3951"/>
    <x v="3"/>
    <x v="2"/>
  </r>
  <r>
    <n v="8580"/>
    <x v="0"/>
    <x v="3"/>
  </r>
  <r>
    <n v="4372"/>
    <x v="2"/>
    <x v="0"/>
  </r>
  <r>
    <n v="4463"/>
    <x v="2"/>
    <x v="2"/>
  </r>
  <r>
    <n v="7498"/>
    <x v="4"/>
    <x v="3"/>
  </r>
  <r>
    <n v="9618"/>
    <x v="4"/>
    <x v="1"/>
  </r>
  <r>
    <n v="1813"/>
    <x v="4"/>
    <x v="3"/>
  </r>
  <r>
    <n v="3009"/>
    <x v="4"/>
    <x v="1"/>
  </r>
  <r>
    <n v="8210"/>
    <x v="5"/>
    <x v="0"/>
  </r>
  <r>
    <n v="8439"/>
    <x v="2"/>
    <x v="3"/>
  </r>
  <r>
    <n v="8310"/>
    <x v="5"/>
    <x v="0"/>
  </r>
  <r>
    <n v="6369"/>
    <x v="3"/>
    <x v="0"/>
  </r>
  <r>
    <n v="5721"/>
    <x v="0"/>
    <x v="2"/>
  </r>
  <r>
    <n v="4204"/>
    <x v="2"/>
    <x v="1"/>
  </r>
  <r>
    <n v="5666"/>
    <x v="2"/>
    <x v="2"/>
  </r>
  <r>
    <n v="5943"/>
    <x v="3"/>
    <x v="3"/>
  </r>
  <r>
    <n v="3202"/>
    <x v="2"/>
    <x v="3"/>
  </r>
  <r>
    <n v="4512"/>
    <x v="2"/>
    <x v="2"/>
  </r>
  <r>
    <n v="2075"/>
    <x v="0"/>
    <x v="1"/>
  </r>
  <r>
    <n v="4057"/>
    <x v="1"/>
    <x v="0"/>
  </r>
  <r>
    <n v="5537"/>
    <x v="1"/>
    <x v="1"/>
  </r>
  <r>
    <n v="9520"/>
    <x v="5"/>
    <x v="0"/>
  </r>
  <r>
    <n v="1081"/>
    <x v="1"/>
    <x v="1"/>
  </r>
  <r>
    <n v="7621"/>
    <x v="4"/>
    <x v="1"/>
  </r>
  <r>
    <n v="4558"/>
    <x v="5"/>
    <x v="2"/>
  </r>
  <r>
    <n v="6628"/>
    <x v="3"/>
    <x v="1"/>
  </r>
  <r>
    <n v="7643"/>
    <x v="0"/>
    <x v="0"/>
  </r>
  <r>
    <n v="4709"/>
    <x v="4"/>
    <x v="1"/>
  </r>
  <r>
    <n v="8408"/>
    <x v="0"/>
    <x v="2"/>
  </r>
  <r>
    <n v="3530"/>
    <x v="3"/>
    <x v="1"/>
  </r>
  <r>
    <n v="3779"/>
    <x v="2"/>
    <x v="3"/>
  </r>
  <r>
    <n v="8564"/>
    <x v="0"/>
    <x v="1"/>
  </r>
  <r>
    <n v="8731"/>
    <x v="1"/>
    <x v="0"/>
  </r>
  <r>
    <n v="5000"/>
    <x v="3"/>
    <x v="2"/>
  </r>
  <r>
    <n v="3882"/>
    <x v="1"/>
    <x v="2"/>
  </r>
  <r>
    <n v="4551"/>
    <x v="0"/>
    <x v="2"/>
  </r>
  <r>
    <n v="7970"/>
    <x v="5"/>
    <x v="0"/>
  </r>
  <r>
    <n v="2466"/>
    <x v="0"/>
    <x v="0"/>
  </r>
  <r>
    <n v="1303"/>
    <x v="4"/>
    <x v="3"/>
  </r>
  <r>
    <n v="9832"/>
    <x v="4"/>
    <x v="0"/>
  </r>
  <r>
    <n v="3618"/>
    <x v="4"/>
    <x v="3"/>
  </r>
  <r>
    <n v="7424"/>
    <x v="5"/>
    <x v="2"/>
  </r>
  <r>
    <n v="8414"/>
    <x v="3"/>
    <x v="3"/>
  </r>
  <r>
    <n v="5688"/>
    <x v="1"/>
    <x v="2"/>
  </r>
  <r>
    <n v="2062"/>
    <x v="6"/>
    <x v="2"/>
  </r>
  <r>
    <n v="5031"/>
    <x v="2"/>
    <x v="0"/>
  </r>
  <r>
    <n v="1162"/>
    <x v="3"/>
    <x v="1"/>
  </r>
  <r>
    <n v="6564"/>
    <x v="0"/>
    <x v="1"/>
  </r>
  <r>
    <n v="9298"/>
    <x v="6"/>
    <x v="0"/>
  </r>
  <r>
    <n v="4216"/>
    <x v="4"/>
    <x v="1"/>
  </r>
  <r>
    <n v="3677"/>
    <x v="1"/>
    <x v="0"/>
  </r>
  <r>
    <n v="8453"/>
    <x v="3"/>
    <x v="3"/>
  </r>
  <r>
    <n v="6231"/>
    <x v="6"/>
    <x v="2"/>
  </r>
  <r>
    <n v="1481"/>
    <x v="2"/>
    <x v="1"/>
  </r>
  <r>
    <n v="7400"/>
    <x v="4"/>
    <x v="1"/>
  </r>
  <r>
    <n v="7447"/>
    <x v="5"/>
    <x v="0"/>
  </r>
  <r>
    <n v="4597"/>
    <x v="6"/>
    <x v="0"/>
  </r>
  <r>
    <n v="3173"/>
    <x v="6"/>
    <x v="3"/>
  </r>
  <r>
    <n v="9514"/>
    <x v="2"/>
    <x v="1"/>
  </r>
  <r>
    <n v="4985"/>
    <x v="2"/>
    <x v="3"/>
  </r>
  <r>
    <n v="4486"/>
    <x v="4"/>
    <x v="3"/>
  </r>
  <r>
    <n v="8756"/>
    <x v="4"/>
    <x v="1"/>
  </r>
  <r>
    <n v="9121"/>
    <x v="1"/>
    <x v="3"/>
  </r>
  <r>
    <n v="6471"/>
    <x v="4"/>
    <x v="2"/>
  </r>
  <r>
    <n v="6601"/>
    <x v="6"/>
    <x v="1"/>
  </r>
  <r>
    <n v="4340"/>
    <x v="2"/>
    <x v="0"/>
  </r>
  <r>
    <n v="5112"/>
    <x v="0"/>
    <x v="3"/>
  </r>
  <r>
    <n v="5700"/>
    <x v="6"/>
    <x v="2"/>
  </r>
  <r>
    <n v="8617"/>
    <x v="4"/>
    <x v="3"/>
  </r>
  <r>
    <n v="9149"/>
    <x v="4"/>
    <x v="1"/>
  </r>
  <r>
    <n v="8651"/>
    <x v="6"/>
    <x v="2"/>
  </r>
  <r>
    <n v="1495"/>
    <x v="6"/>
    <x v="1"/>
  </r>
  <r>
    <n v="7359"/>
    <x v="0"/>
    <x v="2"/>
  </r>
  <r>
    <n v="6525"/>
    <x v="0"/>
    <x v="2"/>
  </r>
  <r>
    <n v="7207"/>
    <x v="4"/>
    <x v="2"/>
  </r>
  <r>
    <n v="2361"/>
    <x v="2"/>
    <x v="0"/>
  </r>
  <r>
    <n v="8766"/>
    <x v="1"/>
    <x v="2"/>
  </r>
  <r>
    <n v="7236"/>
    <x v="2"/>
    <x v="3"/>
  </r>
  <r>
    <n v="8605"/>
    <x v="3"/>
    <x v="1"/>
  </r>
  <r>
    <n v="1055"/>
    <x v="6"/>
    <x v="2"/>
  </r>
  <r>
    <n v="7986"/>
    <x v="4"/>
    <x v="3"/>
  </r>
  <r>
    <n v="6170"/>
    <x v="2"/>
    <x v="3"/>
  </r>
  <r>
    <n v="7172"/>
    <x v="6"/>
    <x v="2"/>
  </r>
  <r>
    <n v="7408"/>
    <x v="3"/>
    <x v="3"/>
  </r>
  <r>
    <n v="7274"/>
    <x v="6"/>
    <x v="2"/>
  </r>
  <r>
    <n v="6001"/>
    <x v="0"/>
    <x v="1"/>
  </r>
  <r>
    <n v="9418"/>
    <x v="3"/>
    <x v="2"/>
  </r>
  <r>
    <n v="9354"/>
    <x v="4"/>
    <x v="0"/>
  </r>
  <r>
    <n v="8122"/>
    <x v="2"/>
    <x v="2"/>
  </r>
  <r>
    <n v="1765"/>
    <x v="2"/>
    <x v="2"/>
  </r>
  <r>
    <n v="5352"/>
    <x v="0"/>
    <x v="3"/>
  </r>
  <r>
    <n v="7578"/>
    <x v="0"/>
    <x v="1"/>
  </r>
  <r>
    <n v="8912"/>
    <x v="3"/>
    <x v="1"/>
  </r>
  <r>
    <n v="6641"/>
    <x v="2"/>
    <x v="3"/>
  </r>
  <r>
    <n v="9664"/>
    <x v="2"/>
    <x v="3"/>
  </r>
  <r>
    <n v="9134"/>
    <x v="6"/>
    <x v="1"/>
  </r>
  <r>
    <n v="6663"/>
    <x v="5"/>
    <x v="1"/>
  </r>
  <r>
    <n v="9800"/>
    <x v="2"/>
    <x v="0"/>
  </r>
  <r>
    <n v="2363"/>
    <x v="4"/>
    <x v="0"/>
  </r>
  <r>
    <n v="4875"/>
    <x v="5"/>
    <x v="1"/>
  </r>
  <r>
    <n v="8961"/>
    <x v="0"/>
    <x v="3"/>
  </r>
  <r>
    <n v="1539"/>
    <x v="4"/>
    <x v="1"/>
  </r>
  <r>
    <n v="4037"/>
    <x v="1"/>
    <x v="0"/>
  </r>
  <r>
    <n v="4239"/>
    <x v="3"/>
    <x v="1"/>
  </r>
  <r>
    <n v="4364"/>
    <x v="3"/>
    <x v="0"/>
  </r>
  <r>
    <n v="8946"/>
    <x v="0"/>
    <x v="0"/>
  </r>
  <r>
    <n v="5911"/>
    <x v="6"/>
    <x v="3"/>
  </r>
  <r>
    <n v="8033"/>
    <x v="4"/>
    <x v="1"/>
  </r>
  <r>
    <n v="6603"/>
    <x v="4"/>
    <x v="3"/>
  </r>
  <r>
    <n v="9630"/>
    <x v="5"/>
    <x v="3"/>
  </r>
  <r>
    <n v="1691"/>
    <x v="1"/>
    <x v="3"/>
  </r>
  <r>
    <n v="5590"/>
    <x v="2"/>
    <x v="0"/>
  </r>
  <r>
    <n v="8645"/>
    <x v="0"/>
    <x v="0"/>
  </r>
  <r>
    <n v="7663"/>
    <x v="6"/>
    <x v="2"/>
  </r>
  <r>
    <n v="2647"/>
    <x v="1"/>
    <x v="0"/>
  </r>
  <r>
    <n v="6539"/>
    <x v="4"/>
    <x v="1"/>
  </r>
  <r>
    <n v="3472"/>
    <x v="2"/>
    <x v="2"/>
  </r>
  <r>
    <n v="4314"/>
    <x v="0"/>
    <x v="0"/>
  </r>
  <r>
    <n v="6739"/>
    <x v="0"/>
    <x v="1"/>
  </r>
  <r>
    <n v="6368"/>
    <x v="1"/>
    <x v="2"/>
  </r>
  <r>
    <n v="7309"/>
    <x v="1"/>
    <x v="2"/>
  </r>
  <r>
    <n v="3976"/>
    <x v="1"/>
    <x v="1"/>
  </r>
  <r>
    <n v="7230"/>
    <x v="1"/>
    <x v="1"/>
  </r>
  <r>
    <n v="8888"/>
    <x v="3"/>
    <x v="1"/>
  </r>
  <r>
    <n v="1194"/>
    <x v="6"/>
    <x v="0"/>
  </r>
  <r>
    <n v="6983"/>
    <x v="2"/>
    <x v="0"/>
  </r>
  <r>
    <n v="1413"/>
    <x v="0"/>
    <x v="0"/>
  </r>
  <r>
    <n v="9509"/>
    <x v="3"/>
    <x v="1"/>
  </r>
  <r>
    <n v="6330"/>
    <x v="0"/>
    <x v="3"/>
  </r>
  <r>
    <n v="2504"/>
    <x v="2"/>
    <x v="0"/>
  </r>
  <r>
    <n v="6593"/>
    <x v="2"/>
    <x v="1"/>
  </r>
  <r>
    <n v="9537"/>
    <x v="2"/>
    <x v="3"/>
  </r>
  <r>
    <n v="9628"/>
    <x v="0"/>
    <x v="2"/>
  </r>
  <r>
    <n v="4024"/>
    <x v="2"/>
    <x v="0"/>
  </r>
  <r>
    <n v="5321"/>
    <x v="1"/>
    <x v="3"/>
  </r>
  <r>
    <n v="3926"/>
    <x v="6"/>
    <x v="3"/>
  </r>
  <r>
    <n v="8738"/>
    <x v="2"/>
    <x v="1"/>
  </r>
  <r>
    <n v="2701"/>
    <x v="4"/>
    <x v="3"/>
  </r>
  <r>
    <n v="5339"/>
    <x v="6"/>
    <x v="3"/>
  </r>
  <r>
    <n v="1612"/>
    <x v="3"/>
    <x v="1"/>
  </r>
  <r>
    <n v="5407"/>
    <x v="0"/>
    <x v="2"/>
  </r>
  <r>
    <n v="8225"/>
    <x v="5"/>
    <x v="0"/>
  </r>
  <r>
    <n v="4714"/>
    <x v="4"/>
    <x v="1"/>
  </r>
  <r>
    <n v="3826"/>
    <x v="0"/>
    <x v="3"/>
  </r>
  <r>
    <n v="3781"/>
    <x v="2"/>
    <x v="0"/>
  </r>
  <r>
    <n v="5635"/>
    <x v="4"/>
    <x v="1"/>
  </r>
  <r>
    <n v="2291"/>
    <x v="4"/>
    <x v="2"/>
  </r>
  <r>
    <n v="3119"/>
    <x v="4"/>
    <x v="1"/>
  </r>
  <r>
    <n v="5280"/>
    <x v="4"/>
    <x v="2"/>
  </r>
  <r>
    <n v="2546"/>
    <x v="4"/>
    <x v="1"/>
  </r>
  <r>
    <n v="5975"/>
    <x v="5"/>
    <x v="2"/>
  </r>
  <r>
    <n v="9113"/>
    <x v="2"/>
    <x v="1"/>
  </r>
  <r>
    <n v="6250"/>
    <x v="1"/>
    <x v="2"/>
  </r>
  <r>
    <n v="6190"/>
    <x v="0"/>
    <x v="1"/>
  </r>
  <r>
    <n v="5713"/>
    <x v="0"/>
    <x v="3"/>
  </r>
  <r>
    <n v="1932"/>
    <x v="6"/>
    <x v="1"/>
  </r>
  <r>
    <n v="6527"/>
    <x v="4"/>
    <x v="0"/>
  </r>
  <r>
    <n v="9363"/>
    <x v="5"/>
    <x v="0"/>
  </r>
  <r>
    <n v="5019"/>
    <x v="5"/>
    <x v="2"/>
  </r>
  <r>
    <n v="9258"/>
    <x v="5"/>
    <x v="0"/>
  </r>
  <r>
    <n v="7512"/>
    <x v="3"/>
    <x v="1"/>
  </r>
  <r>
    <n v="8195"/>
    <x v="5"/>
    <x v="1"/>
  </r>
  <r>
    <n v="8242"/>
    <x v="1"/>
    <x v="0"/>
  </r>
  <r>
    <n v="2220"/>
    <x v="5"/>
    <x v="0"/>
  </r>
  <r>
    <n v="9308"/>
    <x v="0"/>
    <x v="0"/>
  </r>
  <r>
    <n v="3437"/>
    <x v="4"/>
    <x v="1"/>
  </r>
  <r>
    <n v="8305"/>
    <x v="6"/>
    <x v="1"/>
  </r>
  <r>
    <n v="6773"/>
    <x v="0"/>
    <x v="0"/>
  </r>
  <r>
    <n v="3010"/>
    <x v="4"/>
    <x v="0"/>
  </r>
  <r>
    <n v="3622"/>
    <x v="6"/>
    <x v="3"/>
  </r>
  <r>
    <n v="6006"/>
    <x v="6"/>
    <x v="3"/>
  </r>
  <r>
    <n v="1338"/>
    <x v="4"/>
    <x v="3"/>
  </r>
  <r>
    <n v="6722"/>
    <x v="3"/>
    <x v="1"/>
  </r>
  <r>
    <n v="5871"/>
    <x v="1"/>
    <x v="0"/>
  </r>
  <r>
    <n v="9290"/>
    <x v="0"/>
    <x v="1"/>
  </r>
  <r>
    <n v="8567"/>
    <x v="4"/>
    <x v="3"/>
  </r>
  <r>
    <n v="5253"/>
    <x v="4"/>
    <x v="3"/>
  </r>
  <r>
    <n v="8172"/>
    <x v="1"/>
    <x v="2"/>
  </r>
  <r>
    <n v="2154"/>
    <x v="2"/>
    <x v="2"/>
  </r>
  <r>
    <n v="5013"/>
    <x v="2"/>
    <x v="0"/>
  </r>
  <r>
    <n v="4211"/>
    <x v="6"/>
    <x v="0"/>
  </r>
  <r>
    <n v="4408"/>
    <x v="2"/>
    <x v="2"/>
  </r>
  <r>
    <n v="8473"/>
    <x v="6"/>
    <x v="1"/>
  </r>
  <r>
    <n v="7510"/>
    <x v="6"/>
    <x v="0"/>
  </r>
  <r>
    <n v="5376"/>
    <x v="5"/>
    <x v="0"/>
  </r>
  <r>
    <n v="8005"/>
    <x v="2"/>
    <x v="0"/>
  </r>
  <r>
    <n v="7439"/>
    <x v="0"/>
    <x v="0"/>
  </r>
  <r>
    <n v="3699"/>
    <x v="6"/>
    <x v="3"/>
  </r>
  <r>
    <n v="3162"/>
    <x v="0"/>
    <x v="2"/>
  </r>
  <r>
    <n v="8798"/>
    <x v="1"/>
    <x v="0"/>
  </r>
  <r>
    <n v="6400"/>
    <x v="0"/>
    <x v="2"/>
  </r>
  <r>
    <n v="9404"/>
    <x v="5"/>
    <x v="0"/>
  </r>
  <r>
    <n v="8151"/>
    <x v="1"/>
    <x v="3"/>
  </r>
  <r>
    <n v="7742"/>
    <x v="0"/>
    <x v="0"/>
  </r>
  <r>
    <n v="4553"/>
    <x v="3"/>
    <x v="1"/>
  </r>
  <r>
    <n v="6919"/>
    <x v="1"/>
    <x v="0"/>
  </r>
  <r>
    <n v="7168"/>
    <x v="6"/>
    <x v="0"/>
  </r>
  <r>
    <n v="6474"/>
    <x v="2"/>
    <x v="0"/>
  </r>
  <r>
    <n v="4242"/>
    <x v="1"/>
    <x v="2"/>
  </r>
  <r>
    <n v="3395"/>
    <x v="3"/>
    <x v="3"/>
  </r>
  <r>
    <n v="8694"/>
    <x v="4"/>
    <x v="0"/>
  </r>
  <r>
    <n v="7150"/>
    <x v="3"/>
    <x v="1"/>
  </r>
  <r>
    <n v="4111"/>
    <x v="5"/>
    <x v="2"/>
  </r>
  <r>
    <n v="3532"/>
    <x v="0"/>
    <x v="1"/>
  </r>
  <r>
    <n v="5375"/>
    <x v="2"/>
    <x v="1"/>
  </r>
  <r>
    <n v="8881"/>
    <x v="6"/>
    <x v="3"/>
  </r>
  <r>
    <n v="1235"/>
    <x v="3"/>
    <x v="1"/>
  </r>
  <r>
    <n v="2533"/>
    <x v="4"/>
    <x v="2"/>
  </r>
  <r>
    <n v="2734"/>
    <x v="6"/>
    <x v="2"/>
  </r>
  <r>
    <n v="4129"/>
    <x v="6"/>
    <x v="0"/>
  </r>
  <r>
    <n v="3762"/>
    <x v="4"/>
    <x v="0"/>
  </r>
  <r>
    <n v="4341"/>
    <x v="4"/>
    <x v="0"/>
  </r>
  <r>
    <n v="6638"/>
    <x v="1"/>
    <x v="1"/>
  </r>
  <r>
    <n v="5861"/>
    <x v="5"/>
    <x v="1"/>
  </r>
  <r>
    <n v="8815"/>
    <x v="6"/>
    <x v="3"/>
  </r>
  <r>
    <n v="8793"/>
    <x v="4"/>
    <x v="1"/>
  </r>
  <r>
    <n v="3469"/>
    <x v="4"/>
    <x v="3"/>
  </r>
  <r>
    <n v="3654"/>
    <x v="1"/>
    <x v="0"/>
  </r>
  <r>
    <n v="9555"/>
    <x v="2"/>
    <x v="3"/>
  </r>
  <r>
    <n v="4028"/>
    <x v="4"/>
    <x v="2"/>
  </r>
  <r>
    <n v="9499"/>
    <x v="0"/>
    <x v="0"/>
  </r>
  <r>
    <n v="8628"/>
    <x v="2"/>
    <x v="0"/>
  </r>
  <r>
    <n v="9942"/>
    <x v="1"/>
    <x v="3"/>
  </r>
  <r>
    <n v="4044"/>
    <x v="6"/>
    <x v="3"/>
  </r>
  <r>
    <n v="8143"/>
    <x v="5"/>
    <x v="1"/>
  </r>
  <r>
    <n v="3984"/>
    <x v="5"/>
    <x v="0"/>
  </r>
  <r>
    <n v="9294"/>
    <x v="1"/>
    <x v="1"/>
  </r>
  <r>
    <n v="4769"/>
    <x v="0"/>
    <x v="0"/>
  </r>
  <r>
    <n v="8864"/>
    <x v="2"/>
    <x v="3"/>
  </r>
  <r>
    <n v="1857"/>
    <x v="3"/>
    <x v="3"/>
  </r>
  <r>
    <n v="5566"/>
    <x v="5"/>
    <x v="0"/>
  </r>
  <r>
    <n v="1373"/>
    <x v="0"/>
    <x v="2"/>
  </r>
  <r>
    <n v="6345"/>
    <x v="1"/>
    <x v="0"/>
  </r>
  <r>
    <n v="3234"/>
    <x v="4"/>
    <x v="0"/>
  </r>
  <r>
    <n v="6998"/>
    <x v="3"/>
    <x v="2"/>
  </r>
  <r>
    <n v="5809"/>
    <x v="2"/>
    <x v="1"/>
  </r>
  <r>
    <n v="6522"/>
    <x v="1"/>
    <x v="3"/>
  </r>
  <r>
    <n v="3892"/>
    <x v="1"/>
    <x v="0"/>
  </r>
  <r>
    <n v="4427"/>
    <x v="4"/>
    <x v="3"/>
  </r>
  <r>
    <n v="8145"/>
    <x v="2"/>
    <x v="0"/>
  </r>
  <r>
    <n v="1150"/>
    <x v="3"/>
    <x v="0"/>
  </r>
  <r>
    <n v="7366"/>
    <x v="5"/>
    <x v="1"/>
  </r>
  <r>
    <n v="3004"/>
    <x v="1"/>
    <x v="3"/>
  </r>
  <r>
    <n v="9934"/>
    <x v="4"/>
    <x v="1"/>
  </r>
  <r>
    <n v="1228"/>
    <x v="5"/>
    <x v="1"/>
  </r>
  <r>
    <n v="5806"/>
    <x v="4"/>
    <x v="3"/>
  </r>
  <r>
    <n v="7538"/>
    <x v="0"/>
    <x v="0"/>
  </r>
  <r>
    <n v="1035"/>
    <x v="5"/>
    <x v="1"/>
  </r>
  <r>
    <n v="8399"/>
    <x v="2"/>
    <x v="3"/>
  </r>
  <r>
    <n v="1912"/>
    <x v="4"/>
    <x v="3"/>
  </r>
  <r>
    <n v="6604"/>
    <x v="2"/>
    <x v="3"/>
  </r>
  <r>
    <n v="8952"/>
    <x v="6"/>
    <x v="2"/>
  </r>
  <r>
    <n v="2549"/>
    <x v="4"/>
    <x v="3"/>
  </r>
  <r>
    <n v="8954"/>
    <x v="0"/>
    <x v="1"/>
  </r>
  <r>
    <n v="1922"/>
    <x v="3"/>
    <x v="1"/>
  </r>
  <r>
    <n v="9861"/>
    <x v="4"/>
    <x v="2"/>
  </r>
  <r>
    <n v="4383"/>
    <x v="4"/>
    <x v="2"/>
  </r>
  <r>
    <n v="4328"/>
    <x v="5"/>
    <x v="0"/>
  </r>
  <r>
    <n v="4622"/>
    <x v="4"/>
    <x v="2"/>
  </r>
  <r>
    <n v="7828"/>
    <x v="6"/>
    <x v="1"/>
  </r>
  <r>
    <n v="1393"/>
    <x v="3"/>
    <x v="1"/>
  </r>
  <r>
    <n v="9239"/>
    <x v="2"/>
    <x v="0"/>
  </r>
  <r>
    <n v="1636"/>
    <x v="4"/>
    <x v="3"/>
  </r>
  <r>
    <n v="4401"/>
    <x v="5"/>
    <x v="3"/>
  </r>
  <r>
    <n v="7135"/>
    <x v="5"/>
    <x v="2"/>
  </r>
  <r>
    <n v="8923"/>
    <x v="6"/>
    <x v="2"/>
  </r>
  <r>
    <n v="9748"/>
    <x v="0"/>
    <x v="3"/>
  </r>
  <r>
    <n v="7046"/>
    <x v="4"/>
    <x v="0"/>
  </r>
  <r>
    <n v="9688"/>
    <x v="6"/>
    <x v="3"/>
  </r>
  <r>
    <n v="6720"/>
    <x v="6"/>
    <x v="3"/>
  </r>
  <r>
    <n v="2766"/>
    <x v="4"/>
    <x v="1"/>
  </r>
  <r>
    <n v="3847"/>
    <x v="3"/>
    <x v="0"/>
  </r>
  <r>
    <n v="8554"/>
    <x v="0"/>
    <x v="2"/>
  </r>
  <r>
    <n v="6569"/>
    <x v="1"/>
    <x v="1"/>
  </r>
  <r>
    <n v="6391"/>
    <x v="2"/>
    <x v="1"/>
  </r>
  <r>
    <n v="4883"/>
    <x v="3"/>
    <x v="3"/>
  </r>
  <r>
    <n v="4530"/>
    <x v="5"/>
    <x v="0"/>
  </r>
  <r>
    <n v="6531"/>
    <x v="6"/>
    <x v="1"/>
  </r>
  <r>
    <n v="9701"/>
    <x v="2"/>
    <x v="3"/>
  </r>
  <r>
    <n v="4702"/>
    <x v="4"/>
    <x v="1"/>
  </r>
  <r>
    <n v="3163"/>
    <x v="5"/>
    <x v="0"/>
  </r>
  <r>
    <n v="8719"/>
    <x v="2"/>
    <x v="3"/>
  </r>
  <r>
    <n v="1282"/>
    <x v="4"/>
    <x v="3"/>
  </r>
  <r>
    <n v="4538"/>
    <x v="0"/>
    <x v="2"/>
  </r>
  <r>
    <n v="9538"/>
    <x v="0"/>
    <x v="3"/>
  </r>
  <r>
    <n v="5109"/>
    <x v="5"/>
    <x v="2"/>
  </r>
  <r>
    <n v="7947"/>
    <x v="2"/>
    <x v="2"/>
  </r>
  <r>
    <n v="7546"/>
    <x v="3"/>
    <x v="3"/>
  </r>
  <r>
    <n v="4213"/>
    <x v="1"/>
    <x v="3"/>
  </r>
  <r>
    <n v="3135"/>
    <x v="6"/>
    <x v="3"/>
  </r>
  <r>
    <n v="9916"/>
    <x v="2"/>
    <x v="2"/>
  </r>
  <r>
    <n v="2784"/>
    <x v="6"/>
    <x v="0"/>
  </r>
  <r>
    <n v="5916"/>
    <x v="5"/>
    <x v="1"/>
  </r>
  <r>
    <n v="1674"/>
    <x v="2"/>
    <x v="0"/>
  </r>
  <r>
    <n v="2095"/>
    <x v="1"/>
    <x v="3"/>
  </r>
  <r>
    <n v="9594"/>
    <x v="6"/>
    <x v="2"/>
  </r>
  <r>
    <n v="6750"/>
    <x v="6"/>
    <x v="2"/>
  </r>
  <r>
    <n v="7235"/>
    <x v="2"/>
    <x v="2"/>
  </r>
  <r>
    <n v="3910"/>
    <x v="4"/>
    <x v="1"/>
  </r>
  <r>
    <n v="8190"/>
    <x v="6"/>
    <x v="2"/>
  </r>
  <r>
    <n v="5315"/>
    <x v="1"/>
    <x v="3"/>
  </r>
  <r>
    <n v="7503"/>
    <x v="6"/>
    <x v="1"/>
  </r>
  <r>
    <n v="5788"/>
    <x v="5"/>
    <x v="2"/>
  </r>
  <r>
    <n v="7030"/>
    <x v="0"/>
    <x v="0"/>
  </r>
  <r>
    <n v="6619"/>
    <x v="3"/>
    <x v="3"/>
  </r>
  <r>
    <n v="6319"/>
    <x v="6"/>
    <x v="1"/>
  </r>
  <r>
    <n v="6268"/>
    <x v="3"/>
    <x v="0"/>
  </r>
  <r>
    <n v="5016"/>
    <x v="0"/>
    <x v="0"/>
  </r>
  <r>
    <n v="3888"/>
    <x v="4"/>
    <x v="3"/>
  </r>
  <r>
    <n v="9918"/>
    <x v="3"/>
    <x v="0"/>
  </r>
  <r>
    <n v="7305"/>
    <x v="0"/>
    <x v="2"/>
  </r>
  <r>
    <n v="5719"/>
    <x v="5"/>
    <x v="3"/>
  </r>
  <r>
    <n v="2334"/>
    <x v="2"/>
    <x v="1"/>
  </r>
  <r>
    <n v="1006"/>
    <x v="3"/>
    <x v="2"/>
  </r>
  <r>
    <n v="6719"/>
    <x v="4"/>
    <x v="3"/>
  </r>
  <r>
    <n v="6138"/>
    <x v="3"/>
    <x v="2"/>
  </r>
  <r>
    <n v="1255"/>
    <x v="3"/>
    <x v="3"/>
  </r>
  <r>
    <n v="5528"/>
    <x v="4"/>
    <x v="1"/>
  </r>
  <r>
    <n v="2517"/>
    <x v="6"/>
    <x v="0"/>
  </r>
  <r>
    <n v="9593"/>
    <x v="2"/>
    <x v="0"/>
  </r>
  <r>
    <n v="7507"/>
    <x v="6"/>
    <x v="2"/>
  </r>
  <r>
    <n v="2884"/>
    <x v="5"/>
    <x v="3"/>
  </r>
  <r>
    <n v="6374"/>
    <x v="3"/>
    <x v="0"/>
  </r>
  <r>
    <n v="6888"/>
    <x v="0"/>
    <x v="2"/>
  </r>
  <r>
    <n v="2788"/>
    <x v="5"/>
    <x v="2"/>
  </r>
  <r>
    <n v="7892"/>
    <x v="6"/>
    <x v="2"/>
  </r>
  <r>
    <n v="4576"/>
    <x v="5"/>
    <x v="2"/>
  </r>
  <r>
    <n v="8901"/>
    <x v="0"/>
    <x v="3"/>
  </r>
  <r>
    <n v="5147"/>
    <x v="2"/>
    <x v="0"/>
  </r>
  <r>
    <n v="8646"/>
    <x v="2"/>
    <x v="0"/>
  </r>
  <r>
    <n v="8343"/>
    <x v="6"/>
    <x v="0"/>
  </r>
  <r>
    <n v="9332"/>
    <x v="0"/>
    <x v="0"/>
  </r>
  <r>
    <n v="7398"/>
    <x v="1"/>
    <x v="0"/>
  </r>
  <r>
    <n v="3572"/>
    <x v="3"/>
    <x v="0"/>
  </r>
  <r>
    <n v="4590"/>
    <x v="2"/>
    <x v="1"/>
  </r>
  <r>
    <n v="1831"/>
    <x v="5"/>
    <x v="2"/>
  </r>
  <r>
    <n v="6899"/>
    <x v="6"/>
    <x v="3"/>
  </r>
  <r>
    <n v="1148"/>
    <x v="5"/>
    <x v="3"/>
  </r>
  <r>
    <n v="3745"/>
    <x v="1"/>
    <x v="1"/>
  </r>
  <r>
    <n v="5084"/>
    <x v="1"/>
    <x v="2"/>
  </r>
  <r>
    <n v="7179"/>
    <x v="6"/>
    <x v="1"/>
  </r>
  <r>
    <n v="1005"/>
    <x v="3"/>
    <x v="2"/>
  </r>
  <r>
    <n v="6405"/>
    <x v="3"/>
    <x v="3"/>
  </r>
  <r>
    <n v="5215"/>
    <x v="2"/>
    <x v="1"/>
  </r>
  <r>
    <n v="7525"/>
    <x v="5"/>
    <x v="0"/>
  </r>
  <r>
    <n v="9115"/>
    <x v="1"/>
    <x v="2"/>
  </r>
  <r>
    <n v="6454"/>
    <x v="0"/>
    <x v="2"/>
  </r>
  <r>
    <n v="4781"/>
    <x v="3"/>
    <x v="0"/>
  </r>
  <r>
    <n v="5040"/>
    <x v="6"/>
    <x v="1"/>
  </r>
  <r>
    <n v="3209"/>
    <x v="2"/>
    <x v="3"/>
  </r>
  <r>
    <n v="8703"/>
    <x v="1"/>
    <x v="0"/>
  </r>
  <r>
    <n v="2536"/>
    <x v="6"/>
    <x v="3"/>
  </r>
  <r>
    <n v="2057"/>
    <x v="0"/>
    <x v="2"/>
  </r>
  <r>
    <n v="5627"/>
    <x v="0"/>
    <x v="3"/>
  </r>
  <r>
    <n v="4763"/>
    <x v="4"/>
    <x v="1"/>
  </r>
  <r>
    <n v="4577"/>
    <x v="2"/>
    <x v="2"/>
  </r>
  <r>
    <n v="5216"/>
    <x v="0"/>
    <x v="1"/>
  </r>
  <r>
    <n v="3941"/>
    <x v="2"/>
    <x v="3"/>
  </r>
  <r>
    <n v="4396"/>
    <x v="1"/>
    <x v="2"/>
  </r>
  <r>
    <n v="4865"/>
    <x v="6"/>
    <x v="0"/>
  </r>
  <r>
    <n v="2497"/>
    <x v="2"/>
    <x v="2"/>
  </r>
  <r>
    <n v="4945"/>
    <x v="1"/>
    <x v="0"/>
  </r>
  <r>
    <n v="5227"/>
    <x v="0"/>
    <x v="3"/>
  </r>
  <r>
    <n v="2150"/>
    <x v="0"/>
    <x v="3"/>
  </r>
  <r>
    <n v="7145"/>
    <x v="0"/>
    <x v="0"/>
  </r>
  <r>
    <n v="2040"/>
    <x v="4"/>
    <x v="3"/>
  </r>
  <r>
    <n v="4191"/>
    <x v="5"/>
    <x v="3"/>
  </r>
  <r>
    <n v="4336"/>
    <x v="2"/>
    <x v="3"/>
  </r>
  <r>
    <n v="5438"/>
    <x v="6"/>
    <x v="1"/>
  </r>
  <r>
    <n v="9857"/>
    <x v="5"/>
    <x v="3"/>
  </r>
  <r>
    <n v="4767"/>
    <x v="4"/>
    <x v="3"/>
  </r>
  <r>
    <n v="9374"/>
    <x v="0"/>
    <x v="1"/>
  </r>
  <r>
    <n v="3918"/>
    <x v="2"/>
    <x v="1"/>
  </r>
  <r>
    <n v="9866"/>
    <x v="0"/>
    <x v="2"/>
  </r>
  <r>
    <n v="6389"/>
    <x v="1"/>
    <x v="0"/>
  </r>
  <r>
    <n v="8733"/>
    <x v="4"/>
    <x v="1"/>
  </r>
  <r>
    <n v="8105"/>
    <x v="3"/>
    <x v="2"/>
  </r>
  <r>
    <n v="3443"/>
    <x v="4"/>
    <x v="3"/>
  </r>
  <r>
    <n v="2664"/>
    <x v="5"/>
    <x v="2"/>
  </r>
  <r>
    <n v="1782"/>
    <x v="3"/>
    <x v="1"/>
  </r>
  <r>
    <n v="1337"/>
    <x v="5"/>
    <x v="0"/>
  </r>
  <r>
    <n v="5901"/>
    <x v="6"/>
    <x v="3"/>
  </r>
  <r>
    <n v="2731"/>
    <x v="2"/>
    <x v="0"/>
  </r>
  <r>
    <n v="8307"/>
    <x v="1"/>
    <x v="1"/>
  </r>
  <r>
    <n v="8019"/>
    <x v="1"/>
    <x v="0"/>
  </r>
  <r>
    <n v="4847"/>
    <x v="3"/>
    <x v="0"/>
  </r>
  <r>
    <n v="9822"/>
    <x v="3"/>
    <x v="3"/>
  </r>
  <r>
    <n v="9141"/>
    <x v="1"/>
    <x v="3"/>
  </r>
  <r>
    <n v="7539"/>
    <x v="5"/>
    <x v="3"/>
  </r>
  <r>
    <n v="1390"/>
    <x v="6"/>
    <x v="1"/>
  </r>
  <r>
    <n v="9505"/>
    <x v="6"/>
    <x v="1"/>
  </r>
  <r>
    <n v="6741"/>
    <x v="1"/>
    <x v="3"/>
  </r>
  <r>
    <n v="1790"/>
    <x v="5"/>
    <x v="1"/>
  </r>
  <r>
    <n v="6491"/>
    <x v="5"/>
    <x v="2"/>
  </r>
  <r>
    <n v="3102"/>
    <x v="0"/>
    <x v="1"/>
  </r>
  <r>
    <n v="1300"/>
    <x v="6"/>
    <x v="1"/>
  </r>
  <r>
    <n v="5410"/>
    <x v="4"/>
    <x v="3"/>
  </r>
  <r>
    <n v="2714"/>
    <x v="5"/>
    <x v="2"/>
  </r>
  <r>
    <n v="4700"/>
    <x v="2"/>
    <x v="3"/>
  </r>
  <r>
    <n v="7589"/>
    <x v="5"/>
    <x v="0"/>
  </r>
  <r>
    <n v="6866"/>
    <x v="0"/>
    <x v="2"/>
  </r>
  <r>
    <n v="6960"/>
    <x v="6"/>
    <x v="0"/>
  </r>
  <r>
    <n v="5808"/>
    <x v="0"/>
    <x v="3"/>
  </r>
  <r>
    <n v="5525"/>
    <x v="5"/>
    <x v="3"/>
  </r>
  <r>
    <n v="1272"/>
    <x v="2"/>
    <x v="3"/>
  </r>
  <r>
    <n v="8063"/>
    <x v="1"/>
    <x v="0"/>
  </r>
  <r>
    <n v="1856"/>
    <x v="5"/>
    <x v="1"/>
  </r>
  <r>
    <n v="2830"/>
    <x v="3"/>
    <x v="3"/>
  </r>
  <r>
    <n v="3287"/>
    <x v="6"/>
    <x v="0"/>
  </r>
  <r>
    <n v="5679"/>
    <x v="2"/>
    <x v="3"/>
  </r>
  <r>
    <n v="6399"/>
    <x v="0"/>
    <x v="2"/>
  </r>
  <r>
    <n v="8753"/>
    <x v="5"/>
    <x v="1"/>
  </r>
  <r>
    <n v="9267"/>
    <x v="3"/>
    <x v="1"/>
  </r>
  <r>
    <n v="9846"/>
    <x v="6"/>
    <x v="0"/>
  </r>
  <r>
    <n v="2382"/>
    <x v="3"/>
    <x v="3"/>
  </r>
  <r>
    <n v="3593"/>
    <x v="3"/>
    <x v="3"/>
  </r>
  <r>
    <n v="4097"/>
    <x v="4"/>
    <x v="0"/>
  </r>
  <r>
    <n v="2886"/>
    <x v="5"/>
    <x v="3"/>
  </r>
  <r>
    <n v="3255"/>
    <x v="6"/>
    <x v="1"/>
  </r>
  <r>
    <n v="6752"/>
    <x v="4"/>
    <x v="2"/>
  </r>
  <r>
    <n v="7945"/>
    <x v="4"/>
    <x v="1"/>
  </r>
  <r>
    <n v="6658"/>
    <x v="0"/>
    <x v="1"/>
  </r>
  <r>
    <n v="5468"/>
    <x v="0"/>
    <x v="0"/>
  </r>
  <r>
    <n v="7451"/>
    <x v="1"/>
    <x v="1"/>
  </r>
  <r>
    <n v="1253"/>
    <x v="6"/>
    <x v="0"/>
  </r>
  <r>
    <n v="6746"/>
    <x v="2"/>
    <x v="3"/>
  </r>
  <r>
    <n v="8089"/>
    <x v="3"/>
    <x v="1"/>
  </r>
  <r>
    <n v="8045"/>
    <x v="6"/>
    <x v="3"/>
  </r>
  <r>
    <n v="9417"/>
    <x v="2"/>
    <x v="2"/>
  </r>
  <r>
    <n v="3217"/>
    <x v="6"/>
    <x v="3"/>
  </r>
  <r>
    <n v="4234"/>
    <x v="4"/>
    <x v="0"/>
  </r>
  <r>
    <n v="1118"/>
    <x v="2"/>
    <x v="1"/>
  </r>
  <r>
    <n v="4027"/>
    <x v="6"/>
    <x v="0"/>
  </r>
  <r>
    <n v="8451"/>
    <x v="5"/>
    <x v="3"/>
  </r>
  <r>
    <n v="6647"/>
    <x v="1"/>
    <x v="0"/>
  </r>
  <r>
    <n v="4002"/>
    <x v="6"/>
    <x v="3"/>
  </r>
  <r>
    <n v="6910"/>
    <x v="6"/>
    <x v="3"/>
  </r>
  <r>
    <n v="3164"/>
    <x v="1"/>
    <x v="3"/>
  </r>
  <r>
    <n v="2400"/>
    <x v="2"/>
    <x v="0"/>
  </r>
  <r>
    <n v="5499"/>
    <x v="2"/>
    <x v="1"/>
  </r>
  <r>
    <n v="7221"/>
    <x v="4"/>
    <x v="1"/>
  </r>
  <r>
    <n v="4556"/>
    <x v="4"/>
    <x v="0"/>
  </r>
  <r>
    <n v="7175"/>
    <x v="1"/>
    <x v="1"/>
  </r>
  <r>
    <n v="7072"/>
    <x v="5"/>
    <x v="0"/>
  </r>
  <r>
    <n v="4320"/>
    <x v="1"/>
    <x v="0"/>
  </r>
  <r>
    <n v="3558"/>
    <x v="1"/>
    <x v="2"/>
  </r>
  <r>
    <n v="8581"/>
    <x v="0"/>
    <x v="0"/>
  </r>
  <r>
    <n v="5827"/>
    <x v="2"/>
    <x v="2"/>
  </r>
  <r>
    <n v="6929"/>
    <x v="3"/>
    <x v="2"/>
  </r>
  <r>
    <n v="9179"/>
    <x v="4"/>
    <x v="0"/>
  </r>
  <r>
    <n v="7580"/>
    <x v="2"/>
    <x v="3"/>
  </r>
  <r>
    <n v="3858"/>
    <x v="6"/>
    <x v="0"/>
  </r>
  <r>
    <n v="8627"/>
    <x v="6"/>
    <x v="0"/>
  </r>
  <r>
    <n v="7552"/>
    <x v="5"/>
    <x v="3"/>
  </r>
  <r>
    <n v="6020"/>
    <x v="6"/>
    <x v="2"/>
  </r>
  <r>
    <n v="9408"/>
    <x v="4"/>
    <x v="3"/>
  </r>
  <r>
    <n v="9990"/>
    <x v="5"/>
    <x v="0"/>
  </r>
  <r>
    <n v="3687"/>
    <x v="6"/>
    <x v="1"/>
  </r>
  <r>
    <n v="4540"/>
    <x v="2"/>
    <x v="0"/>
  </r>
  <r>
    <n v="8264"/>
    <x v="5"/>
    <x v="1"/>
  </r>
  <r>
    <n v="7448"/>
    <x v="3"/>
    <x v="3"/>
  </r>
  <r>
    <n v="1123"/>
    <x v="3"/>
    <x v="1"/>
  </r>
  <r>
    <n v="4103"/>
    <x v="0"/>
    <x v="2"/>
  </r>
  <r>
    <n v="2904"/>
    <x v="5"/>
    <x v="3"/>
  </r>
  <r>
    <n v="5634"/>
    <x v="4"/>
    <x v="0"/>
  </r>
  <r>
    <n v="5360"/>
    <x v="2"/>
    <x v="0"/>
  </r>
  <r>
    <n v="8571"/>
    <x v="1"/>
    <x v="1"/>
  </r>
  <r>
    <n v="9439"/>
    <x v="1"/>
    <x v="2"/>
  </r>
  <r>
    <n v="8356"/>
    <x v="2"/>
    <x v="3"/>
  </r>
  <r>
    <n v="2039"/>
    <x v="3"/>
    <x v="2"/>
  </r>
  <r>
    <n v="2613"/>
    <x v="2"/>
    <x v="2"/>
  </r>
  <r>
    <n v="8226"/>
    <x v="1"/>
    <x v="1"/>
  </r>
  <r>
    <n v="1425"/>
    <x v="3"/>
    <x v="1"/>
  </r>
  <r>
    <n v="4479"/>
    <x v="3"/>
    <x v="1"/>
  </r>
  <r>
    <n v="3393"/>
    <x v="6"/>
    <x v="2"/>
  </r>
  <r>
    <n v="8528"/>
    <x v="6"/>
    <x v="2"/>
  </r>
  <r>
    <n v="9372"/>
    <x v="6"/>
    <x v="3"/>
  </r>
  <r>
    <n v="5469"/>
    <x v="0"/>
    <x v="2"/>
  </r>
  <r>
    <n v="2603"/>
    <x v="0"/>
    <x v="2"/>
  </r>
  <r>
    <n v="5306"/>
    <x v="5"/>
    <x v="2"/>
  </r>
  <r>
    <n v="7869"/>
    <x v="5"/>
    <x v="3"/>
  </r>
  <r>
    <n v="1699"/>
    <x v="6"/>
    <x v="2"/>
  </r>
  <r>
    <n v="3214"/>
    <x v="5"/>
    <x v="3"/>
  </r>
  <r>
    <n v="1050"/>
    <x v="0"/>
    <x v="0"/>
  </r>
  <r>
    <n v="3325"/>
    <x v="5"/>
    <x v="1"/>
  </r>
  <r>
    <n v="1970"/>
    <x v="4"/>
    <x v="3"/>
  </r>
  <r>
    <n v="6272"/>
    <x v="1"/>
    <x v="1"/>
  </r>
  <r>
    <n v="4745"/>
    <x v="0"/>
    <x v="3"/>
  </r>
  <r>
    <n v="8867"/>
    <x v="6"/>
    <x v="2"/>
  </r>
  <r>
    <n v="4901"/>
    <x v="6"/>
    <x v="0"/>
  </r>
  <r>
    <n v="9575"/>
    <x v="4"/>
    <x v="0"/>
  </r>
  <r>
    <n v="4471"/>
    <x v="3"/>
    <x v="2"/>
  </r>
  <r>
    <n v="1385"/>
    <x v="1"/>
    <x v="2"/>
  </r>
  <r>
    <n v="4302"/>
    <x v="3"/>
    <x v="1"/>
  </r>
  <r>
    <n v="4738"/>
    <x v="2"/>
    <x v="1"/>
  </r>
  <r>
    <n v="2441"/>
    <x v="4"/>
    <x v="0"/>
  </r>
  <r>
    <n v="6546"/>
    <x v="0"/>
    <x v="0"/>
  </r>
  <r>
    <n v="5459"/>
    <x v="5"/>
    <x v="3"/>
  </r>
  <r>
    <n v="7051"/>
    <x v="5"/>
    <x v="1"/>
  </r>
  <r>
    <n v="6671"/>
    <x v="5"/>
    <x v="0"/>
  </r>
  <r>
    <n v="6013"/>
    <x v="1"/>
    <x v="1"/>
  </r>
  <r>
    <n v="9996"/>
    <x v="2"/>
    <x v="2"/>
  </r>
  <r>
    <n v="4851"/>
    <x v="0"/>
    <x v="2"/>
  </r>
  <r>
    <n v="2498"/>
    <x v="0"/>
    <x v="3"/>
  </r>
  <r>
    <n v="6208"/>
    <x v="5"/>
    <x v="0"/>
  </r>
  <r>
    <n v="7171"/>
    <x v="5"/>
    <x v="1"/>
  </r>
  <r>
    <n v="7667"/>
    <x v="5"/>
    <x v="0"/>
  </r>
  <r>
    <n v="4912"/>
    <x v="2"/>
    <x v="3"/>
  </r>
  <r>
    <n v="7975"/>
    <x v="6"/>
    <x v="1"/>
  </r>
  <r>
    <n v="6804"/>
    <x v="4"/>
    <x v="0"/>
  </r>
  <r>
    <n v="3877"/>
    <x v="4"/>
    <x v="0"/>
  </r>
  <r>
    <n v="8768"/>
    <x v="4"/>
    <x v="1"/>
  </r>
  <r>
    <n v="1420"/>
    <x v="6"/>
    <x v="0"/>
  </r>
  <r>
    <n v="2306"/>
    <x v="1"/>
    <x v="2"/>
  </r>
  <r>
    <n v="2079"/>
    <x v="0"/>
    <x v="0"/>
  </r>
  <r>
    <n v="3554"/>
    <x v="0"/>
    <x v="1"/>
  </r>
  <r>
    <n v="7616"/>
    <x v="5"/>
    <x v="1"/>
  </r>
  <r>
    <n v="5650"/>
    <x v="1"/>
    <x v="3"/>
  </r>
  <r>
    <n v="9385"/>
    <x v="1"/>
    <x v="0"/>
  </r>
  <r>
    <n v="2482"/>
    <x v="3"/>
    <x v="2"/>
  </r>
  <r>
    <n v="9017"/>
    <x v="3"/>
    <x v="2"/>
  </r>
  <r>
    <n v="7001"/>
    <x v="2"/>
    <x v="3"/>
  </r>
  <r>
    <n v="2942"/>
    <x v="2"/>
    <x v="2"/>
  </r>
  <r>
    <n v="8833"/>
    <x v="6"/>
    <x v="0"/>
  </r>
  <r>
    <n v="8079"/>
    <x v="1"/>
    <x v="1"/>
  </r>
  <r>
    <n v="3797"/>
    <x v="0"/>
    <x v="3"/>
  </r>
  <r>
    <n v="7268"/>
    <x v="0"/>
    <x v="0"/>
  </r>
  <r>
    <n v="9803"/>
    <x v="0"/>
    <x v="3"/>
  </r>
  <r>
    <n v="2165"/>
    <x v="4"/>
    <x v="0"/>
  </r>
  <r>
    <n v="1528"/>
    <x v="2"/>
    <x v="1"/>
  </r>
  <r>
    <n v="5978"/>
    <x v="2"/>
    <x v="0"/>
  </r>
  <r>
    <n v="5967"/>
    <x v="4"/>
    <x v="3"/>
  </r>
  <r>
    <n v="4254"/>
    <x v="3"/>
    <x v="0"/>
  </r>
  <r>
    <n v="2186"/>
    <x v="3"/>
    <x v="1"/>
  </r>
  <r>
    <n v="7644"/>
    <x v="1"/>
    <x v="2"/>
  </r>
  <r>
    <n v="5897"/>
    <x v="5"/>
    <x v="2"/>
  </r>
  <r>
    <n v="7465"/>
    <x v="4"/>
    <x v="2"/>
  </r>
  <r>
    <n v="3724"/>
    <x v="1"/>
    <x v="0"/>
  </r>
  <r>
    <n v="2914"/>
    <x v="1"/>
    <x v="2"/>
  </r>
  <r>
    <n v="4110"/>
    <x v="2"/>
    <x v="0"/>
  </r>
  <r>
    <n v="6944"/>
    <x v="2"/>
    <x v="2"/>
  </r>
  <r>
    <n v="3639"/>
    <x v="0"/>
    <x v="3"/>
  </r>
  <r>
    <n v="8416"/>
    <x v="2"/>
    <x v="0"/>
  </r>
  <r>
    <n v="7753"/>
    <x v="0"/>
    <x v="2"/>
  </r>
  <r>
    <n v="9528"/>
    <x v="0"/>
    <x v="1"/>
  </r>
  <r>
    <n v="2960"/>
    <x v="0"/>
    <x v="3"/>
  </r>
  <r>
    <n v="1090"/>
    <x v="1"/>
    <x v="3"/>
  </r>
  <r>
    <n v="2410"/>
    <x v="5"/>
    <x v="1"/>
  </r>
  <r>
    <n v="1575"/>
    <x v="4"/>
    <x v="2"/>
  </r>
  <r>
    <n v="9259"/>
    <x v="6"/>
    <x v="3"/>
  </r>
  <r>
    <n v="2170"/>
    <x v="1"/>
    <x v="0"/>
  </r>
  <r>
    <n v="2237"/>
    <x v="3"/>
    <x v="0"/>
  </r>
  <r>
    <n v="2697"/>
    <x v="0"/>
    <x v="1"/>
  </r>
  <r>
    <n v="4488"/>
    <x v="1"/>
    <x v="0"/>
  </r>
  <r>
    <n v="5291"/>
    <x v="5"/>
    <x v="1"/>
  </r>
  <r>
    <n v="6287"/>
    <x v="1"/>
    <x v="1"/>
  </r>
  <r>
    <n v="1953"/>
    <x v="5"/>
    <x v="2"/>
  </r>
  <r>
    <n v="3457"/>
    <x v="4"/>
    <x v="1"/>
  </r>
  <r>
    <n v="6504"/>
    <x v="1"/>
    <x v="1"/>
  </r>
  <r>
    <n v="7463"/>
    <x v="6"/>
    <x v="1"/>
  </r>
  <r>
    <n v="3898"/>
    <x v="2"/>
    <x v="0"/>
  </r>
  <r>
    <n v="8481"/>
    <x v="1"/>
    <x v="3"/>
  </r>
  <r>
    <n v="7810"/>
    <x v="6"/>
    <x v="3"/>
  </r>
  <r>
    <n v="6534"/>
    <x v="2"/>
    <x v="0"/>
  </r>
  <r>
    <n v="6025"/>
    <x v="4"/>
    <x v="3"/>
  </r>
  <r>
    <n v="5825"/>
    <x v="5"/>
    <x v="3"/>
  </r>
  <r>
    <n v="1185"/>
    <x v="2"/>
    <x v="0"/>
  </r>
  <r>
    <n v="4392"/>
    <x v="0"/>
    <x v="2"/>
  </r>
  <r>
    <n v="5785"/>
    <x v="3"/>
    <x v="1"/>
  </r>
  <r>
    <n v="4718"/>
    <x v="3"/>
    <x v="2"/>
  </r>
  <r>
    <n v="3992"/>
    <x v="5"/>
    <x v="1"/>
  </r>
  <r>
    <n v="6100"/>
    <x v="5"/>
    <x v="3"/>
  </r>
  <r>
    <n v="8495"/>
    <x v="6"/>
    <x v="2"/>
  </r>
  <r>
    <n v="3083"/>
    <x v="0"/>
    <x v="2"/>
  </r>
  <r>
    <n v="9936"/>
    <x v="5"/>
    <x v="2"/>
  </r>
  <r>
    <n v="2418"/>
    <x v="0"/>
    <x v="2"/>
  </r>
  <r>
    <n v="4089"/>
    <x v="1"/>
    <x v="1"/>
  </r>
  <r>
    <n v="8876"/>
    <x v="3"/>
    <x v="0"/>
  </r>
  <r>
    <n v="3959"/>
    <x v="0"/>
    <x v="1"/>
  </r>
  <r>
    <n v="2011"/>
    <x v="3"/>
    <x v="3"/>
  </r>
  <r>
    <n v="7896"/>
    <x v="1"/>
    <x v="1"/>
  </r>
  <r>
    <n v="5495"/>
    <x v="0"/>
    <x v="1"/>
  </r>
  <r>
    <n v="6219"/>
    <x v="2"/>
    <x v="0"/>
  </r>
  <r>
    <n v="4458"/>
    <x v="3"/>
    <x v="1"/>
  </r>
  <r>
    <n v="4115"/>
    <x v="3"/>
    <x v="2"/>
  </r>
  <r>
    <n v="6586"/>
    <x v="6"/>
    <x v="0"/>
  </r>
  <r>
    <n v="3985"/>
    <x v="5"/>
    <x v="3"/>
  </r>
  <r>
    <n v="8501"/>
    <x v="0"/>
    <x v="3"/>
  </r>
  <r>
    <n v="4048"/>
    <x v="5"/>
    <x v="2"/>
  </r>
  <r>
    <n v="4466"/>
    <x v="5"/>
    <x v="1"/>
  </r>
  <r>
    <n v="5479"/>
    <x v="3"/>
    <x v="0"/>
  </r>
  <r>
    <n v="2480"/>
    <x v="2"/>
    <x v="3"/>
  </r>
  <r>
    <n v="6288"/>
    <x v="4"/>
    <x v="0"/>
  </r>
  <r>
    <n v="9973"/>
    <x v="1"/>
    <x v="1"/>
  </r>
  <r>
    <n v="6078"/>
    <x v="5"/>
    <x v="3"/>
  </r>
  <r>
    <n v="5362"/>
    <x v="2"/>
    <x v="3"/>
  </r>
  <r>
    <n v="1687"/>
    <x v="6"/>
    <x v="0"/>
  </r>
  <r>
    <n v="8986"/>
    <x v="1"/>
    <x v="2"/>
  </r>
  <r>
    <n v="5994"/>
    <x v="2"/>
    <x v="2"/>
  </r>
  <r>
    <n v="6293"/>
    <x v="5"/>
    <x v="1"/>
  </r>
  <r>
    <n v="7558"/>
    <x v="5"/>
    <x v="1"/>
  </r>
  <r>
    <n v="1805"/>
    <x v="0"/>
    <x v="3"/>
  </r>
  <r>
    <n v="1661"/>
    <x v="1"/>
    <x v="2"/>
  </r>
  <r>
    <n v="8960"/>
    <x v="2"/>
    <x v="0"/>
  </r>
  <r>
    <n v="6131"/>
    <x v="6"/>
    <x v="3"/>
  </r>
  <r>
    <n v="4114"/>
    <x v="3"/>
    <x v="1"/>
  </r>
  <r>
    <n v="4833"/>
    <x v="1"/>
    <x v="2"/>
  </r>
  <r>
    <n v="2401"/>
    <x v="5"/>
    <x v="0"/>
  </r>
  <r>
    <n v="1037"/>
    <x v="1"/>
    <x v="2"/>
  </r>
  <r>
    <n v="2675"/>
    <x v="6"/>
    <x v="0"/>
  </r>
  <r>
    <n v="1665"/>
    <x v="4"/>
    <x v="3"/>
  </r>
  <r>
    <n v="5671"/>
    <x v="0"/>
    <x v="0"/>
  </r>
  <r>
    <n v="5153"/>
    <x v="1"/>
    <x v="0"/>
  </r>
  <r>
    <n v="1114"/>
    <x v="0"/>
    <x v="1"/>
  </r>
  <r>
    <n v="6180"/>
    <x v="5"/>
    <x v="2"/>
  </r>
  <r>
    <n v="8237"/>
    <x v="0"/>
    <x v="2"/>
  </r>
  <r>
    <n v="9500"/>
    <x v="0"/>
    <x v="2"/>
  </r>
  <r>
    <n v="7476"/>
    <x v="6"/>
    <x v="1"/>
  </r>
  <r>
    <n v="9908"/>
    <x v="5"/>
    <x v="2"/>
  </r>
  <r>
    <n v="1534"/>
    <x v="0"/>
    <x v="2"/>
  </r>
  <r>
    <n v="4613"/>
    <x v="4"/>
    <x v="3"/>
  </r>
  <r>
    <n v="5063"/>
    <x v="5"/>
    <x v="1"/>
  </r>
  <r>
    <n v="4548"/>
    <x v="6"/>
    <x v="3"/>
  </r>
  <r>
    <n v="7556"/>
    <x v="0"/>
    <x v="3"/>
  </r>
  <r>
    <n v="1846"/>
    <x v="4"/>
    <x v="2"/>
  </r>
  <r>
    <n v="7088"/>
    <x v="4"/>
    <x v="0"/>
  </r>
  <r>
    <n v="1179"/>
    <x v="5"/>
    <x v="3"/>
  </r>
  <r>
    <n v="2190"/>
    <x v="0"/>
    <x v="2"/>
  </r>
  <r>
    <n v="2847"/>
    <x v="6"/>
    <x v="2"/>
  </r>
  <r>
    <n v="6570"/>
    <x v="1"/>
    <x v="2"/>
  </r>
  <r>
    <n v="1149"/>
    <x v="0"/>
    <x v="1"/>
  </r>
  <r>
    <n v="1336"/>
    <x v="1"/>
    <x v="0"/>
  </r>
  <r>
    <n v="6956"/>
    <x v="3"/>
    <x v="1"/>
  </r>
  <r>
    <n v="7015"/>
    <x v="5"/>
    <x v="3"/>
  </r>
  <r>
    <n v="4104"/>
    <x v="0"/>
    <x v="3"/>
  </r>
  <r>
    <n v="9413"/>
    <x v="0"/>
    <x v="3"/>
  </r>
  <r>
    <n v="8300"/>
    <x v="1"/>
    <x v="2"/>
  </r>
  <r>
    <n v="5126"/>
    <x v="2"/>
    <x v="0"/>
  </r>
  <r>
    <n v="1754"/>
    <x v="6"/>
    <x v="2"/>
  </r>
  <r>
    <n v="7089"/>
    <x v="0"/>
    <x v="0"/>
  </r>
  <r>
    <n v="1697"/>
    <x v="0"/>
    <x v="1"/>
  </r>
  <r>
    <n v="4768"/>
    <x v="5"/>
    <x v="1"/>
  </r>
  <r>
    <n v="4205"/>
    <x v="0"/>
    <x v="3"/>
  </r>
  <r>
    <n v="8844"/>
    <x v="0"/>
    <x v="1"/>
  </r>
  <r>
    <n v="1103"/>
    <x v="1"/>
    <x v="2"/>
  </r>
  <r>
    <n v="2180"/>
    <x v="2"/>
    <x v="0"/>
  </r>
  <r>
    <n v="6607"/>
    <x v="6"/>
    <x v="1"/>
  </r>
  <r>
    <n v="7949"/>
    <x v="4"/>
    <x v="2"/>
  </r>
  <r>
    <n v="5337"/>
    <x v="6"/>
    <x v="3"/>
  </r>
  <r>
    <n v="8477"/>
    <x v="0"/>
    <x v="0"/>
  </r>
  <r>
    <n v="7673"/>
    <x v="5"/>
    <x v="3"/>
  </r>
  <r>
    <n v="6113"/>
    <x v="2"/>
    <x v="3"/>
  </r>
  <r>
    <n v="7457"/>
    <x v="2"/>
    <x v="1"/>
  </r>
  <r>
    <n v="6639"/>
    <x v="5"/>
    <x v="0"/>
  </r>
  <r>
    <n v="5220"/>
    <x v="0"/>
    <x v="0"/>
  </r>
  <r>
    <n v="6970"/>
    <x v="1"/>
    <x v="2"/>
  </r>
  <r>
    <n v="6705"/>
    <x v="5"/>
    <x v="1"/>
  </r>
  <r>
    <n v="2477"/>
    <x v="0"/>
    <x v="1"/>
  </r>
  <r>
    <n v="6236"/>
    <x v="3"/>
    <x v="2"/>
  </r>
  <r>
    <n v="4079"/>
    <x v="5"/>
    <x v="1"/>
  </r>
  <r>
    <n v="7927"/>
    <x v="5"/>
    <x v="2"/>
  </r>
  <r>
    <n v="5059"/>
    <x v="4"/>
    <x v="1"/>
  </r>
  <r>
    <n v="4210"/>
    <x v="2"/>
    <x v="1"/>
  </r>
  <r>
    <n v="5054"/>
    <x v="1"/>
    <x v="2"/>
  </r>
  <r>
    <n v="5836"/>
    <x v="6"/>
    <x v="3"/>
  </r>
  <r>
    <n v="8612"/>
    <x v="5"/>
    <x v="3"/>
  </r>
  <r>
    <n v="7445"/>
    <x v="0"/>
    <x v="2"/>
  </r>
  <r>
    <n v="6135"/>
    <x v="4"/>
    <x v="2"/>
  </r>
  <r>
    <n v="3168"/>
    <x v="4"/>
    <x v="0"/>
  </r>
  <r>
    <n v="2981"/>
    <x v="6"/>
    <x v="1"/>
  </r>
  <r>
    <n v="7739"/>
    <x v="6"/>
    <x v="3"/>
  </r>
  <r>
    <n v="5905"/>
    <x v="3"/>
    <x v="0"/>
  </r>
  <r>
    <n v="1443"/>
    <x v="0"/>
    <x v="2"/>
  </r>
  <r>
    <n v="6181"/>
    <x v="2"/>
    <x v="2"/>
  </r>
  <r>
    <n v="8406"/>
    <x v="2"/>
    <x v="0"/>
  </r>
  <r>
    <n v="5389"/>
    <x v="5"/>
    <x v="3"/>
  </r>
  <r>
    <n v="4586"/>
    <x v="5"/>
    <x v="1"/>
  </r>
  <r>
    <n v="4020"/>
    <x v="2"/>
    <x v="1"/>
  </r>
  <r>
    <n v="1635"/>
    <x v="4"/>
    <x v="3"/>
  </r>
  <r>
    <n v="9257"/>
    <x v="4"/>
    <x v="1"/>
  </r>
  <r>
    <n v="6380"/>
    <x v="3"/>
    <x v="3"/>
  </r>
  <r>
    <n v="6385"/>
    <x v="5"/>
    <x v="3"/>
  </r>
  <r>
    <n v="6858"/>
    <x v="3"/>
    <x v="1"/>
  </r>
  <r>
    <n v="8875"/>
    <x v="2"/>
    <x v="3"/>
  </r>
  <r>
    <n v="3334"/>
    <x v="6"/>
    <x v="0"/>
  </r>
  <r>
    <n v="5850"/>
    <x v="6"/>
    <x v="3"/>
  </r>
  <r>
    <n v="8593"/>
    <x v="6"/>
    <x v="3"/>
  </r>
  <r>
    <n v="6278"/>
    <x v="0"/>
    <x v="1"/>
  </r>
  <r>
    <n v="1388"/>
    <x v="0"/>
    <x v="3"/>
  </r>
  <r>
    <n v="2521"/>
    <x v="0"/>
    <x v="3"/>
  </r>
  <r>
    <n v="1269"/>
    <x v="0"/>
    <x v="3"/>
  </r>
  <r>
    <n v="9959"/>
    <x v="5"/>
    <x v="1"/>
  </r>
  <r>
    <n v="7549"/>
    <x v="6"/>
    <x v="2"/>
  </r>
  <r>
    <n v="4747"/>
    <x v="2"/>
    <x v="2"/>
  </r>
  <r>
    <n v="8320"/>
    <x v="0"/>
    <x v="0"/>
  </r>
  <r>
    <n v="1333"/>
    <x v="1"/>
    <x v="2"/>
  </r>
  <r>
    <n v="5254"/>
    <x v="1"/>
    <x v="1"/>
  </r>
  <r>
    <n v="6842"/>
    <x v="1"/>
    <x v="1"/>
  </r>
  <r>
    <n v="9333"/>
    <x v="3"/>
    <x v="3"/>
  </r>
  <r>
    <n v="9122"/>
    <x v="6"/>
    <x v="0"/>
  </r>
  <r>
    <n v="6221"/>
    <x v="0"/>
    <x v="2"/>
  </r>
  <r>
    <n v="9957"/>
    <x v="6"/>
    <x v="1"/>
  </r>
  <r>
    <n v="4680"/>
    <x v="0"/>
    <x v="3"/>
  </r>
  <r>
    <n v="5974"/>
    <x v="2"/>
    <x v="3"/>
  </r>
  <r>
    <n v="6938"/>
    <x v="5"/>
    <x v="2"/>
  </r>
  <r>
    <n v="1175"/>
    <x v="5"/>
    <x v="2"/>
  </r>
  <r>
    <n v="1260"/>
    <x v="5"/>
    <x v="1"/>
  </r>
  <r>
    <n v="4645"/>
    <x v="5"/>
    <x v="3"/>
  </r>
  <r>
    <n v="1637"/>
    <x v="2"/>
    <x v="3"/>
  </r>
  <r>
    <n v="7960"/>
    <x v="1"/>
    <x v="2"/>
  </r>
  <r>
    <n v="9693"/>
    <x v="2"/>
    <x v="0"/>
  </r>
  <r>
    <n v="8743"/>
    <x v="3"/>
    <x v="0"/>
  </r>
  <r>
    <n v="3379"/>
    <x v="3"/>
    <x v="0"/>
  </r>
  <r>
    <n v="7696"/>
    <x v="2"/>
    <x v="1"/>
  </r>
  <r>
    <n v="8552"/>
    <x v="2"/>
    <x v="1"/>
  </r>
  <r>
    <n v="5065"/>
    <x v="2"/>
    <x v="3"/>
  </r>
  <r>
    <n v="6878"/>
    <x v="1"/>
    <x v="1"/>
  </r>
  <r>
    <n v="5681"/>
    <x v="3"/>
    <x v="3"/>
  </r>
  <r>
    <n v="4448"/>
    <x v="4"/>
    <x v="2"/>
  </r>
  <r>
    <n v="5795"/>
    <x v="5"/>
    <x v="1"/>
  </r>
  <r>
    <n v="5320"/>
    <x v="0"/>
    <x v="0"/>
  </r>
  <r>
    <m/>
    <x v="7"/>
    <x v="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641"/>
    <n v="117"/>
    <x v="0"/>
  </r>
  <r>
    <n v="192"/>
    <n v="65"/>
    <x v="1"/>
  </r>
  <r>
    <n v="260"/>
    <n v="127"/>
    <x v="0"/>
  </r>
  <r>
    <n v="61"/>
    <n v="192"/>
    <x v="1"/>
  </r>
  <r>
    <n v="230"/>
    <n v="2"/>
    <x v="1"/>
  </r>
  <r>
    <n v="837"/>
    <n v="105"/>
    <x v="2"/>
  </r>
  <r>
    <n v="510"/>
    <n v="143"/>
    <x v="0"/>
  </r>
  <r>
    <n v="907"/>
    <n v="47"/>
    <x v="3"/>
  </r>
  <r>
    <n v="676"/>
    <n v="61"/>
    <x v="1"/>
  </r>
  <r>
    <n v="406"/>
    <n v="79"/>
    <x v="4"/>
  </r>
  <r>
    <n v="352"/>
    <n v="78"/>
    <x v="4"/>
  </r>
  <r>
    <n v="391"/>
    <n v="132"/>
    <x v="0"/>
  </r>
  <r>
    <n v="501"/>
    <n v="71"/>
    <x v="3"/>
  </r>
  <r>
    <n v="995"/>
    <n v="164"/>
    <x v="2"/>
  </r>
  <r>
    <n v="222"/>
    <n v="13"/>
    <x v="2"/>
  </r>
  <r>
    <n v="788"/>
    <n v="31"/>
    <x v="0"/>
  </r>
  <r>
    <n v="369"/>
    <n v="25"/>
    <x v="1"/>
  </r>
  <r>
    <n v="228"/>
    <n v="39"/>
    <x v="0"/>
  </r>
  <r>
    <n v="827"/>
    <n v="138"/>
    <x v="2"/>
  </r>
  <r>
    <n v="983"/>
    <n v="145"/>
    <x v="3"/>
  </r>
  <r>
    <n v="109"/>
    <n v="41"/>
    <x v="0"/>
  </r>
  <r>
    <n v="181"/>
    <n v="128"/>
    <x v="4"/>
  </r>
  <r>
    <n v="842"/>
    <n v="145"/>
    <x v="0"/>
  </r>
  <r>
    <n v="40"/>
    <n v="196"/>
    <x v="4"/>
  </r>
  <r>
    <n v="431"/>
    <n v="41"/>
    <x v="4"/>
  </r>
  <r>
    <n v="415"/>
    <n v="194"/>
    <x v="2"/>
  </r>
  <r>
    <n v="902"/>
    <n v="86"/>
    <x v="2"/>
  </r>
  <r>
    <n v="769"/>
    <n v="144"/>
    <x v="0"/>
  </r>
  <r>
    <n v="588"/>
    <n v="137"/>
    <x v="0"/>
  </r>
  <r>
    <n v="528"/>
    <n v="184"/>
    <x v="4"/>
  </r>
  <r>
    <n v="467"/>
    <n v="23"/>
    <x v="4"/>
  </r>
  <r>
    <n v="73"/>
    <n v="138"/>
    <x v="1"/>
  </r>
  <r>
    <n v="895"/>
    <n v="154"/>
    <x v="1"/>
  </r>
  <r>
    <n v="983"/>
    <n v="113"/>
    <x v="1"/>
  </r>
  <r>
    <n v="801"/>
    <n v="156"/>
    <x v="2"/>
  </r>
  <r>
    <n v="96"/>
    <n v="114"/>
    <x v="4"/>
  </r>
  <r>
    <n v="849"/>
    <n v="98"/>
    <x v="0"/>
  </r>
  <r>
    <n v="515"/>
    <n v="174"/>
    <x v="1"/>
  </r>
  <r>
    <n v="657"/>
    <n v="137"/>
    <x v="2"/>
  </r>
  <r>
    <n v="426"/>
    <n v="21"/>
    <x v="0"/>
  </r>
  <r>
    <n v="309"/>
    <n v="178"/>
    <x v="0"/>
  </r>
  <r>
    <n v="141"/>
    <n v="199"/>
    <x v="3"/>
  </r>
  <r>
    <n v="112"/>
    <n v="106"/>
    <x v="3"/>
  </r>
  <r>
    <n v="836"/>
    <n v="122"/>
    <x v="2"/>
  </r>
  <r>
    <n v="785"/>
    <n v="1"/>
    <x v="1"/>
  </r>
  <r>
    <n v="857"/>
    <n v="9"/>
    <x v="0"/>
  </r>
  <r>
    <n v="347"/>
    <n v="18"/>
    <x v="3"/>
  </r>
  <r>
    <n v="707"/>
    <n v="156"/>
    <x v="2"/>
  </r>
  <r>
    <n v="49"/>
    <n v="45"/>
    <x v="0"/>
  </r>
  <r>
    <n v="801"/>
    <n v="141"/>
    <x v="3"/>
  </r>
  <r>
    <n v="788"/>
    <n v="55"/>
    <x v="2"/>
  </r>
  <r>
    <n v="853"/>
    <n v="16"/>
    <x v="2"/>
  </r>
  <r>
    <n v="970"/>
    <n v="159"/>
    <x v="0"/>
  </r>
  <r>
    <n v="490"/>
    <n v="127"/>
    <x v="3"/>
  </r>
  <r>
    <n v="201"/>
    <n v="122"/>
    <x v="3"/>
  </r>
  <r>
    <n v="741"/>
    <n v="36"/>
    <x v="2"/>
  </r>
  <r>
    <n v="928"/>
    <n v="30"/>
    <x v="3"/>
  </r>
  <r>
    <n v="80"/>
    <n v="100"/>
    <x v="4"/>
  </r>
  <r>
    <n v="453"/>
    <n v="149"/>
    <x v="2"/>
  </r>
  <r>
    <n v="943"/>
    <n v="116"/>
    <x v="1"/>
  </r>
  <r>
    <n v="348"/>
    <n v="172"/>
    <x v="0"/>
  </r>
  <r>
    <n v="112"/>
    <n v="158"/>
    <x v="1"/>
  </r>
  <r>
    <n v="606"/>
    <n v="195"/>
    <x v="0"/>
  </r>
  <r>
    <n v="214"/>
    <n v="114"/>
    <x v="2"/>
  </r>
  <r>
    <n v="334"/>
    <n v="76"/>
    <x v="4"/>
  </r>
  <r>
    <n v="849"/>
    <n v="68"/>
    <x v="2"/>
  </r>
  <r>
    <n v="155"/>
    <n v="69"/>
    <x v="4"/>
  </r>
  <r>
    <n v="406"/>
    <n v="71"/>
    <x v="0"/>
  </r>
  <r>
    <n v="571"/>
    <n v="54"/>
    <x v="4"/>
  </r>
  <r>
    <n v="56"/>
    <n v="69"/>
    <x v="4"/>
  </r>
  <r>
    <n v="748"/>
    <n v="147"/>
    <x v="4"/>
  </r>
  <r>
    <n v="603"/>
    <n v="161"/>
    <x v="0"/>
  </r>
  <r>
    <n v="990"/>
    <n v="72"/>
    <x v="0"/>
  </r>
  <r>
    <n v="831"/>
    <n v="101"/>
    <x v="0"/>
  </r>
  <r>
    <n v="420"/>
    <n v="85"/>
    <x v="4"/>
  </r>
  <r>
    <n v="754"/>
    <n v="98"/>
    <x v="4"/>
  </r>
  <r>
    <n v="782"/>
    <n v="7"/>
    <x v="4"/>
  </r>
  <r>
    <n v="557"/>
    <n v="165"/>
    <x v="1"/>
  </r>
  <r>
    <n v="552"/>
    <n v="27"/>
    <x v="2"/>
  </r>
  <r>
    <n v="356"/>
    <n v="81"/>
    <x v="4"/>
  </r>
  <r>
    <n v="161"/>
    <n v="110"/>
    <x v="1"/>
  </r>
  <r>
    <n v="17"/>
    <n v="40"/>
    <x v="3"/>
  </r>
  <r>
    <n v="366"/>
    <n v="13"/>
    <x v="1"/>
  </r>
  <r>
    <n v="758"/>
    <n v="32"/>
    <x v="2"/>
  </r>
  <r>
    <n v="936"/>
    <n v="152"/>
    <x v="3"/>
  </r>
  <r>
    <n v="13"/>
    <n v="103"/>
    <x v="2"/>
  </r>
  <r>
    <n v="305"/>
    <n v="77"/>
    <x v="4"/>
  </r>
  <r>
    <n v="755"/>
    <n v="166"/>
    <x v="0"/>
  </r>
  <r>
    <n v="27"/>
    <n v="82"/>
    <x v="3"/>
  </r>
  <r>
    <n v="676"/>
    <n v="81"/>
    <x v="4"/>
  </r>
  <r>
    <n v="734"/>
    <n v="83"/>
    <x v="0"/>
  </r>
  <r>
    <n v="687"/>
    <n v="183"/>
    <x v="4"/>
  </r>
  <r>
    <n v="826"/>
    <n v="182"/>
    <x v="0"/>
  </r>
  <r>
    <n v="450"/>
    <n v="67"/>
    <x v="4"/>
  </r>
  <r>
    <n v="159"/>
    <n v="98"/>
    <x v="4"/>
  </r>
  <r>
    <n v="367"/>
    <n v="198"/>
    <x v="0"/>
  </r>
  <r>
    <n v="786"/>
    <n v="140"/>
    <x v="1"/>
  </r>
  <r>
    <n v="962"/>
    <n v="183"/>
    <x v="4"/>
  </r>
  <r>
    <n v="482"/>
    <n v="5"/>
    <x v="1"/>
  </r>
  <r>
    <n v="451"/>
    <n v="108"/>
    <x v="1"/>
  </r>
  <r>
    <n v="22"/>
    <n v="14"/>
    <x v="0"/>
  </r>
  <r>
    <n v="848"/>
    <n v="172"/>
    <x v="4"/>
  </r>
  <r>
    <n v="524"/>
    <n v="162"/>
    <x v="3"/>
  </r>
  <r>
    <n v="76"/>
    <n v="25"/>
    <x v="4"/>
  </r>
  <r>
    <n v="959"/>
    <n v="183"/>
    <x v="2"/>
  </r>
  <r>
    <n v="148"/>
    <n v="154"/>
    <x v="3"/>
  </r>
  <r>
    <n v="338"/>
    <n v="132"/>
    <x v="2"/>
  </r>
  <r>
    <n v="720"/>
    <n v="37"/>
    <x v="4"/>
  </r>
  <r>
    <n v="387"/>
    <n v="81"/>
    <x v="3"/>
  </r>
  <r>
    <n v="624"/>
    <n v="107"/>
    <x v="3"/>
  </r>
  <r>
    <n v="636"/>
    <n v="66"/>
    <x v="3"/>
  </r>
  <r>
    <n v="429"/>
    <n v="190"/>
    <x v="0"/>
  </r>
  <r>
    <n v="832"/>
    <n v="103"/>
    <x v="1"/>
  </r>
  <r>
    <n v="63"/>
    <n v="126"/>
    <x v="1"/>
  </r>
  <r>
    <n v="52"/>
    <n v="8"/>
    <x v="3"/>
  </r>
  <r>
    <n v="909"/>
    <n v="165"/>
    <x v="2"/>
  </r>
  <r>
    <n v="704"/>
    <n v="53"/>
    <x v="4"/>
  </r>
  <r>
    <n v="751"/>
    <n v="103"/>
    <x v="4"/>
  </r>
  <r>
    <n v="185"/>
    <n v="134"/>
    <x v="3"/>
  </r>
  <r>
    <n v="503"/>
    <n v="6"/>
    <x v="3"/>
  </r>
  <r>
    <n v="549"/>
    <n v="35"/>
    <x v="4"/>
  </r>
  <r>
    <n v="434"/>
    <n v="182"/>
    <x v="3"/>
  </r>
  <r>
    <n v="832"/>
    <n v="134"/>
    <x v="2"/>
  </r>
  <r>
    <n v="377"/>
    <n v="31"/>
    <x v="4"/>
  </r>
  <r>
    <n v="380"/>
    <n v="125"/>
    <x v="1"/>
  </r>
  <r>
    <n v="315"/>
    <n v="118"/>
    <x v="3"/>
  </r>
  <r>
    <n v="968"/>
    <n v="24"/>
    <x v="4"/>
  </r>
  <r>
    <n v="757"/>
    <n v="35"/>
    <x v="1"/>
  </r>
  <r>
    <n v="560"/>
    <n v="98"/>
    <x v="2"/>
  </r>
  <r>
    <n v="456"/>
    <n v="196"/>
    <x v="3"/>
  </r>
  <r>
    <n v="780"/>
    <n v="138"/>
    <x v="2"/>
  </r>
  <r>
    <n v="168"/>
    <n v="18"/>
    <x v="1"/>
  </r>
  <r>
    <n v="350"/>
    <n v="122"/>
    <x v="0"/>
  </r>
  <r>
    <n v="341"/>
    <n v="193"/>
    <x v="3"/>
  </r>
  <r>
    <n v="392"/>
    <n v="151"/>
    <x v="2"/>
  </r>
  <r>
    <n v="95"/>
    <n v="158"/>
    <x v="2"/>
  </r>
  <r>
    <n v="186"/>
    <n v="129"/>
    <x v="0"/>
  </r>
  <r>
    <n v="543"/>
    <n v="111"/>
    <x v="4"/>
  </r>
  <r>
    <n v="858"/>
    <n v="65"/>
    <x v="3"/>
  </r>
  <r>
    <n v="906"/>
    <n v="43"/>
    <x v="1"/>
  </r>
  <r>
    <n v="808"/>
    <n v="48"/>
    <x v="4"/>
  </r>
  <r>
    <n v="84"/>
    <n v="73"/>
    <x v="0"/>
  </r>
  <r>
    <n v="780"/>
    <n v="78"/>
    <x v="0"/>
  </r>
  <r>
    <n v="247"/>
    <n v="30"/>
    <x v="1"/>
  </r>
  <r>
    <n v="190"/>
    <n v="105"/>
    <x v="3"/>
  </r>
  <r>
    <n v="390"/>
    <n v="163"/>
    <x v="1"/>
  </r>
  <r>
    <n v="203"/>
    <n v="50"/>
    <x v="1"/>
  </r>
  <r>
    <n v="161"/>
    <n v="77"/>
    <x v="3"/>
  </r>
  <r>
    <n v="350"/>
    <n v="2"/>
    <x v="0"/>
  </r>
  <r>
    <n v="26"/>
    <n v="2"/>
    <x v="3"/>
  </r>
  <r>
    <n v="819"/>
    <n v="18"/>
    <x v="1"/>
  </r>
  <r>
    <n v="27"/>
    <n v="175"/>
    <x v="3"/>
  </r>
  <r>
    <n v="543"/>
    <n v="126"/>
    <x v="0"/>
  </r>
  <r>
    <n v="872"/>
    <n v="8"/>
    <x v="0"/>
  </r>
  <r>
    <n v="606"/>
    <n v="135"/>
    <x v="4"/>
  </r>
  <r>
    <n v="394"/>
    <n v="168"/>
    <x v="2"/>
  </r>
  <r>
    <n v="411"/>
    <n v="96"/>
    <x v="2"/>
  </r>
  <r>
    <n v="977"/>
    <n v="94"/>
    <x v="0"/>
  </r>
  <r>
    <n v="406"/>
    <n v="150"/>
    <x v="1"/>
  </r>
  <r>
    <n v="781"/>
    <n v="23"/>
    <x v="3"/>
  </r>
  <r>
    <n v="330"/>
    <n v="63"/>
    <x v="3"/>
  </r>
  <r>
    <n v="163"/>
    <n v="88"/>
    <x v="3"/>
  </r>
  <r>
    <n v="80"/>
    <n v="70"/>
    <x v="0"/>
  </r>
  <r>
    <n v="885"/>
    <n v="65"/>
    <x v="2"/>
  </r>
  <r>
    <n v="123"/>
    <n v="34"/>
    <x v="3"/>
  </r>
  <r>
    <n v="830"/>
    <n v="74"/>
    <x v="0"/>
  </r>
  <r>
    <n v="770"/>
    <n v="129"/>
    <x v="1"/>
  </r>
  <r>
    <n v="753"/>
    <n v="181"/>
    <x v="2"/>
  </r>
  <r>
    <n v="38"/>
    <n v="53"/>
    <x v="0"/>
  </r>
  <r>
    <n v="386"/>
    <n v="122"/>
    <x v="3"/>
  </r>
  <r>
    <n v="874"/>
    <n v="67"/>
    <x v="0"/>
  </r>
  <r>
    <n v="695"/>
    <n v="85"/>
    <x v="1"/>
  </r>
  <r>
    <n v="803"/>
    <n v="130"/>
    <x v="3"/>
  </r>
  <r>
    <n v="268"/>
    <n v="50"/>
    <x v="2"/>
  </r>
  <r>
    <n v="429"/>
    <n v="52"/>
    <x v="3"/>
  </r>
  <r>
    <n v="62"/>
    <n v="50"/>
    <x v="0"/>
  </r>
  <r>
    <n v="831"/>
    <n v="15"/>
    <x v="3"/>
  </r>
  <r>
    <n v="737"/>
    <n v="85"/>
    <x v="4"/>
  </r>
  <r>
    <n v="923"/>
    <n v="143"/>
    <x v="4"/>
  </r>
  <r>
    <n v="85"/>
    <n v="117"/>
    <x v="1"/>
  </r>
  <r>
    <n v="59"/>
    <n v="38"/>
    <x v="3"/>
  </r>
  <r>
    <n v="590"/>
    <n v="105"/>
    <x v="1"/>
  </r>
  <r>
    <n v="348"/>
    <n v="49"/>
    <x v="0"/>
  </r>
  <r>
    <n v="561"/>
    <n v="153"/>
    <x v="4"/>
  </r>
  <r>
    <n v="214"/>
    <n v="191"/>
    <x v="0"/>
  </r>
  <r>
    <n v="964"/>
    <n v="111"/>
    <x v="2"/>
  </r>
  <r>
    <n v="897"/>
    <n v="62"/>
    <x v="0"/>
  </r>
  <r>
    <n v="983"/>
    <n v="191"/>
    <x v="2"/>
  </r>
  <r>
    <n v="432"/>
    <n v="73"/>
    <x v="0"/>
  </r>
  <r>
    <n v="881"/>
    <n v="189"/>
    <x v="0"/>
  </r>
  <r>
    <n v="331"/>
    <n v="93"/>
    <x v="1"/>
  </r>
  <r>
    <n v="819"/>
    <n v="71"/>
    <x v="3"/>
  </r>
  <r>
    <n v="936"/>
    <n v="11"/>
    <x v="0"/>
  </r>
  <r>
    <n v="321"/>
    <n v="19"/>
    <x v="1"/>
  </r>
  <r>
    <n v="244"/>
    <n v="106"/>
    <x v="1"/>
  </r>
  <r>
    <n v="826"/>
    <n v="160"/>
    <x v="1"/>
  </r>
  <r>
    <n v="159"/>
    <n v="14"/>
    <x v="0"/>
  </r>
  <r>
    <n v="305"/>
    <n v="81"/>
    <x v="4"/>
  </r>
  <r>
    <n v="841"/>
    <n v="83"/>
    <x v="1"/>
  </r>
  <r>
    <n v="123"/>
    <n v="183"/>
    <x v="2"/>
  </r>
  <r>
    <n v="803"/>
    <n v="196"/>
    <x v="3"/>
  </r>
  <r>
    <n v="380"/>
    <n v="106"/>
    <x v="3"/>
  </r>
  <r>
    <n v="344"/>
    <n v="93"/>
    <x v="3"/>
  </r>
  <r>
    <n v="908"/>
    <n v="128"/>
    <x v="0"/>
  </r>
  <r>
    <n v="782"/>
    <n v="180"/>
    <x v="3"/>
  </r>
  <r>
    <n v="769"/>
    <n v="140"/>
    <x v="3"/>
  </r>
  <r>
    <n v="233"/>
    <n v="102"/>
    <x v="4"/>
  </r>
  <r>
    <n v="170"/>
    <n v="164"/>
    <x v="3"/>
  </r>
  <r>
    <n v="945"/>
    <n v="114"/>
    <x v="4"/>
  </r>
  <r>
    <n v="945"/>
    <n v="108"/>
    <x v="2"/>
  </r>
  <r>
    <n v="217"/>
    <n v="162"/>
    <x v="3"/>
  </r>
  <r>
    <n v="664"/>
    <n v="123"/>
    <x v="1"/>
  </r>
  <r>
    <n v="679"/>
    <n v="1"/>
    <x v="0"/>
  </r>
  <r>
    <n v="242"/>
    <n v="200"/>
    <x v="0"/>
  </r>
  <r>
    <n v="541"/>
    <n v="158"/>
    <x v="4"/>
  </r>
  <r>
    <n v="108"/>
    <n v="105"/>
    <x v="0"/>
  </r>
  <r>
    <n v="343"/>
    <n v="163"/>
    <x v="4"/>
  </r>
  <r>
    <n v="477"/>
    <n v="38"/>
    <x v="3"/>
  </r>
  <r>
    <n v="767"/>
    <n v="190"/>
    <x v="0"/>
  </r>
  <r>
    <n v="12"/>
    <n v="9"/>
    <x v="0"/>
  </r>
  <r>
    <n v="920"/>
    <n v="79"/>
    <x v="4"/>
  </r>
  <r>
    <n v="819"/>
    <n v="174"/>
    <x v="1"/>
  </r>
  <r>
    <n v="607"/>
    <n v="94"/>
    <x v="1"/>
  </r>
  <r>
    <n v="346"/>
    <n v="76"/>
    <x v="3"/>
  </r>
  <r>
    <n v="668"/>
    <n v="17"/>
    <x v="1"/>
  </r>
  <r>
    <n v="317"/>
    <n v="116"/>
    <x v="1"/>
  </r>
  <r>
    <n v="297"/>
    <n v="19"/>
    <x v="2"/>
  </r>
  <r>
    <n v="866"/>
    <n v="120"/>
    <x v="2"/>
  </r>
  <r>
    <n v="286"/>
    <n v="121"/>
    <x v="2"/>
  </r>
  <r>
    <n v="95"/>
    <n v="149"/>
    <x v="4"/>
  </r>
  <r>
    <n v="938"/>
    <n v="92"/>
    <x v="4"/>
  </r>
  <r>
    <n v="264"/>
    <n v="55"/>
    <x v="4"/>
  </r>
  <r>
    <n v="44"/>
    <n v="10"/>
    <x v="4"/>
  </r>
  <r>
    <n v="944"/>
    <n v="165"/>
    <x v="3"/>
  </r>
  <r>
    <n v="542"/>
    <n v="152"/>
    <x v="2"/>
  </r>
  <r>
    <n v="350"/>
    <n v="17"/>
    <x v="0"/>
  </r>
  <r>
    <n v="31"/>
    <n v="173"/>
    <x v="1"/>
  </r>
  <r>
    <n v="358"/>
    <n v="158"/>
    <x v="2"/>
  </r>
  <r>
    <n v="961"/>
    <n v="170"/>
    <x v="1"/>
  </r>
  <r>
    <n v="623"/>
    <n v="180"/>
    <x v="1"/>
  </r>
  <r>
    <n v="466"/>
    <n v="139"/>
    <x v="0"/>
  </r>
  <r>
    <n v="860"/>
    <n v="145"/>
    <x v="4"/>
  </r>
  <r>
    <n v="410"/>
    <n v="125"/>
    <x v="1"/>
  </r>
  <r>
    <n v="69"/>
    <n v="75"/>
    <x v="4"/>
  </r>
  <r>
    <n v="424"/>
    <n v="74"/>
    <x v="3"/>
  </r>
  <r>
    <n v="377"/>
    <n v="136"/>
    <x v="1"/>
  </r>
  <r>
    <n v="132"/>
    <n v="127"/>
    <x v="0"/>
  </r>
  <r>
    <n v="818"/>
    <n v="45"/>
    <x v="2"/>
  </r>
  <r>
    <n v="813"/>
    <n v="155"/>
    <x v="1"/>
  </r>
  <r>
    <n v="362"/>
    <n v="130"/>
    <x v="3"/>
  </r>
  <r>
    <n v="573"/>
    <n v="190"/>
    <x v="3"/>
  </r>
  <r>
    <n v="657"/>
    <n v="88"/>
    <x v="2"/>
  </r>
  <r>
    <n v="659"/>
    <n v="2"/>
    <x v="0"/>
  </r>
  <r>
    <n v="653"/>
    <n v="173"/>
    <x v="3"/>
  </r>
  <r>
    <n v="577"/>
    <n v="131"/>
    <x v="1"/>
  </r>
  <r>
    <n v="802"/>
    <n v="177"/>
    <x v="0"/>
  </r>
  <r>
    <n v="702"/>
    <n v="130"/>
    <x v="1"/>
  </r>
  <r>
    <n v="92"/>
    <n v="184"/>
    <x v="1"/>
  </r>
  <r>
    <n v="582"/>
    <n v="162"/>
    <x v="1"/>
  </r>
  <r>
    <n v="161"/>
    <n v="93"/>
    <x v="4"/>
  </r>
  <r>
    <n v="842"/>
    <n v="24"/>
    <x v="1"/>
  </r>
  <r>
    <n v="609"/>
    <n v="6"/>
    <x v="4"/>
  </r>
  <r>
    <n v="391"/>
    <n v="17"/>
    <x v="3"/>
  </r>
  <r>
    <n v="247"/>
    <n v="172"/>
    <x v="0"/>
  </r>
  <r>
    <n v="559"/>
    <n v="113"/>
    <x v="4"/>
  </r>
  <r>
    <n v="706"/>
    <n v="22"/>
    <x v="1"/>
  </r>
  <r>
    <n v="1000"/>
    <n v="159"/>
    <x v="1"/>
  </r>
  <r>
    <n v="586"/>
    <n v="32"/>
    <x v="1"/>
  </r>
  <r>
    <n v="450"/>
    <n v="92"/>
    <x v="1"/>
  </r>
  <r>
    <n v="468"/>
    <n v="95"/>
    <x v="1"/>
  </r>
  <r>
    <n v="370"/>
    <n v="130"/>
    <x v="3"/>
  </r>
  <r>
    <n v="781"/>
    <n v="179"/>
    <x v="3"/>
  </r>
  <r>
    <n v="829"/>
    <n v="62"/>
    <x v="4"/>
  </r>
  <r>
    <n v="944"/>
    <n v="94"/>
    <x v="3"/>
  </r>
  <r>
    <n v="670"/>
    <n v="72"/>
    <x v="0"/>
  </r>
  <r>
    <n v="831"/>
    <n v="37"/>
    <x v="3"/>
  </r>
  <r>
    <n v="154"/>
    <n v="148"/>
    <x v="0"/>
  </r>
  <r>
    <n v="707"/>
    <n v="162"/>
    <x v="4"/>
  </r>
  <r>
    <n v="587"/>
    <n v="140"/>
    <x v="2"/>
  </r>
  <r>
    <n v="158"/>
    <n v="119"/>
    <x v="3"/>
  </r>
  <r>
    <n v="936"/>
    <n v="188"/>
    <x v="1"/>
  </r>
  <r>
    <n v="670"/>
    <n v="94"/>
    <x v="0"/>
  </r>
  <r>
    <n v="636"/>
    <n v="186"/>
    <x v="2"/>
  </r>
  <r>
    <n v="700"/>
    <n v="64"/>
    <x v="1"/>
  </r>
  <r>
    <n v="310"/>
    <n v="162"/>
    <x v="1"/>
  </r>
  <r>
    <n v="237"/>
    <n v="32"/>
    <x v="3"/>
  </r>
  <r>
    <n v="774"/>
    <n v="88"/>
    <x v="2"/>
  </r>
  <r>
    <n v="532"/>
    <n v="110"/>
    <x v="3"/>
  </r>
  <r>
    <n v="813"/>
    <n v="2"/>
    <x v="2"/>
  </r>
  <r>
    <n v="727"/>
    <n v="26"/>
    <x v="3"/>
  </r>
  <r>
    <n v="271"/>
    <n v="51"/>
    <x v="1"/>
  </r>
  <r>
    <n v="958"/>
    <n v="192"/>
    <x v="0"/>
  </r>
  <r>
    <n v="202"/>
    <n v="163"/>
    <x v="0"/>
  </r>
  <r>
    <n v="899"/>
    <n v="11"/>
    <x v="2"/>
  </r>
  <r>
    <n v="465"/>
    <n v="35"/>
    <x v="4"/>
  </r>
  <r>
    <n v="459"/>
    <n v="105"/>
    <x v="3"/>
  </r>
  <r>
    <n v="611"/>
    <n v="170"/>
    <x v="1"/>
  </r>
  <r>
    <n v="49"/>
    <n v="146"/>
    <x v="4"/>
  </r>
  <r>
    <n v="929"/>
    <n v="89"/>
    <x v="4"/>
  </r>
  <r>
    <n v="39"/>
    <n v="89"/>
    <x v="3"/>
  </r>
  <r>
    <n v="520"/>
    <n v="170"/>
    <x v="4"/>
  </r>
  <r>
    <n v="501"/>
    <n v="64"/>
    <x v="0"/>
  </r>
  <r>
    <n v="593"/>
    <n v="46"/>
    <x v="4"/>
  </r>
  <r>
    <n v="109"/>
    <n v="68"/>
    <x v="4"/>
  </r>
  <r>
    <n v="472"/>
    <n v="65"/>
    <x v="3"/>
  </r>
  <r>
    <n v="229"/>
    <n v="120"/>
    <x v="4"/>
  </r>
  <r>
    <n v="487"/>
    <n v="107"/>
    <x v="3"/>
  </r>
  <r>
    <n v="543"/>
    <n v="16"/>
    <x v="0"/>
  </r>
  <r>
    <n v="105"/>
    <n v="35"/>
    <x v="1"/>
  </r>
  <r>
    <n v="334"/>
    <n v="151"/>
    <x v="1"/>
  </r>
  <r>
    <n v="871"/>
    <n v="187"/>
    <x v="3"/>
  </r>
  <r>
    <n v="206"/>
    <n v="194"/>
    <x v="3"/>
  </r>
  <r>
    <n v="701"/>
    <n v="173"/>
    <x v="2"/>
  </r>
  <r>
    <n v="505"/>
    <n v="129"/>
    <x v="2"/>
  </r>
  <r>
    <n v="239"/>
    <n v="175"/>
    <x v="2"/>
  </r>
  <r>
    <n v="115"/>
    <n v="168"/>
    <x v="4"/>
  </r>
  <r>
    <n v="142"/>
    <n v="113"/>
    <x v="1"/>
  </r>
  <r>
    <n v="744"/>
    <n v="33"/>
    <x v="1"/>
  </r>
  <r>
    <n v="820"/>
    <n v="17"/>
    <x v="1"/>
  </r>
  <r>
    <n v="940"/>
    <n v="50"/>
    <x v="4"/>
  </r>
  <r>
    <n v="135"/>
    <n v="138"/>
    <x v="3"/>
  </r>
  <r>
    <n v="803"/>
    <n v="51"/>
    <x v="4"/>
  </r>
  <r>
    <n v="322"/>
    <n v="199"/>
    <x v="3"/>
  </r>
  <r>
    <n v="424"/>
    <n v="111"/>
    <x v="3"/>
  </r>
  <r>
    <n v="60"/>
    <n v="159"/>
    <x v="2"/>
  </r>
  <r>
    <n v="865"/>
    <n v="8"/>
    <x v="3"/>
  </r>
  <r>
    <n v="526"/>
    <n v="144"/>
    <x v="1"/>
  </r>
  <r>
    <n v="389"/>
    <n v="177"/>
    <x v="4"/>
  </r>
  <r>
    <n v="922"/>
    <n v="106"/>
    <x v="1"/>
  </r>
  <r>
    <n v="485"/>
    <n v="37"/>
    <x v="1"/>
  </r>
  <r>
    <n v="112"/>
    <n v="181"/>
    <x v="2"/>
  </r>
  <r>
    <n v="181"/>
    <n v="13"/>
    <x v="3"/>
  </r>
  <r>
    <n v="936"/>
    <n v="166"/>
    <x v="3"/>
  </r>
  <r>
    <n v="406"/>
    <n v="47"/>
    <x v="3"/>
  </r>
  <r>
    <n v="717"/>
    <n v="84"/>
    <x v="0"/>
  </r>
  <r>
    <n v="833"/>
    <n v="154"/>
    <x v="0"/>
  </r>
  <r>
    <n v="304"/>
    <n v="49"/>
    <x v="1"/>
  </r>
  <r>
    <n v="802"/>
    <n v="31"/>
    <x v="1"/>
  </r>
  <r>
    <n v="522"/>
    <n v="160"/>
    <x v="2"/>
  </r>
  <r>
    <n v="177"/>
    <n v="3"/>
    <x v="4"/>
  </r>
  <r>
    <n v="811"/>
    <n v="37"/>
    <x v="0"/>
  </r>
  <r>
    <n v="239"/>
    <n v="126"/>
    <x v="3"/>
  </r>
  <r>
    <n v="49"/>
    <n v="71"/>
    <x v="3"/>
  </r>
  <r>
    <n v="407"/>
    <n v="15"/>
    <x v="4"/>
  </r>
  <r>
    <n v="804"/>
    <n v="106"/>
    <x v="4"/>
  </r>
  <r>
    <n v="564"/>
    <n v="121"/>
    <x v="1"/>
  </r>
  <r>
    <n v="625"/>
    <n v="165"/>
    <x v="2"/>
  </r>
  <r>
    <n v="260"/>
    <n v="53"/>
    <x v="4"/>
  </r>
  <r>
    <n v="378"/>
    <n v="56"/>
    <x v="2"/>
  </r>
  <r>
    <n v="334"/>
    <n v="175"/>
    <x v="4"/>
  </r>
  <r>
    <n v="544"/>
    <n v="89"/>
    <x v="1"/>
  </r>
  <r>
    <n v="899"/>
    <n v="97"/>
    <x v="3"/>
  </r>
  <r>
    <n v="807"/>
    <n v="188"/>
    <x v="0"/>
  </r>
  <r>
    <n v="235"/>
    <n v="25"/>
    <x v="0"/>
  </r>
  <r>
    <n v="763"/>
    <n v="16"/>
    <x v="1"/>
  </r>
  <r>
    <n v="475"/>
    <n v="151"/>
    <x v="3"/>
  </r>
  <r>
    <n v="453"/>
    <n v="113"/>
    <x v="1"/>
  </r>
  <r>
    <n v="40"/>
    <n v="106"/>
    <x v="1"/>
  </r>
  <r>
    <n v="112"/>
    <n v="30"/>
    <x v="0"/>
  </r>
  <r>
    <n v="102"/>
    <n v="66"/>
    <x v="3"/>
  </r>
  <r>
    <n v="943"/>
    <n v="187"/>
    <x v="3"/>
  </r>
  <r>
    <n v="426"/>
    <n v="137"/>
    <x v="3"/>
  </r>
  <r>
    <n v="202"/>
    <n v="12"/>
    <x v="1"/>
  </r>
  <r>
    <n v="364"/>
    <n v="181"/>
    <x v="4"/>
  </r>
  <r>
    <n v="562"/>
    <n v="67"/>
    <x v="3"/>
  </r>
  <r>
    <n v="481"/>
    <n v="128"/>
    <x v="2"/>
  </r>
  <r>
    <n v="469"/>
    <n v="182"/>
    <x v="0"/>
  </r>
  <r>
    <n v="708"/>
    <n v="4"/>
    <x v="4"/>
  </r>
  <r>
    <n v="990"/>
    <n v="88"/>
    <x v="0"/>
  </r>
  <r>
    <n v="236"/>
    <n v="121"/>
    <x v="4"/>
  </r>
  <r>
    <n v="784"/>
    <n v="29"/>
    <x v="2"/>
  </r>
  <r>
    <n v="714"/>
    <n v="3"/>
    <x v="3"/>
  </r>
  <r>
    <n v="420"/>
    <n v="87"/>
    <x v="4"/>
  </r>
  <r>
    <n v="961"/>
    <n v="9"/>
    <x v="2"/>
  </r>
  <r>
    <n v="775"/>
    <n v="194"/>
    <x v="4"/>
  </r>
  <r>
    <n v="773"/>
    <n v="139"/>
    <x v="4"/>
  </r>
  <r>
    <n v="841"/>
    <n v="45"/>
    <x v="0"/>
  </r>
  <r>
    <n v="412"/>
    <n v="20"/>
    <x v="1"/>
  </r>
  <r>
    <n v="160"/>
    <n v="79"/>
    <x v="1"/>
  </r>
  <r>
    <n v="346"/>
    <n v="125"/>
    <x v="1"/>
  </r>
  <r>
    <n v="266"/>
    <n v="94"/>
    <x v="3"/>
  </r>
  <r>
    <n v="305"/>
    <n v="191"/>
    <x v="2"/>
  </r>
  <r>
    <n v="89"/>
    <n v="135"/>
    <x v="2"/>
  </r>
  <r>
    <n v="905"/>
    <n v="127"/>
    <x v="0"/>
  </r>
  <r>
    <n v="959"/>
    <n v="174"/>
    <x v="1"/>
  </r>
  <r>
    <n v="426"/>
    <n v="7"/>
    <x v="4"/>
  </r>
  <r>
    <n v="585"/>
    <n v="97"/>
    <x v="1"/>
  </r>
  <r>
    <n v="65"/>
    <n v="11"/>
    <x v="1"/>
  </r>
  <r>
    <n v="367"/>
    <n v="163"/>
    <x v="3"/>
  </r>
  <r>
    <n v="891"/>
    <n v="93"/>
    <x v="4"/>
  </r>
  <r>
    <n v="468"/>
    <n v="196"/>
    <x v="2"/>
  </r>
  <r>
    <n v="999"/>
    <n v="22"/>
    <x v="4"/>
  </r>
  <r>
    <n v="263"/>
    <n v="55"/>
    <x v="3"/>
  </r>
  <r>
    <n v="487"/>
    <n v="105"/>
    <x v="0"/>
  </r>
  <r>
    <n v="961"/>
    <n v="41"/>
    <x v="4"/>
  </r>
  <r>
    <n v="973"/>
    <n v="7"/>
    <x v="4"/>
  </r>
  <r>
    <n v="724"/>
    <n v="191"/>
    <x v="0"/>
  </r>
  <r>
    <n v="725"/>
    <n v="168"/>
    <x v="2"/>
  </r>
  <r>
    <n v="973"/>
    <n v="152"/>
    <x v="3"/>
  </r>
  <r>
    <n v="830"/>
    <n v="172"/>
    <x v="3"/>
  </r>
  <r>
    <n v="726"/>
    <n v="176"/>
    <x v="3"/>
  </r>
  <r>
    <n v="90"/>
    <n v="151"/>
    <x v="0"/>
  </r>
  <r>
    <n v="617"/>
    <n v="128"/>
    <x v="0"/>
  </r>
  <r>
    <n v="246"/>
    <n v="96"/>
    <x v="4"/>
  </r>
  <r>
    <n v="484"/>
    <n v="54"/>
    <x v="3"/>
  </r>
  <r>
    <n v="418"/>
    <n v="198"/>
    <x v="2"/>
  </r>
  <r>
    <n v="431"/>
    <n v="116"/>
    <x v="3"/>
  </r>
  <r>
    <n v="973"/>
    <n v="163"/>
    <x v="2"/>
  </r>
  <r>
    <n v="858"/>
    <n v="159"/>
    <x v="3"/>
  </r>
  <r>
    <n v="637"/>
    <n v="160"/>
    <x v="3"/>
  </r>
  <r>
    <n v="693"/>
    <n v="61"/>
    <x v="0"/>
  </r>
  <r>
    <n v="308"/>
    <n v="103"/>
    <x v="0"/>
  </r>
  <r>
    <n v="843"/>
    <n v="26"/>
    <x v="4"/>
  </r>
  <r>
    <n v="895"/>
    <n v="40"/>
    <x v="4"/>
  </r>
  <r>
    <n v="466"/>
    <n v="69"/>
    <x v="0"/>
  </r>
  <r>
    <n v="886"/>
    <n v="17"/>
    <x v="3"/>
  </r>
  <r>
    <n v="537"/>
    <n v="121"/>
    <x v="4"/>
  </r>
  <r>
    <n v="524"/>
    <n v="161"/>
    <x v="3"/>
  </r>
  <r>
    <n v="409"/>
    <n v="22"/>
    <x v="0"/>
  </r>
  <r>
    <n v="988"/>
    <n v="115"/>
    <x v="1"/>
  </r>
  <r>
    <n v="386"/>
    <n v="177"/>
    <x v="4"/>
  </r>
  <r>
    <n v="996"/>
    <n v="24"/>
    <x v="1"/>
  </r>
  <r>
    <n v="369"/>
    <n v="13"/>
    <x v="4"/>
  </r>
  <r>
    <n v="713"/>
    <n v="125"/>
    <x v="2"/>
  </r>
  <r>
    <n v="928"/>
    <n v="147"/>
    <x v="1"/>
  </r>
  <r>
    <n v="869"/>
    <n v="107"/>
    <x v="2"/>
  </r>
  <r>
    <n v="563"/>
    <n v="185"/>
    <x v="3"/>
  </r>
  <r>
    <n v="429"/>
    <n v="138"/>
    <x v="4"/>
  </r>
  <r>
    <n v="236"/>
    <n v="37"/>
    <x v="1"/>
  </r>
  <r>
    <n v="889"/>
    <n v="80"/>
    <x v="4"/>
  </r>
  <r>
    <n v="785"/>
    <n v="12"/>
    <x v="4"/>
  </r>
  <r>
    <n v="909"/>
    <n v="164"/>
    <x v="3"/>
  </r>
  <r>
    <n v="142"/>
    <n v="22"/>
    <x v="4"/>
  </r>
  <r>
    <n v="743"/>
    <n v="180"/>
    <x v="3"/>
  </r>
  <r>
    <n v="40"/>
    <n v="188"/>
    <x v="3"/>
  </r>
  <r>
    <n v="400"/>
    <n v="151"/>
    <x v="4"/>
  </r>
  <r>
    <n v="359"/>
    <n v="192"/>
    <x v="3"/>
  </r>
  <r>
    <n v="711"/>
    <n v="23"/>
    <x v="1"/>
  </r>
  <r>
    <n v="581"/>
    <n v="146"/>
    <x v="2"/>
  </r>
  <r>
    <n v="923"/>
    <n v="182"/>
    <x v="4"/>
  </r>
  <r>
    <n v="381"/>
    <n v="78"/>
    <x v="4"/>
  </r>
  <r>
    <n v="706"/>
    <n v="153"/>
    <x v="4"/>
  </r>
  <r>
    <n v="792"/>
    <n v="103"/>
    <x v="4"/>
  </r>
  <r>
    <n v="221"/>
    <n v="4"/>
    <x v="2"/>
  </r>
  <r>
    <n v="770"/>
    <n v="74"/>
    <x v="0"/>
  </r>
  <r>
    <n v="914"/>
    <n v="22"/>
    <x v="0"/>
  </r>
  <r>
    <n v="492"/>
    <n v="187"/>
    <x v="3"/>
  </r>
  <r>
    <n v="925"/>
    <n v="191"/>
    <x v="1"/>
  </r>
  <r>
    <n v="183"/>
    <n v="195"/>
    <x v="1"/>
  </r>
  <r>
    <n v="889"/>
    <n v="54"/>
    <x v="3"/>
  </r>
  <r>
    <n v="174"/>
    <n v="172"/>
    <x v="4"/>
  </r>
  <r>
    <n v="709"/>
    <n v="93"/>
    <x v="1"/>
  </r>
  <r>
    <n v="783"/>
    <n v="81"/>
    <x v="4"/>
  </r>
  <r>
    <n v="304"/>
    <n v="196"/>
    <x v="0"/>
  </r>
  <r>
    <n v="738"/>
    <n v="96"/>
    <x v="2"/>
  </r>
  <r>
    <n v="228"/>
    <n v="110"/>
    <x v="0"/>
  </r>
  <r>
    <n v="997"/>
    <n v="107"/>
    <x v="3"/>
  </r>
  <r>
    <n v="722"/>
    <n v="98"/>
    <x v="0"/>
  </r>
  <r>
    <n v="316"/>
    <n v="10"/>
    <x v="4"/>
  </r>
  <r>
    <n v="455"/>
    <n v="120"/>
    <x v="2"/>
  </r>
  <r>
    <n v="985"/>
    <n v="97"/>
    <x v="2"/>
  </r>
  <r>
    <n v="718"/>
    <n v="100"/>
    <x v="2"/>
  </r>
  <r>
    <n v="923"/>
    <n v="57"/>
    <x v="0"/>
  </r>
  <r>
    <n v="174"/>
    <n v="178"/>
    <x v="0"/>
  </r>
  <r>
    <n v="253"/>
    <n v="157"/>
    <x v="3"/>
  </r>
  <r>
    <n v="479"/>
    <n v="98"/>
    <x v="4"/>
  </r>
  <r>
    <n v="932"/>
    <n v="98"/>
    <x v="0"/>
  </r>
  <r>
    <n v="175"/>
    <n v="17"/>
    <x v="0"/>
  </r>
  <r>
    <n v="591"/>
    <n v="169"/>
    <x v="1"/>
  </r>
  <r>
    <n v="776"/>
    <n v="40"/>
    <x v="0"/>
  </r>
  <r>
    <n v="229"/>
    <n v="54"/>
    <x v="3"/>
  </r>
  <r>
    <n v="730"/>
    <n v="98"/>
    <x v="0"/>
  </r>
  <r>
    <n v="312"/>
    <n v="114"/>
    <x v="2"/>
  </r>
  <r>
    <n v="356"/>
    <n v="126"/>
    <x v="1"/>
  </r>
  <r>
    <n v="49"/>
    <n v="30"/>
    <x v="2"/>
  </r>
  <r>
    <n v="774"/>
    <n v="55"/>
    <x v="2"/>
  </r>
  <r>
    <n v="961"/>
    <n v="173"/>
    <x v="4"/>
  </r>
  <r>
    <n v="539"/>
    <n v="48"/>
    <x v="1"/>
  </r>
  <r>
    <n v="340"/>
    <n v="174"/>
    <x v="2"/>
  </r>
  <r>
    <n v="836"/>
    <n v="67"/>
    <x v="2"/>
  </r>
  <r>
    <n v="746"/>
    <n v="200"/>
    <x v="3"/>
  </r>
  <r>
    <n v="939"/>
    <n v="21"/>
    <x v="4"/>
  </r>
  <r>
    <n v="659"/>
    <n v="150"/>
    <x v="3"/>
  </r>
  <r>
    <n v="435"/>
    <n v="108"/>
    <x v="3"/>
  </r>
  <r>
    <n v="292"/>
    <n v="169"/>
    <x v="3"/>
  </r>
  <r>
    <n v="103"/>
    <n v="36"/>
    <x v="4"/>
  </r>
  <r>
    <n v="525"/>
    <n v="140"/>
    <x v="2"/>
  </r>
  <r>
    <n v="428"/>
    <n v="119"/>
    <x v="0"/>
  </r>
  <r>
    <n v="711"/>
    <n v="147"/>
    <x v="2"/>
  </r>
  <r>
    <n v="887"/>
    <n v="37"/>
    <x v="3"/>
  </r>
  <r>
    <n v="546"/>
    <n v="12"/>
    <x v="0"/>
  </r>
  <r>
    <n v="417"/>
    <n v="143"/>
    <x v="4"/>
  </r>
  <r>
    <n v="407"/>
    <n v="126"/>
    <x v="0"/>
  </r>
  <r>
    <n v="579"/>
    <n v="121"/>
    <x v="3"/>
  </r>
  <r>
    <n v="672"/>
    <n v="57"/>
    <x v="2"/>
  </r>
  <r>
    <n v="377"/>
    <n v="153"/>
    <x v="2"/>
  </r>
  <r>
    <n v="818"/>
    <n v="34"/>
    <x v="3"/>
  </r>
  <r>
    <n v="225"/>
    <n v="1"/>
    <x v="4"/>
  </r>
  <r>
    <n v="324"/>
    <n v="113"/>
    <x v="1"/>
  </r>
  <r>
    <n v="793"/>
    <n v="141"/>
    <x v="3"/>
  </r>
  <r>
    <n v="133"/>
    <n v="143"/>
    <x v="4"/>
  </r>
  <r>
    <n v="260"/>
    <n v="161"/>
    <x v="1"/>
  </r>
  <r>
    <n v="851"/>
    <n v="166"/>
    <x v="3"/>
  </r>
  <r>
    <n v="105"/>
    <n v="118"/>
    <x v="1"/>
  </r>
  <r>
    <n v="646"/>
    <n v="139"/>
    <x v="2"/>
  </r>
  <r>
    <n v="358"/>
    <n v="6"/>
    <x v="1"/>
  </r>
  <r>
    <n v="336"/>
    <n v="135"/>
    <x v="2"/>
  </r>
  <r>
    <n v="80"/>
    <n v="143"/>
    <x v="0"/>
  </r>
  <r>
    <n v="326"/>
    <n v="89"/>
    <x v="4"/>
  </r>
  <r>
    <n v="699"/>
    <n v="70"/>
    <x v="0"/>
  </r>
  <r>
    <n v="89"/>
    <n v="55"/>
    <x v="4"/>
  </r>
  <r>
    <n v="909"/>
    <n v="99"/>
    <x v="1"/>
  </r>
  <r>
    <n v="918"/>
    <n v="153"/>
    <x v="2"/>
  </r>
  <r>
    <n v="285"/>
    <n v="66"/>
    <x v="3"/>
  </r>
  <r>
    <n v="463"/>
    <n v="171"/>
    <x v="4"/>
  </r>
  <r>
    <n v="875"/>
    <n v="115"/>
    <x v="2"/>
  </r>
  <r>
    <n v="875"/>
    <n v="70"/>
    <x v="0"/>
  </r>
  <r>
    <n v="341"/>
    <n v="165"/>
    <x v="3"/>
  </r>
  <r>
    <n v="273"/>
    <n v="79"/>
    <x v="1"/>
  </r>
  <r>
    <n v="352"/>
    <n v="31"/>
    <x v="1"/>
  </r>
  <r>
    <n v="588"/>
    <n v="147"/>
    <x v="3"/>
  </r>
  <r>
    <n v="233"/>
    <n v="15"/>
    <x v="3"/>
  </r>
  <r>
    <n v="159"/>
    <n v="131"/>
    <x v="1"/>
  </r>
  <r>
    <n v="488"/>
    <n v="135"/>
    <x v="3"/>
  </r>
  <r>
    <n v="522"/>
    <n v="32"/>
    <x v="4"/>
  </r>
  <r>
    <n v="30"/>
    <n v="177"/>
    <x v="3"/>
  </r>
  <r>
    <n v="139"/>
    <n v="29"/>
    <x v="3"/>
  </r>
  <r>
    <n v="393"/>
    <n v="130"/>
    <x v="0"/>
  </r>
  <r>
    <n v="792"/>
    <n v="67"/>
    <x v="0"/>
  </r>
  <r>
    <n v="186"/>
    <n v="158"/>
    <x v="3"/>
  </r>
  <r>
    <n v="872"/>
    <n v="150"/>
    <x v="2"/>
  </r>
  <r>
    <n v="77"/>
    <n v="191"/>
    <x v="3"/>
  </r>
  <r>
    <n v="829"/>
    <n v="178"/>
    <x v="0"/>
  </r>
  <r>
    <n v="821"/>
    <n v="7"/>
    <x v="0"/>
  </r>
  <r>
    <n v="265"/>
    <n v="34"/>
    <x v="1"/>
  </r>
  <r>
    <n v="416"/>
    <n v="143"/>
    <x v="2"/>
  </r>
  <r>
    <n v="253"/>
    <n v="70"/>
    <x v="1"/>
  </r>
  <r>
    <n v="770"/>
    <n v="2"/>
    <x v="3"/>
  </r>
  <r>
    <n v="969"/>
    <n v="12"/>
    <x v="1"/>
  </r>
  <r>
    <n v="701"/>
    <n v="125"/>
    <x v="1"/>
  </r>
  <r>
    <n v="732"/>
    <n v="105"/>
    <x v="3"/>
  </r>
  <r>
    <n v="989"/>
    <n v="44"/>
    <x v="0"/>
  </r>
  <r>
    <n v="89"/>
    <n v="32"/>
    <x v="4"/>
  </r>
  <r>
    <n v="578"/>
    <n v="117"/>
    <x v="3"/>
  </r>
  <r>
    <n v="417"/>
    <n v="87"/>
    <x v="0"/>
  </r>
  <r>
    <n v="474"/>
    <n v="10"/>
    <x v="0"/>
  </r>
  <r>
    <n v="512"/>
    <n v="176"/>
    <x v="4"/>
  </r>
  <r>
    <n v="280"/>
    <n v="67"/>
    <x v="1"/>
  </r>
  <r>
    <n v="494"/>
    <n v="28"/>
    <x v="4"/>
  </r>
  <r>
    <n v="697"/>
    <n v="5"/>
    <x v="2"/>
  </r>
  <r>
    <n v="879"/>
    <n v="128"/>
    <x v="1"/>
  </r>
  <r>
    <n v="442"/>
    <n v="87"/>
    <x v="3"/>
  </r>
  <r>
    <n v="514"/>
    <n v="46"/>
    <x v="1"/>
  </r>
  <r>
    <n v="120"/>
    <n v="191"/>
    <x v="2"/>
  </r>
  <r>
    <n v="573"/>
    <n v="190"/>
    <x v="0"/>
  </r>
  <r>
    <n v="231"/>
    <n v="199"/>
    <x v="4"/>
  </r>
  <r>
    <n v="374"/>
    <n v="154"/>
    <x v="0"/>
  </r>
  <r>
    <n v="727"/>
    <n v="13"/>
    <x v="1"/>
  </r>
  <r>
    <n v="858"/>
    <n v="12"/>
    <x v="3"/>
  </r>
  <r>
    <n v="25"/>
    <n v="132"/>
    <x v="1"/>
  </r>
  <r>
    <n v="180"/>
    <n v="99"/>
    <x v="2"/>
  </r>
  <r>
    <n v="666"/>
    <n v="76"/>
    <x v="3"/>
  </r>
  <r>
    <n v="709"/>
    <n v="52"/>
    <x v="4"/>
  </r>
  <r>
    <n v="30"/>
    <n v="136"/>
    <x v="0"/>
  </r>
  <r>
    <n v="466"/>
    <n v="106"/>
    <x v="2"/>
  </r>
  <r>
    <n v="385"/>
    <n v="106"/>
    <x v="0"/>
  </r>
  <r>
    <n v="484"/>
    <n v="131"/>
    <x v="2"/>
  </r>
  <r>
    <n v="379"/>
    <n v="35"/>
    <x v="3"/>
  </r>
  <r>
    <n v="481"/>
    <n v="58"/>
    <x v="1"/>
  </r>
  <r>
    <n v="969"/>
    <n v="175"/>
    <x v="0"/>
  </r>
  <r>
    <n v="52"/>
    <n v="151"/>
    <x v="2"/>
  </r>
  <r>
    <n v="57"/>
    <n v="175"/>
    <x v="2"/>
  </r>
  <r>
    <n v="415"/>
    <n v="162"/>
    <x v="0"/>
  </r>
  <r>
    <n v="285"/>
    <n v="92"/>
    <x v="4"/>
  </r>
  <r>
    <n v="861"/>
    <n v="125"/>
    <x v="2"/>
  </r>
  <r>
    <n v="399"/>
    <n v="27"/>
    <x v="2"/>
  </r>
  <r>
    <n v="765"/>
    <n v="159"/>
    <x v="3"/>
  </r>
  <r>
    <n v="667"/>
    <n v="43"/>
    <x v="2"/>
  </r>
  <r>
    <n v="409"/>
    <n v="38"/>
    <x v="0"/>
  </r>
  <r>
    <n v="202"/>
    <n v="26"/>
    <x v="1"/>
  </r>
  <r>
    <n v="208"/>
    <n v="144"/>
    <x v="1"/>
  </r>
  <r>
    <n v="382"/>
    <n v="50"/>
    <x v="1"/>
  </r>
  <r>
    <n v="666"/>
    <n v="164"/>
    <x v="4"/>
  </r>
  <r>
    <n v="855"/>
    <n v="46"/>
    <x v="0"/>
  </r>
  <r>
    <n v="592"/>
    <n v="67"/>
    <x v="3"/>
  </r>
  <r>
    <n v="546"/>
    <n v="16"/>
    <x v="4"/>
  </r>
  <r>
    <n v="633"/>
    <n v="83"/>
    <x v="4"/>
  </r>
  <r>
    <n v="883"/>
    <n v="60"/>
    <x v="4"/>
  </r>
  <r>
    <n v="235"/>
    <n v="88"/>
    <x v="2"/>
  </r>
  <r>
    <n v="267"/>
    <n v="146"/>
    <x v="1"/>
  </r>
  <r>
    <n v="710"/>
    <n v="68"/>
    <x v="3"/>
  </r>
  <r>
    <n v="805"/>
    <n v="42"/>
    <x v="3"/>
  </r>
  <r>
    <n v="209"/>
    <n v="151"/>
    <x v="4"/>
  </r>
  <r>
    <n v="803"/>
    <n v="197"/>
    <x v="1"/>
  </r>
  <r>
    <n v="236"/>
    <n v="183"/>
    <x v="3"/>
  </r>
  <r>
    <n v="264"/>
    <n v="115"/>
    <x v="2"/>
  </r>
  <r>
    <n v="767"/>
    <n v="5"/>
    <x v="3"/>
  </r>
  <r>
    <n v="247"/>
    <n v="104"/>
    <x v="0"/>
  </r>
  <r>
    <n v="69"/>
    <n v="101"/>
    <x v="4"/>
  </r>
  <r>
    <n v="958"/>
    <n v="153"/>
    <x v="0"/>
  </r>
  <r>
    <n v="271"/>
    <n v="50"/>
    <x v="2"/>
  </r>
  <r>
    <n v="178"/>
    <n v="162"/>
    <x v="3"/>
  </r>
  <r>
    <n v="865"/>
    <n v="104"/>
    <x v="0"/>
  </r>
  <r>
    <n v="257"/>
    <n v="113"/>
    <x v="0"/>
  </r>
  <r>
    <n v="428"/>
    <n v="168"/>
    <x v="4"/>
  </r>
  <r>
    <n v="994"/>
    <n v="78"/>
    <x v="1"/>
  </r>
  <r>
    <n v="476"/>
    <n v="37"/>
    <x v="4"/>
  </r>
  <r>
    <n v="150"/>
    <n v="57"/>
    <x v="0"/>
  </r>
  <r>
    <n v="580"/>
    <n v="149"/>
    <x v="4"/>
  </r>
  <r>
    <n v="284"/>
    <n v="84"/>
    <x v="4"/>
  </r>
  <r>
    <n v="688"/>
    <n v="192"/>
    <x v="2"/>
  </r>
  <r>
    <n v="93"/>
    <n v="46"/>
    <x v="1"/>
  </r>
  <r>
    <n v="799"/>
    <n v="44"/>
    <x v="2"/>
  </r>
  <r>
    <n v="327"/>
    <n v="1"/>
    <x v="4"/>
  </r>
  <r>
    <n v="685"/>
    <n v="127"/>
    <x v="3"/>
  </r>
  <r>
    <n v="604"/>
    <n v="107"/>
    <x v="1"/>
  </r>
  <r>
    <n v="597"/>
    <n v="165"/>
    <x v="1"/>
  </r>
  <r>
    <n v="451"/>
    <n v="49"/>
    <x v="0"/>
  </r>
  <r>
    <n v="50"/>
    <n v="15"/>
    <x v="4"/>
  </r>
  <r>
    <n v="987"/>
    <n v="91"/>
    <x v="0"/>
  </r>
  <r>
    <n v="817"/>
    <n v="182"/>
    <x v="4"/>
  </r>
  <r>
    <n v="361"/>
    <n v="12"/>
    <x v="2"/>
  </r>
  <r>
    <n v="146"/>
    <n v="147"/>
    <x v="2"/>
  </r>
  <r>
    <n v="313"/>
    <n v="1"/>
    <x v="1"/>
  </r>
  <r>
    <n v="80"/>
    <n v="71"/>
    <x v="3"/>
  </r>
  <r>
    <n v="860"/>
    <n v="42"/>
    <x v="0"/>
  </r>
  <r>
    <n v="67"/>
    <n v="66"/>
    <x v="4"/>
  </r>
  <r>
    <n v="178"/>
    <n v="61"/>
    <x v="2"/>
  </r>
  <r>
    <n v="113"/>
    <n v="85"/>
    <x v="2"/>
  </r>
  <r>
    <n v="855"/>
    <n v="186"/>
    <x v="1"/>
  </r>
  <r>
    <n v="608"/>
    <n v="96"/>
    <x v="4"/>
  </r>
  <r>
    <n v="804"/>
    <n v="49"/>
    <x v="0"/>
  </r>
  <r>
    <n v="207"/>
    <n v="140"/>
    <x v="3"/>
  </r>
  <r>
    <n v="118"/>
    <n v="104"/>
    <x v="3"/>
  </r>
  <r>
    <n v="983"/>
    <n v="8"/>
    <x v="4"/>
  </r>
  <r>
    <n v="523"/>
    <n v="159"/>
    <x v="1"/>
  </r>
  <r>
    <n v="786"/>
    <n v="94"/>
    <x v="1"/>
  </r>
  <r>
    <n v="781"/>
    <n v="97"/>
    <x v="2"/>
  </r>
  <r>
    <n v="434"/>
    <n v="104"/>
    <x v="4"/>
  </r>
  <r>
    <n v="824"/>
    <n v="125"/>
    <x v="2"/>
  </r>
  <r>
    <n v="230"/>
    <n v="21"/>
    <x v="3"/>
  </r>
  <r>
    <n v="358"/>
    <n v="147"/>
    <x v="1"/>
  </r>
  <r>
    <n v="380"/>
    <n v="9"/>
    <x v="4"/>
  </r>
  <r>
    <n v="647"/>
    <n v="165"/>
    <x v="3"/>
  </r>
  <r>
    <n v="518"/>
    <n v="157"/>
    <x v="2"/>
  </r>
  <r>
    <n v="33"/>
    <n v="120"/>
    <x v="0"/>
  </r>
  <r>
    <n v="660"/>
    <n v="151"/>
    <x v="2"/>
  </r>
  <r>
    <n v="517"/>
    <n v="200"/>
    <x v="3"/>
  </r>
  <r>
    <n v="882"/>
    <n v="23"/>
    <x v="3"/>
  </r>
  <r>
    <n v="349"/>
    <n v="50"/>
    <x v="1"/>
  </r>
  <r>
    <n v="619"/>
    <n v="172"/>
    <x v="3"/>
  </r>
  <r>
    <n v="416"/>
    <n v="146"/>
    <x v="0"/>
  </r>
  <r>
    <n v="466"/>
    <n v="174"/>
    <x v="0"/>
  </r>
  <r>
    <n v="701"/>
    <n v="4"/>
    <x v="0"/>
  </r>
  <r>
    <n v="742"/>
    <n v="140"/>
    <x v="0"/>
  </r>
  <r>
    <n v="228"/>
    <n v="42"/>
    <x v="0"/>
  </r>
  <r>
    <n v="18"/>
    <n v="34"/>
    <x v="2"/>
  </r>
  <r>
    <n v="826"/>
    <n v="79"/>
    <x v="2"/>
  </r>
  <r>
    <n v="357"/>
    <n v="44"/>
    <x v="3"/>
  </r>
  <r>
    <n v="474"/>
    <n v="2"/>
    <x v="2"/>
  </r>
  <r>
    <n v="946"/>
    <n v="166"/>
    <x v="4"/>
  </r>
  <r>
    <n v="890"/>
    <n v="187"/>
    <x v="3"/>
  </r>
  <r>
    <n v="583"/>
    <n v="131"/>
    <x v="0"/>
  </r>
  <r>
    <n v="304"/>
    <n v="25"/>
    <x v="2"/>
  </r>
  <r>
    <n v="205"/>
    <n v="92"/>
    <x v="4"/>
  </r>
  <r>
    <n v="348"/>
    <n v="13"/>
    <x v="4"/>
  </r>
  <r>
    <n v="107"/>
    <n v="87"/>
    <x v="2"/>
  </r>
  <r>
    <n v="959"/>
    <n v="71"/>
    <x v="1"/>
  </r>
  <r>
    <n v="439"/>
    <n v="88"/>
    <x v="1"/>
  </r>
  <r>
    <n v="757"/>
    <n v="13"/>
    <x v="0"/>
  </r>
  <r>
    <n v="647"/>
    <n v="2"/>
    <x v="4"/>
  </r>
  <r>
    <n v="535"/>
    <n v="200"/>
    <x v="2"/>
  </r>
  <r>
    <n v="340"/>
    <n v="53"/>
    <x v="4"/>
  </r>
  <r>
    <n v="670"/>
    <n v="147"/>
    <x v="2"/>
  </r>
  <r>
    <n v="780"/>
    <n v="128"/>
    <x v="0"/>
  </r>
  <r>
    <n v="615"/>
    <n v="132"/>
    <x v="3"/>
  </r>
  <r>
    <n v="277"/>
    <n v="25"/>
    <x v="0"/>
  </r>
  <r>
    <n v="546"/>
    <n v="88"/>
    <x v="4"/>
  </r>
  <r>
    <n v="514"/>
    <n v="102"/>
    <x v="3"/>
  </r>
  <r>
    <n v="952"/>
    <n v="48"/>
    <x v="4"/>
  </r>
  <r>
    <n v="780"/>
    <n v="16"/>
    <x v="4"/>
  </r>
  <r>
    <n v="976"/>
    <n v="105"/>
    <x v="3"/>
  </r>
  <r>
    <n v="91"/>
    <n v="137"/>
    <x v="0"/>
  </r>
  <r>
    <n v="683"/>
    <n v="108"/>
    <x v="4"/>
  </r>
  <r>
    <n v="53"/>
    <n v="153"/>
    <x v="4"/>
  </r>
  <r>
    <n v="246"/>
    <n v="182"/>
    <x v="2"/>
  </r>
  <r>
    <n v="389"/>
    <n v="137"/>
    <x v="4"/>
  </r>
  <r>
    <n v="399"/>
    <n v="9"/>
    <x v="4"/>
  </r>
  <r>
    <n v="694"/>
    <n v="199"/>
    <x v="3"/>
  </r>
  <r>
    <n v="434"/>
    <n v="11"/>
    <x v="2"/>
  </r>
  <r>
    <n v="696"/>
    <n v="28"/>
    <x v="4"/>
  </r>
  <r>
    <n v="862"/>
    <n v="129"/>
    <x v="1"/>
  </r>
  <r>
    <n v="631"/>
    <n v="56"/>
    <x v="0"/>
  </r>
  <r>
    <n v="144"/>
    <n v="142"/>
    <x v="1"/>
  </r>
  <r>
    <n v="466"/>
    <n v="198"/>
    <x v="0"/>
  </r>
  <r>
    <n v="759"/>
    <n v="56"/>
    <x v="2"/>
  </r>
  <r>
    <n v="811"/>
    <n v="109"/>
    <x v="4"/>
  </r>
  <r>
    <n v="936"/>
    <n v="120"/>
    <x v="0"/>
  </r>
  <r>
    <n v="146"/>
    <n v="95"/>
    <x v="0"/>
  </r>
  <r>
    <n v="631"/>
    <n v="85"/>
    <x v="4"/>
  </r>
  <r>
    <n v="682"/>
    <n v="141"/>
    <x v="3"/>
  </r>
  <r>
    <n v="135"/>
    <n v="9"/>
    <x v="0"/>
  </r>
  <r>
    <n v="255"/>
    <n v="183"/>
    <x v="2"/>
  </r>
  <r>
    <n v="702"/>
    <n v="58"/>
    <x v="3"/>
  </r>
  <r>
    <n v="151"/>
    <n v="109"/>
    <x v="0"/>
  </r>
  <r>
    <n v="421"/>
    <n v="138"/>
    <x v="0"/>
  </r>
  <r>
    <n v="354"/>
    <n v="129"/>
    <x v="3"/>
  </r>
  <r>
    <n v="377"/>
    <n v="135"/>
    <x v="1"/>
  </r>
  <r>
    <n v="796"/>
    <n v="200"/>
    <x v="4"/>
  </r>
  <r>
    <n v="841"/>
    <n v="179"/>
    <x v="4"/>
  </r>
  <r>
    <n v="885"/>
    <n v="110"/>
    <x v="4"/>
  </r>
  <r>
    <n v="999"/>
    <n v="190"/>
    <x v="0"/>
  </r>
  <r>
    <n v="585"/>
    <n v="82"/>
    <x v="3"/>
  </r>
  <r>
    <n v="617"/>
    <n v="89"/>
    <x v="3"/>
  </r>
  <r>
    <n v="196"/>
    <n v="132"/>
    <x v="2"/>
  </r>
  <r>
    <n v="792"/>
    <n v="187"/>
    <x v="1"/>
  </r>
  <r>
    <n v="466"/>
    <n v="176"/>
    <x v="1"/>
  </r>
  <r>
    <n v="684"/>
    <n v="32"/>
    <x v="1"/>
  </r>
  <r>
    <n v="155"/>
    <n v="94"/>
    <x v="0"/>
  </r>
  <r>
    <n v="450"/>
    <n v="147"/>
    <x v="1"/>
  </r>
  <r>
    <n v="744"/>
    <n v="146"/>
    <x v="0"/>
  </r>
  <r>
    <n v="51"/>
    <n v="27"/>
    <x v="4"/>
  </r>
  <r>
    <n v="897"/>
    <n v="19"/>
    <x v="1"/>
  </r>
  <r>
    <n v="499"/>
    <n v="124"/>
    <x v="3"/>
  </r>
  <r>
    <n v="179"/>
    <n v="29"/>
    <x v="0"/>
  </r>
  <r>
    <n v="889"/>
    <n v="145"/>
    <x v="4"/>
  </r>
  <r>
    <n v="191"/>
    <n v="25"/>
    <x v="3"/>
  </r>
  <r>
    <n v="42"/>
    <n v="196"/>
    <x v="2"/>
  </r>
  <r>
    <n v="53"/>
    <n v="77"/>
    <x v="0"/>
  </r>
  <r>
    <n v="535"/>
    <n v="43"/>
    <x v="2"/>
  </r>
  <r>
    <n v="416"/>
    <n v="79"/>
    <x v="4"/>
  </r>
  <r>
    <n v="287"/>
    <n v="39"/>
    <x v="1"/>
  </r>
  <r>
    <n v="651"/>
    <n v="60"/>
    <x v="4"/>
  </r>
  <r>
    <n v="821"/>
    <n v="174"/>
    <x v="3"/>
  </r>
  <r>
    <n v="396"/>
    <n v="22"/>
    <x v="3"/>
  </r>
  <r>
    <n v="726"/>
    <n v="103"/>
    <x v="2"/>
  </r>
  <r>
    <n v="420"/>
    <n v="24"/>
    <x v="3"/>
  </r>
  <r>
    <n v="75"/>
    <n v="177"/>
    <x v="2"/>
  </r>
  <r>
    <n v="683"/>
    <n v="85"/>
    <x v="1"/>
  </r>
  <r>
    <n v="487"/>
    <n v="128"/>
    <x v="2"/>
  </r>
  <r>
    <n v="968"/>
    <n v="197"/>
    <x v="2"/>
  </r>
  <r>
    <n v="632"/>
    <n v="82"/>
    <x v="1"/>
  </r>
  <r>
    <n v="188"/>
    <n v="103"/>
    <x v="4"/>
  </r>
  <r>
    <n v="987"/>
    <n v="166"/>
    <x v="4"/>
  </r>
  <r>
    <n v="925"/>
    <n v="12"/>
    <x v="0"/>
  </r>
  <r>
    <n v="838"/>
    <n v="159"/>
    <x v="3"/>
  </r>
  <r>
    <n v="295"/>
    <n v="55"/>
    <x v="1"/>
  </r>
  <r>
    <n v="844"/>
    <n v="98"/>
    <x v="4"/>
  </r>
  <r>
    <n v="378"/>
    <n v="123"/>
    <x v="1"/>
  </r>
  <r>
    <n v="439"/>
    <n v="10"/>
    <x v="0"/>
  </r>
  <r>
    <n v="84"/>
    <n v="52"/>
    <x v="3"/>
  </r>
  <r>
    <n v="502"/>
    <n v="5"/>
    <x v="4"/>
  </r>
  <r>
    <n v="549"/>
    <n v="158"/>
    <x v="1"/>
  </r>
  <r>
    <n v="699"/>
    <n v="174"/>
    <x v="2"/>
  </r>
  <r>
    <n v="423"/>
    <n v="110"/>
    <x v="3"/>
  </r>
  <r>
    <n v="964"/>
    <n v="165"/>
    <x v="4"/>
  </r>
  <r>
    <n v="742"/>
    <n v="150"/>
    <x v="2"/>
  </r>
  <r>
    <n v="97"/>
    <n v="172"/>
    <x v="2"/>
  </r>
  <r>
    <n v="735"/>
    <n v="74"/>
    <x v="1"/>
  </r>
  <r>
    <n v="709"/>
    <n v="181"/>
    <x v="3"/>
  </r>
  <r>
    <n v="882"/>
    <n v="1"/>
    <x v="1"/>
  </r>
  <r>
    <n v="131"/>
    <n v="85"/>
    <x v="2"/>
  </r>
  <r>
    <n v="305"/>
    <n v="112"/>
    <x v="3"/>
  </r>
  <r>
    <n v="456"/>
    <n v="52"/>
    <x v="1"/>
  </r>
  <r>
    <n v="385"/>
    <n v="82"/>
    <x v="0"/>
  </r>
  <r>
    <n v="213"/>
    <n v="98"/>
    <x v="1"/>
  </r>
  <r>
    <n v="830"/>
    <n v="178"/>
    <x v="4"/>
  </r>
  <r>
    <n v="601"/>
    <n v="75"/>
    <x v="3"/>
  </r>
  <r>
    <n v="843"/>
    <n v="153"/>
    <x v="1"/>
  </r>
  <r>
    <n v="386"/>
    <n v="192"/>
    <x v="4"/>
  </r>
  <r>
    <n v="291"/>
    <n v="37"/>
    <x v="1"/>
  </r>
  <r>
    <n v="198"/>
    <n v="195"/>
    <x v="0"/>
  </r>
  <r>
    <n v="919"/>
    <n v="175"/>
    <x v="0"/>
  </r>
  <r>
    <n v="483"/>
    <n v="5"/>
    <x v="0"/>
  </r>
  <r>
    <n v="645"/>
    <n v="5"/>
    <x v="1"/>
  </r>
  <r>
    <n v="653"/>
    <n v="53"/>
    <x v="0"/>
  </r>
  <r>
    <n v="727"/>
    <n v="5"/>
    <x v="3"/>
  </r>
  <r>
    <n v="257"/>
    <n v="46"/>
    <x v="1"/>
  </r>
  <r>
    <n v="208"/>
    <n v="39"/>
    <x v="0"/>
  </r>
  <r>
    <n v="471"/>
    <n v="91"/>
    <x v="1"/>
  </r>
  <r>
    <n v="512"/>
    <n v="153"/>
    <x v="2"/>
  </r>
  <r>
    <n v="355"/>
    <n v="181"/>
    <x v="3"/>
  </r>
  <r>
    <n v="634"/>
    <n v="168"/>
    <x v="3"/>
  </r>
  <r>
    <n v="942"/>
    <n v="127"/>
    <x v="3"/>
  </r>
  <r>
    <n v="350"/>
    <n v="134"/>
    <x v="1"/>
  </r>
  <r>
    <n v="326"/>
    <n v="59"/>
    <x v="0"/>
  </r>
  <r>
    <n v="61"/>
    <n v="148"/>
    <x v="3"/>
  </r>
  <r>
    <n v="328"/>
    <n v="170"/>
    <x v="1"/>
  </r>
  <r>
    <n v="591"/>
    <n v="166"/>
    <x v="4"/>
  </r>
  <r>
    <n v="527"/>
    <n v="153"/>
    <x v="1"/>
  </r>
  <r>
    <n v="115"/>
    <n v="122"/>
    <x v="1"/>
  </r>
  <r>
    <n v="732"/>
    <n v="144"/>
    <x v="4"/>
  </r>
  <r>
    <n v="509"/>
    <n v="12"/>
    <x v="1"/>
  </r>
  <r>
    <n v="655"/>
    <n v="16"/>
    <x v="0"/>
  </r>
  <r>
    <n v="399"/>
    <n v="45"/>
    <x v="1"/>
  </r>
  <r>
    <n v="597"/>
    <n v="118"/>
    <x v="0"/>
  </r>
  <r>
    <n v="358"/>
    <n v="173"/>
    <x v="2"/>
  </r>
  <r>
    <n v="453"/>
    <n v="172"/>
    <x v="4"/>
  </r>
  <r>
    <n v="378"/>
    <n v="117"/>
    <x v="3"/>
  </r>
  <r>
    <n v="750"/>
    <n v="146"/>
    <x v="0"/>
  </r>
  <r>
    <n v="30"/>
    <n v="20"/>
    <x v="2"/>
  </r>
  <r>
    <n v="127"/>
    <n v="138"/>
    <x v="0"/>
  </r>
  <r>
    <n v="216"/>
    <n v="162"/>
    <x v="4"/>
  </r>
  <r>
    <n v="12"/>
    <n v="133"/>
    <x v="0"/>
  </r>
  <r>
    <n v="421"/>
    <n v="3"/>
    <x v="4"/>
  </r>
  <r>
    <n v="988"/>
    <n v="82"/>
    <x v="2"/>
  </r>
  <r>
    <n v="376"/>
    <n v="44"/>
    <x v="1"/>
  </r>
  <r>
    <n v="542"/>
    <n v="80"/>
    <x v="0"/>
  </r>
  <r>
    <n v="232"/>
    <n v="196"/>
    <x v="2"/>
  </r>
  <r>
    <n v="505"/>
    <n v="118"/>
    <x v="1"/>
  </r>
  <r>
    <n v="394"/>
    <n v="35"/>
    <x v="1"/>
  </r>
  <r>
    <n v="769"/>
    <n v="132"/>
    <x v="2"/>
  </r>
  <r>
    <n v="89"/>
    <n v="90"/>
    <x v="0"/>
  </r>
  <r>
    <n v="240"/>
    <n v="83"/>
    <x v="2"/>
  </r>
  <r>
    <n v="181"/>
    <n v="15"/>
    <x v="2"/>
  </r>
  <r>
    <n v="284"/>
    <n v="81"/>
    <x v="2"/>
  </r>
  <r>
    <n v="698"/>
    <n v="77"/>
    <x v="3"/>
  </r>
  <r>
    <n v="734"/>
    <n v="21"/>
    <x v="4"/>
  </r>
  <r>
    <n v="951"/>
    <n v="86"/>
    <x v="3"/>
  </r>
  <r>
    <n v="271"/>
    <n v="5"/>
    <x v="2"/>
  </r>
  <r>
    <n v="851"/>
    <n v="48"/>
    <x v="0"/>
  </r>
  <r>
    <n v="302"/>
    <n v="6"/>
    <x v="2"/>
  </r>
  <r>
    <n v="829"/>
    <n v="117"/>
    <x v="0"/>
  </r>
  <r>
    <n v="860"/>
    <n v="148"/>
    <x v="2"/>
  </r>
  <r>
    <n v="964"/>
    <n v="187"/>
    <x v="0"/>
  </r>
  <r>
    <n v="40"/>
    <n v="52"/>
    <x v="1"/>
  </r>
  <r>
    <n v="568"/>
    <n v="62"/>
    <x v="1"/>
  </r>
  <r>
    <n v="666"/>
    <n v="100"/>
    <x v="3"/>
  </r>
  <r>
    <n v="318"/>
    <n v="37"/>
    <x v="3"/>
  </r>
  <r>
    <n v="609"/>
    <n v="181"/>
    <x v="2"/>
  </r>
  <r>
    <n v="163"/>
    <n v="69"/>
    <x v="0"/>
  </r>
  <r>
    <n v="648"/>
    <n v="46"/>
    <x v="4"/>
  </r>
  <r>
    <n v="975"/>
    <n v="10"/>
    <x v="1"/>
  </r>
  <r>
    <n v="15"/>
    <n v="36"/>
    <x v="2"/>
  </r>
  <r>
    <n v="268"/>
    <n v="11"/>
    <x v="1"/>
  </r>
  <r>
    <n v="791"/>
    <n v="3"/>
    <x v="1"/>
  </r>
  <r>
    <n v="257"/>
    <n v="173"/>
    <x v="1"/>
  </r>
  <r>
    <n v="767"/>
    <n v="66"/>
    <x v="2"/>
  </r>
  <r>
    <n v="362"/>
    <n v="38"/>
    <x v="4"/>
  </r>
  <r>
    <n v="779"/>
    <n v="113"/>
    <x v="4"/>
  </r>
  <r>
    <n v="159"/>
    <n v="136"/>
    <x v="2"/>
  </r>
  <r>
    <n v="104"/>
    <n v="72"/>
    <x v="2"/>
  </r>
  <r>
    <n v="570"/>
    <n v="29"/>
    <x v="0"/>
  </r>
  <r>
    <n v="112"/>
    <n v="149"/>
    <x v="3"/>
  </r>
  <r>
    <n v="568"/>
    <n v="151"/>
    <x v="3"/>
  </r>
  <r>
    <n v="943"/>
    <n v="42"/>
    <x v="0"/>
  </r>
  <r>
    <n v="887"/>
    <n v="128"/>
    <x v="0"/>
  </r>
  <r>
    <n v="998"/>
    <n v="187"/>
    <x v="4"/>
  </r>
  <r>
    <n v="484"/>
    <n v="112"/>
    <x v="4"/>
  </r>
  <r>
    <n v="458"/>
    <n v="145"/>
    <x v="1"/>
  </r>
  <r>
    <n v="925"/>
    <n v="124"/>
    <x v="2"/>
  </r>
  <r>
    <n v="559"/>
    <n v="136"/>
    <x v="4"/>
  </r>
  <r>
    <n v="895"/>
    <n v="3"/>
    <x v="0"/>
  </r>
  <r>
    <n v="570"/>
    <n v="18"/>
    <x v="1"/>
  </r>
  <r>
    <n v="187"/>
    <n v="48"/>
    <x v="3"/>
  </r>
  <r>
    <n v="900"/>
    <n v="135"/>
    <x v="4"/>
  </r>
  <r>
    <n v="194"/>
    <n v="187"/>
    <x v="1"/>
  </r>
  <r>
    <n v="155"/>
    <n v="115"/>
    <x v="3"/>
  </r>
  <r>
    <n v="184"/>
    <n v="172"/>
    <x v="0"/>
  </r>
  <r>
    <n v="539"/>
    <n v="152"/>
    <x v="0"/>
  </r>
  <r>
    <n v="182"/>
    <n v="14"/>
    <x v="2"/>
  </r>
  <r>
    <n v="981"/>
    <n v="60"/>
    <x v="1"/>
  </r>
  <r>
    <n v="489"/>
    <n v="7"/>
    <x v="2"/>
  </r>
  <r>
    <n v="603"/>
    <n v="72"/>
    <x v="4"/>
  </r>
  <r>
    <n v="445"/>
    <n v="153"/>
    <x v="3"/>
  </r>
  <r>
    <n v="233"/>
    <n v="10"/>
    <x v="3"/>
  </r>
  <r>
    <n v="464"/>
    <n v="171"/>
    <x v="2"/>
  </r>
  <r>
    <n v="273"/>
    <n v="96"/>
    <x v="2"/>
  </r>
  <r>
    <n v="162"/>
    <n v="147"/>
    <x v="1"/>
  </r>
  <r>
    <n v="218"/>
    <n v="5"/>
    <x v="4"/>
  </r>
  <r>
    <n v="39"/>
    <n v="18"/>
    <x v="2"/>
  </r>
  <r>
    <n v="107"/>
    <n v="140"/>
    <x v="1"/>
  </r>
  <r>
    <n v="513"/>
    <n v="52"/>
    <x v="1"/>
  </r>
  <r>
    <n v="905"/>
    <n v="128"/>
    <x v="2"/>
  </r>
  <r>
    <n v="551"/>
    <n v="96"/>
    <x v="4"/>
  </r>
  <r>
    <n v="190"/>
    <n v="193"/>
    <x v="2"/>
  </r>
  <r>
    <n v="69"/>
    <n v="35"/>
    <x v="1"/>
  </r>
  <r>
    <n v="274"/>
    <n v="83"/>
    <x v="0"/>
  </r>
  <r>
    <n v="605"/>
    <n v="93"/>
    <x v="0"/>
  </r>
  <r>
    <n v="225"/>
    <n v="94"/>
    <x v="0"/>
  </r>
  <r>
    <n v="386"/>
    <n v="195"/>
    <x v="0"/>
  </r>
  <r>
    <n v="442"/>
    <n v="110"/>
    <x v="4"/>
  </r>
  <r>
    <n v="382"/>
    <n v="25"/>
    <x v="4"/>
  </r>
  <r>
    <n v="156"/>
    <n v="166"/>
    <x v="2"/>
  </r>
  <r>
    <n v="687"/>
    <n v="160"/>
    <x v="2"/>
  </r>
  <r>
    <n v="778"/>
    <n v="122"/>
    <x v="1"/>
  </r>
  <r>
    <n v="616"/>
    <n v="45"/>
    <x v="0"/>
  </r>
  <r>
    <n v="314"/>
    <n v="50"/>
    <x v="1"/>
  </r>
  <r>
    <n v="666"/>
    <n v="65"/>
    <x v="2"/>
  </r>
  <r>
    <n v="767"/>
    <n v="83"/>
    <x v="0"/>
  </r>
  <r>
    <n v="811"/>
    <n v="3"/>
    <x v="0"/>
  </r>
  <r>
    <n v="413"/>
    <n v="154"/>
    <x v="4"/>
  </r>
  <r>
    <n v="324"/>
    <n v="175"/>
    <x v="3"/>
  </r>
  <r>
    <n v="52"/>
    <n v="108"/>
    <x v="2"/>
  </r>
  <r>
    <n v="680"/>
    <n v="50"/>
    <x v="1"/>
  </r>
  <r>
    <n v="780"/>
    <n v="76"/>
    <x v="1"/>
  </r>
  <r>
    <n v="569"/>
    <n v="176"/>
    <x v="0"/>
  </r>
  <r>
    <n v="256"/>
    <n v="183"/>
    <x v="3"/>
  </r>
  <r>
    <n v="799"/>
    <n v="137"/>
    <x v="4"/>
  </r>
  <r>
    <n v="237"/>
    <n v="55"/>
    <x v="0"/>
  </r>
  <r>
    <n v="138"/>
    <n v="3"/>
    <x v="1"/>
  </r>
  <r>
    <n v="636"/>
    <n v="176"/>
    <x v="1"/>
  </r>
  <r>
    <n v="461"/>
    <n v="178"/>
    <x v="0"/>
  </r>
  <r>
    <n v="20"/>
    <n v="128"/>
    <x v="3"/>
  </r>
  <r>
    <n v="276"/>
    <n v="138"/>
    <x v="2"/>
  </r>
  <r>
    <n v="603"/>
    <n v="141"/>
    <x v="0"/>
  </r>
  <r>
    <n v="799"/>
    <n v="14"/>
    <x v="4"/>
  </r>
  <r>
    <n v="785"/>
    <n v="147"/>
    <x v="3"/>
  </r>
  <r>
    <n v="28"/>
    <n v="189"/>
    <x v="4"/>
  </r>
  <r>
    <n v="637"/>
    <n v="14"/>
    <x v="3"/>
  </r>
  <r>
    <n v="79"/>
    <n v="130"/>
    <x v="4"/>
  </r>
  <r>
    <n v="175"/>
    <n v="125"/>
    <x v="4"/>
  </r>
  <r>
    <n v="684"/>
    <n v="127"/>
    <x v="1"/>
  </r>
  <r>
    <n v="247"/>
    <n v="197"/>
    <x v="0"/>
  </r>
  <r>
    <n v="741"/>
    <n v="68"/>
    <x v="0"/>
  </r>
  <r>
    <n v="623"/>
    <n v="53"/>
    <x v="4"/>
  </r>
  <r>
    <n v="327"/>
    <n v="76"/>
    <x v="1"/>
  </r>
  <r>
    <n v="760"/>
    <n v="72"/>
    <x v="3"/>
  </r>
  <r>
    <n v="522"/>
    <n v="10"/>
    <x v="1"/>
  </r>
  <r>
    <n v="76"/>
    <n v="157"/>
    <x v="4"/>
  </r>
  <r>
    <n v="61"/>
    <n v="61"/>
    <x v="3"/>
  </r>
  <r>
    <n v="800"/>
    <n v="101"/>
    <x v="4"/>
  </r>
  <r>
    <n v="226"/>
    <n v="104"/>
    <x v="3"/>
  </r>
  <r>
    <n v="792"/>
    <n v="141"/>
    <x v="4"/>
  </r>
  <r>
    <n v="498"/>
    <n v="67"/>
    <x v="0"/>
  </r>
  <r>
    <n v="950"/>
    <n v="163"/>
    <x v="0"/>
  </r>
  <r>
    <n v="906"/>
    <n v="141"/>
    <x v="0"/>
  </r>
  <r>
    <n v="245"/>
    <n v="116"/>
    <x v="2"/>
  </r>
  <r>
    <n v="33"/>
    <n v="7"/>
    <x v="3"/>
  </r>
  <r>
    <n v="70"/>
    <n v="41"/>
    <x v="4"/>
  </r>
  <r>
    <n v="779"/>
    <n v="86"/>
    <x v="4"/>
  </r>
  <r>
    <n v="536"/>
    <n v="150"/>
    <x v="3"/>
  </r>
  <r>
    <n v="902"/>
    <n v="20"/>
    <x v="0"/>
  </r>
  <r>
    <n v="493"/>
    <n v="168"/>
    <x v="2"/>
  </r>
  <r>
    <n v="589"/>
    <n v="103"/>
    <x v="0"/>
  </r>
  <r>
    <n v="206"/>
    <n v="132"/>
    <x v="0"/>
  </r>
  <r>
    <n v="752"/>
    <n v="21"/>
    <x v="0"/>
  </r>
  <r>
    <n v="514"/>
    <n v="68"/>
    <x v="1"/>
  </r>
  <r>
    <n v="858"/>
    <n v="58"/>
    <x v="3"/>
  </r>
  <r>
    <n v="970"/>
    <n v="59"/>
    <x v="4"/>
  </r>
  <r>
    <n v="510"/>
    <n v="87"/>
    <x v="3"/>
  </r>
  <r>
    <n v="770"/>
    <n v="132"/>
    <x v="0"/>
  </r>
  <r>
    <n v="903"/>
    <n v="19"/>
    <x v="3"/>
  </r>
  <r>
    <n v="347"/>
    <n v="55"/>
    <x v="0"/>
  </r>
  <r>
    <n v="600"/>
    <n v="109"/>
    <x v="1"/>
  </r>
  <r>
    <n v="583"/>
    <n v="127"/>
    <x v="0"/>
  </r>
  <r>
    <n v="446"/>
    <n v="114"/>
    <x v="1"/>
  </r>
  <r>
    <n v="797"/>
    <n v="81"/>
    <x v="3"/>
  </r>
  <r>
    <n v="665"/>
    <n v="96"/>
    <x v="2"/>
  </r>
  <r>
    <n v="188"/>
    <n v="140"/>
    <x v="1"/>
  </r>
  <r>
    <n v="489"/>
    <n v="6"/>
    <x v="4"/>
  </r>
  <r>
    <n v="377"/>
    <n v="14"/>
    <x v="4"/>
  </r>
  <r>
    <n v="424"/>
    <n v="125"/>
    <x v="0"/>
  </r>
  <r>
    <n v="491"/>
    <n v="197"/>
    <x v="0"/>
  </r>
  <r>
    <n v="521"/>
    <n v="128"/>
    <x v="3"/>
  </r>
  <r>
    <n v="506"/>
    <n v="193"/>
    <x v="1"/>
  </r>
  <r>
    <n v="390"/>
    <n v="43"/>
    <x v="3"/>
  </r>
  <r>
    <n v="276"/>
    <n v="182"/>
    <x v="0"/>
  </r>
  <r>
    <n v="896"/>
    <n v="9"/>
    <x v="2"/>
  </r>
  <r>
    <n v="29"/>
    <n v="82"/>
    <x v="2"/>
  </r>
  <r>
    <n v="523"/>
    <n v="30"/>
    <x v="2"/>
  </r>
  <r>
    <n v="918"/>
    <n v="82"/>
    <x v="4"/>
  </r>
  <r>
    <n v="40"/>
    <n v="166"/>
    <x v="1"/>
  </r>
  <r>
    <n v="614"/>
    <n v="69"/>
    <x v="1"/>
  </r>
  <r>
    <n v="833"/>
    <n v="89"/>
    <x v="2"/>
  </r>
  <r>
    <n v="238"/>
    <n v="39"/>
    <x v="3"/>
  </r>
  <r>
    <n v="861"/>
    <n v="59"/>
    <x v="3"/>
  </r>
  <r>
    <n v="999"/>
    <n v="127"/>
    <x v="2"/>
  </r>
  <r>
    <n v="118"/>
    <n v="6"/>
    <x v="4"/>
  </r>
  <r>
    <n v="404"/>
    <n v="177"/>
    <x v="2"/>
  </r>
  <r>
    <n v="938"/>
    <n v="75"/>
    <x v="1"/>
  </r>
  <r>
    <n v="112"/>
    <n v="181"/>
    <x v="2"/>
  </r>
  <r>
    <n v="430"/>
    <n v="188"/>
    <x v="4"/>
  </r>
  <r>
    <n v="626"/>
    <n v="69"/>
    <x v="0"/>
  </r>
  <r>
    <n v="819"/>
    <n v="143"/>
    <x v="3"/>
  </r>
  <r>
    <n v="718"/>
    <n v="3"/>
    <x v="2"/>
  </r>
  <r>
    <n v="109"/>
    <n v="174"/>
    <x v="4"/>
  </r>
  <r>
    <n v="544"/>
    <n v="25"/>
    <x v="1"/>
  </r>
  <r>
    <n v="25"/>
    <n v="171"/>
    <x v="1"/>
  </r>
  <r>
    <n v="513"/>
    <n v="70"/>
    <x v="2"/>
  </r>
  <r>
    <n v="1000"/>
    <n v="48"/>
    <x v="4"/>
  </r>
  <r>
    <n v="749"/>
    <n v="66"/>
    <x v="0"/>
  </r>
  <r>
    <n v="600"/>
    <n v="199"/>
    <x v="2"/>
  </r>
  <r>
    <n v="897"/>
    <n v="59"/>
    <x v="2"/>
  </r>
  <r>
    <n v="412"/>
    <n v="117"/>
    <x v="1"/>
  </r>
  <r>
    <n v="669"/>
    <n v="155"/>
    <x v="0"/>
  </r>
  <r>
    <n v="323"/>
    <n v="130"/>
    <x v="0"/>
  </r>
  <r>
    <n v="646"/>
    <n v="38"/>
    <x v="3"/>
  </r>
  <r>
    <n v="507"/>
    <n v="130"/>
    <x v="2"/>
  </r>
  <r>
    <n v="881"/>
    <n v="15"/>
    <x v="2"/>
  </r>
  <r>
    <n v="594"/>
    <n v="127"/>
    <x v="3"/>
  </r>
  <r>
    <n v="667"/>
    <n v="75"/>
    <x v="4"/>
  </r>
  <r>
    <n v="709"/>
    <n v="151"/>
    <x v="3"/>
  </r>
  <r>
    <n v="537"/>
    <n v="101"/>
    <x v="4"/>
  </r>
  <r>
    <n v="490"/>
    <n v="22"/>
    <x v="4"/>
  </r>
  <r>
    <n v="20"/>
    <n v="18"/>
    <x v="0"/>
  </r>
  <r>
    <n v="824"/>
    <n v="31"/>
    <x v="2"/>
  </r>
  <r>
    <n v="319"/>
    <n v="187"/>
    <x v="0"/>
  </r>
  <r>
    <n v="754"/>
    <n v="23"/>
    <x v="1"/>
  </r>
  <r>
    <n v="718"/>
    <n v="25"/>
    <x v="1"/>
  </r>
  <r>
    <m/>
    <m/>
    <x v="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n v="49"/>
  </r>
  <r>
    <x v="1"/>
    <n v="161"/>
  </r>
  <r>
    <x v="2"/>
    <n v="87"/>
  </r>
  <r>
    <x v="3"/>
    <n v="321"/>
  </r>
  <r>
    <x v="4"/>
    <n v="386"/>
  </r>
  <r>
    <x v="5"/>
    <n v="408"/>
  </r>
  <r>
    <x v="6"/>
    <n v="475"/>
  </r>
  <r>
    <x v="7"/>
    <n v="258"/>
  </r>
  <r>
    <x v="8"/>
    <n v="183"/>
  </r>
  <r>
    <x v="9"/>
    <n v="164"/>
  </r>
  <r>
    <x v="3"/>
    <n v="411"/>
  </r>
  <r>
    <x v="10"/>
    <n v="160"/>
  </r>
  <r>
    <x v="11"/>
    <n v="348"/>
  </r>
  <r>
    <x v="12"/>
    <n v="451"/>
  </r>
  <r>
    <x v="13"/>
    <n v="69"/>
  </r>
  <r>
    <x v="14"/>
    <n v="166"/>
  </r>
  <r>
    <x v="15"/>
    <n v="449"/>
  </r>
  <r>
    <x v="16"/>
    <n v="441"/>
  </r>
  <r>
    <x v="17"/>
    <n v="224"/>
  </r>
  <r>
    <x v="18"/>
    <n v="44"/>
  </r>
  <r>
    <x v="19"/>
    <n v="202"/>
  </r>
  <r>
    <x v="20"/>
    <n v="39"/>
  </r>
  <r>
    <x v="21"/>
    <n v="319"/>
  </r>
  <r>
    <x v="22"/>
    <n v="150"/>
  </r>
  <r>
    <x v="23"/>
    <n v="496"/>
  </r>
  <r>
    <x v="24"/>
    <n v="347"/>
  </r>
  <r>
    <x v="1"/>
    <n v="201"/>
  </r>
  <r>
    <x v="25"/>
    <n v="415"/>
  </r>
  <r>
    <x v="26"/>
    <n v="32"/>
  </r>
  <r>
    <x v="27"/>
    <n v="338"/>
  </r>
  <r>
    <x v="28"/>
    <n v="52"/>
  </r>
  <r>
    <x v="0"/>
    <n v="447"/>
  </r>
  <r>
    <x v="26"/>
    <n v="312"/>
  </r>
  <r>
    <x v="18"/>
    <n v="406"/>
  </r>
  <r>
    <x v="29"/>
    <n v="350"/>
  </r>
  <r>
    <x v="30"/>
    <n v="99"/>
  </r>
  <r>
    <x v="31"/>
    <n v="53"/>
  </r>
  <r>
    <x v="32"/>
    <n v="484"/>
  </r>
  <r>
    <x v="8"/>
    <n v="211"/>
  </r>
  <r>
    <x v="33"/>
    <n v="248"/>
  </r>
  <r>
    <x v="34"/>
    <n v="197"/>
  </r>
  <r>
    <x v="35"/>
    <n v="253"/>
  </r>
  <r>
    <x v="36"/>
    <n v="352"/>
  </r>
  <r>
    <x v="15"/>
    <n v="97"/>
  </r>
  <r>
    <x v="37"/>
    <n v="283"/>
  </r>
  <r>
    <x v="38"/>
    <n v="307"/>
  </r>
  <r>
    <x v="39"/>
    <n v="203"/>
  </r>
  <r>
    <x v="33"/>
    <n v="22"/>
  </r>
  <r>
    <x v="40"/>
    <n v="382"/>
  </r>
  <r>
    <x v="12"/>
    <n v="302"/>
  </r>
  <r>
    <x v="16"/>
    <n v="76"/>
  </r>
  <r>
    <x v="15"/>
    <n v="125"/>
  </r>
  <r>
    <x v="41"/>
    <n v="113"/>
  </r>
  <r>
    <x v="42"/>
    <n v="183"/>
  </r>
  <r>
    <x v="43"/>
    <n v="272"/>
  </r>
  <r>
    <x v="44"/>
    <n v="19"/>
  </r>
  <r>
    <x v="27"/>
    <n v="204"/>
  </r>
  <r>
    <x v="42"/>
    <n v="345"/>
  </r>
  <r>
    <x v="45"/>
    <n v="294"/>
  </r>
  <r>
    <x v="46"/>
    <n v="318"/>
  </r>
  <r>
    <x v="47"/>
    <n v="396"/>
  </r>
  <r>
    <x v="48"/>
    <n v="455"/>
  </r>
  <r>
    <x v="49"/>
    <n v="175"/>
  </r>
  <r>
    <x v="4"/>
    <n v="36"/>
  </r>
  <r>
    <x v="7"/>
    <n v="349"/>
  </r>
  <r>
    <x v="50"/>
    <n v="262"/>
  </r>
  <r>
    <x v="17"/>
    <n v="378"/>
  </r>
  <r>
    <x v="51"/>
    <n v="469"/>
  </r>
  <r>
    <x v="10"/>
    <n v="87"/>
  </r>
  <r>
    <x v="52"/>
    <n v="471"/>
  </r>
  <r>
    <x v="36"/>
    <n v="469"/>
  </r>
  <r>
    <x v="53"/>
    <n v="298"/>
  </r>
  <r>
    <x v="54"/>
    <n v="331"/>
  </r>
  <r>
    <x v="43"/>
    <n v="238"/>
  </r>
  <r>
    <x v="55"/>
    <n v="231"/>
  </r>
  <r>
    <x v="56"/>
    <n v="457"/>
  </r>
  <r>
    <x v="57"/>
    <n v="373"/>
  </r>
  <r>
    <x v="17"/>
    <n v="11"/>
  </r>
  <r>
    <x v="58"/>
    <n v="425"/>
  </r>
  <r>
    <x v="59"/>
    <n v="231"/>
  </r>
  <r>
    <x v="5"/>
    <n v="483"/>
  </r>
  <r>
    <x v="60"/>
    <n v="55"/>
  </r>
  <r>
    <x v="59"/>
    <n v="375"/>
  </r>
  <r>
    <x v="61"/>
    <n v="336"/>
  </r>
  <r>
    <x v="20"/>
    <n v="196"/>
  </r>
  <r>
    <x v="17"/>
    <n v="285"/>
  </r>
  <r>
    <x v="29"/>
    <n v="155"/>
  </r>
  <r>
    <x v="30"/>
    <n v="275"/>
  </r>
  <r>
    <x v="25"/>
    <n v="341"/>
  </r>
  <r>
    <x v="15"/>
    <n v="321"/>
  </r>
  <r>
    <x v="62"/>
    <n v="456"/>
  </r>
  <r>
    <x v="63"/>
    <n v="15"/>
  </r>
  <r>
    <x v="1"/>
    <n v="410"/>
  </r>
  <r>
    <x v="64"/>
    <n v="29"/>
  </r>
  <r>
    <x v="29"/>
    <n v="427"/>
  </r>
  <r>
    <x v="17"/>
    <n v="166"/>
  </r>
  <r>
    <x v="49"/>
    <n v="192"/>
  </r>
  <r>
    <x v="9"/>
    <n v="88"/>
  </r>
  <r>
    <x v="33"/>
    <n v="127"/>
  </r>
  <r>
    <x v="23"/>
    <n v="327"/>
  </r>
  <r>
    <x v="14"/>
    <n v="10"/>
  </r>
  <r>
    <x v="65"/>
    <n v="181"/>
  </r>
  <r>
    <x v="66"/>
    <n v="238"/>
  </r>
  <r>
    <x v="49"/>
    <n v="380"/>
  </r>
  <r>
    <x v="67"/>
    <n v="444"/>
  </r>
  <r>
    <x v="68"/>
    <n v="83"/>
  </r>
  <r>
    <x v="40"/>
    <n v="452"/>
  </r>
  <r>
    <x v="39"/>
    <n v="53"/>
  </r>
  <r>
    <x v="62"/>
    <n v="89"/>
  </r>
  <r>
    <x v="69"/>
    <n v="359"/>
  </r>
  <r>
    <x v="18"/>
    <n v="487"/>
  </r>
  <r>
    <x v="51"/>
    <n v="337"/>
  </r>
  <r>
    <x v="37"/>
    <n v="427"/>
  </r>
  <r>
    <x v="70"/>
    <n v="397"/>
  </r>
  <r>
    <x v="71"/>
    <n v="200"/>
  </r>
  <r>
    <x v="72"/>
    <n v="464"/>
  </r>
  <r>
    <x v="43"/>
    <n v="495"/>
  </r>
  <r>
    <x v="36"/>
    <n v="286"/>
  </r>
  <r>
    <x v="57"/>
    <n v="446"/>
  </r>
  <r>
    <x v="73"/>
    <n v="342"/>
  </r>
  <r>
    <x v="29"/>
    <n v="396"/>
  </r>
  <r>
    <x v="50"/>
    <n v="491"/>
  </r>
  <r>
    <x v="33"/>
    <n v="239"/>
  </r>
  <r>
    <x v="26"/>
    <n v="106"/>
  </r>
  <r>
    <x v="31"/>
    <n v="388"/>
  </r>
  <r>
    <x v="72"/>
    <n v="452"/>
  </r>
  <r>
    <x v="55"/>
    <n v="368"/>
  </r>
  <r>
    <x v="74"/>
    <n v="325"/>
  </r>
  <r>
    <x v="9"/>
    <n v="42"/>
  </r>
  <r>
    <x v="75"/>
    <n v="344"/>
  </r>
  <r>
    <x v="29"/>
    <n v="77"/>
  </r>
  <r>
    <x v="7"/>
    <n v="237"/>
  </r>
  <r>
    <x v="76"/>
    <n v="480"/>
  </r>
  <r>
    <x v="49"/>
    <n v="152"/>
  </r>
  <r>
    <x v="21"/>
    <n v="308"/>
  </r>
  <r>
    <x v="77"/>
    <n v="14"/>
  </r>
  <r>
    <x v="11"/>
    <n v="233"/>
  </r>
  <r>
    <x v="72"/>
    <n v="169"/>
  </r>
  <r>
    <x v="78"/>
    <n v="358"/>
  </r>
  <r>
    <x v="76"/>
    <n v="404"/>
  </r>
  <r>
    <x v="38"/>
    <n v="131"/>
  </r>
  <r>
    <x v="76"/>
    <n v="32"/>
  </r>
  <r>
    <x v="29"/>
    <n v="478"/>
  </r>
  <r>
    <x v="63"/>
    <n v="88"/>
  </r>
  <r>
    <x v="79"/>
    <n v="395"/>
  </r>
  <r>
    <x v="80"/>
    <n v="385"/>
  </r>
  <r>
    <x v="32"/>
    <n v="280"/>
  </r>
  <r>
    <x v="28"/>
    <n v="164"/>
  </r>
  <r>
    <x v="81"/>
    <n v="433"/>
  </r>
  <r>
    <x v="4"/>
    <n v="460"/>
  </r>
  <r>
    <x v="32"/>
    <n v="374"/>
  </r>
  <r>
    <x v="18"/>
    <n v="147"/>
  </r>
  <r>
    <x v="49"/>
    <n v="129"/>
  </r>
  <r>
    <x v="82"/>
    <n v="217"/>
  </r>
  <r>
    <x v="16"/>
    <n v="426"/>
  </r>
  <r>
    <x v="68"/>
    <n v="81"/>
  </r>
  <r>
    <x v="6"/>
    <n v="296"/>
  </r>
  <r>
    <x v="79"/>
    <n v="466"/>
  </r>
  <r>
    <x v="16"/>
    <n v="424"/>
  </r>
  <r>
    <x v="83"/>
    <n v="233"/>
  </r>
  <r>
    <x v="16"/>
    <n v="413"/>
  </r>
  <r>
    <x v="12"/>
    <n v="278"/>
  </r>
  <r>
    <x v="84"/>
    <n v="351"/>
  </r>
  <r>
    <x v="85"/>
    <n v="354"/>
  </r>
  <r>
    <x v="59"/>
    <n v="192"/>
  </r>
  <r>
    <x v="29"/>
    <n v="176"/>
  </r>
  <r>
    <x v="13"/>
    <n v="482"/>
  </r>
  <r>
    <x v="82"/>
    <n v="87"/>
  </r>
  <r>
    <x v="86"/>
    <n v="163"/>
  </r>
  <r>
    <x v="87"/>
    <n v="419"/>
  </r>
  <r>
    <x v="43"/>
    <n v="203"/>
  </r>
  <r>
    <x v="19"/>
    <n v="405"/>
  </r>
  <r>
    <x v="69"/>
    <n v="496"/>
  </r>
  <r>
    <x v="20"/>
    <n v="328"/>
  </r>
  <r>
    <x v="88"/>
    <n v="85"/>
  </r>
  <r>
    <x v="52"/>
    <n v="386"/>
  </r>
  <r>
    <x v="61"/>
    <n v="245"/>
  </r>
  <r>
    <x v="54"/>
    <n v="97"/>
  </r>
  <r>
    <x v="66"/>
    <n v="216"/>
  </r>
  <r>
    <x v="68"/>
    <n v="331"/>
  </r>
  <r>
    <x v="43"/>
    <n v="451"/>
  </r>
  <r>
    <x v="2"/>
    <n v="326"/>
  </r>
  <r>
    <x v="31"/>
    <n v="358"/>
  </r>
  <r>
    <x v="34"/>
    <n v="91"/>
  </r>
  <r>
    <x v="52"/>
    <n v="478"/>
  </r>
  <r>
    <x v="64"/>
    <n v="16"/>
  </r>
  <r>
    <x v="57"/>
    <n v="44"/>
  </r>
  <r>
    <x v="56"/>
    <n v="100"/>
  </r>
  <r>
    <x v="51"/>
    <n v="44"/>
  </r>
  <r>
    <x v="7"/>
    <n v="37"/>
  </r>
  <r>
    <x v="29"/>
    <n v="48"/>
  </r>
  <r>
    <x v="58"/>
    <n v="371"/>
  </r>
  <r>
    <x v="19"/>
    <n v="176"/>
  </r>
  <r>
    <x v="57"/>
    <n v="312"/>
  </r>
  <r>
    <x v="88"/>
    <n v="375"/>
  </r>
  <r>
    <x v="41"/>
    <n v="134"/>
  </r>
  <r>
    <x v="26"/>
    <n v="91"/>
  </r>
  <r>
    <x v="72"/>
    <n v="359"/>
  </r>
  <r>
    <x v="52"/>
    <n v="172"/>
  </r>
  <r>
    <x v="30"/>
    <n v="490"/>
  </r>
  <r>
    <x v="9"/>
    <n v="16"/>
  </r>
  <r>
    <x v="46"/>
    <n v="291"/>
  </r>
  <r>
    <x v="13"/>
    <n v="119"/>
  </r>
  <r>
    <x v="89"/>
    <n v="35"/>
  </r>
  <r>
    <x v="89"/>
    <n v="88"/>
  </r>
  <r>
    <x v="43"/>
    <n v="312"/>
  </r>
  <r>
    <x v="18"/>
    <n v="238"/>
  </r>
  <r>
    <x v="5"/>
    <n v="132"/>
  </r>
  <r>
    <x v="52"/>
    <n v="456"/>
  </r>
  <r>
    <x v="25"/>
    <n v="281"/>
  </r>
  <r>
    <x v="13"/>
    <n v="281"/>
  </r>
  <r>
    <x v="85"/>
    <n v="73"/>
  </r>
  <r>
    <x v="90"/>
    <n v="365"/>
  </r>
  <r>
    <x v="56"/>
    <n v="61"/>
  </r>
  <r>
    <x v="69"/>
    <n v="399"/>
  </r>
  <r>
    <x v="24"/>
    <n v="102"/>
  </r>
  <r>
    <x v="83"/>
    <n v="88"/>
  </r>
  <r>
    <x v="5"/>
    <n v="92"/>
  </r>
  <r>
    <x v="34"/>
    <n v="295"/>
  </r>
  <r>
    <x v="68"/>
    <n v="139"/>
  </r>
  <r>
    <x v="66"/>
    <n v="416"/>
  </r>
  <r>
    <x v="91"/>
    <n v="173"/>
  </r>
  <r>
    <x v="10"/>
    <n v="75"/>
  </r>
  <r>
    <x v="72"/>
    <n v="173"/>
  </r>
  <r>
    <x v="34"/>
    <n v="421"/>
  </r>
  <r>
    <x v="18"/>
    <n v="29"/>
  </r>
  <r>
    <x v="0"/>
    <n v="180"/>
  </r>
  <r>
    <x v="92"/>
    <n v="469"/>
  </r>
  <r>
    <x v="10"/>
    <n v="381"/>
  </r>
  <r>
    <x v="71"/>
    <n v="263"/>
  </r>
  <r>
    <x v="33"/>
    <n v="48"/>
  </r>
  <r>
    <x v="27"/>
    <n v="447"/>
  </r>
  <r>
    <x v="23"/>
    <n v="415"/>
  </r>
  <r>
    <x v="32"/>
    <n v="429"/>
  </r>
  <r>
    <x v="65"/>
    <n v="26"/>
  </r>
  <r>
    <x v="17"/>
    <n v="101"/>
  </r>
  <r>
    <x v="0"/>
    <n v="461"/>
  </r>
  <r>
    <x v="57"/>
    <n v="246"/>
  </r>
  <r>
    <x v="62"/>
    <n v="91"/>
  </r>
  <r>
    <x v="83"/>
    <n v="152"/>
  </r>
  <r>
    <x v="12"/>
    <n v="283"/>
  </r>
  <r>
    <x v="45"/>
    <n v="61"/>
  </r>
  <r>
    <x v="53"/>
    <n v="410"/>
  </r>
  <r>
    <x v="54"/>
    <n v="88"/>
  </r>
  <r>
    <x v="20"/>
    <n v="322"/>
  </r>
  <r>
    <x v="39"/>
    <n v="217"/>
  </r>
  <r>
    <x v="37"/>
    <n v="180"/>
  </r>
  <r>
    <x v="28"/>
    <n v="11"/>
  </r>
  <r>
    <x v="26"/>
    <n v="455"/>
  </r>
  <r>
    <x v="58"/>
    <n v="487"/>
  </r>
  <r>
    <x v="74"/>
    <n v="459"/>
  </r>
  <r>
    <x v="42"/>
    <n v="74"/>
  </r>
  <r>
    <x v="45"/>
    <n v="54"/>
  </r>
  <r>
    <x v="39"/>
    <n v="292"/>
  </r>
  <r>
    <x v="31"/>
    <n v="23"/>
  </r>
  <r>
    <x v="68"/>
    <n v="147"/>
  </r>
  <r>
    <x v="58"/>
    <n v="221"/>
  </r>
  <r>
    <x v="29"/>
    <n v="40"/>
  </r>
  <r>
    <x v="39"/>
    <n v="365"/>
  </r>
  <r>
    <x v="55"/>
    <n v="360"/>
  </r>
  <r>
    <x v="35"/>
    <n v="127"/>
  </r>
  <r>
    <x v="10"/>
    <n v="30"/>
  </r>
  <r>
    <x v="68"/>
    <n v="222"/>
  </r>
  <r>
    <x v="25"/>
    <n v="168"/>
  </r>
  <r>
    <x v="92"/>
    <n v="317"/>
  </r>
  <r>
    <x v="69"/>
    <n v="285"/>
  </r>
  <r>
    <x v="46"/>
    <n v="420"/>
  </r>
  <r>
    <x v="90"/>
    <n v="100"/>
  </r>
  <r>
    <x v="5"/>
    <n v="426"/>
  </r>
  <r>
    <x v="62"/>
    <n v="263"/>
  </r>
  <r>
    <x v="77"/>
    <n v="162"/>
  </r>
  <r>
    <x v="39"/>
    <n v="19"/>
  </r>
  <r>
    <x v="15"/>
    <n v="358"/>
  </r>
  <r>
    <x v="35"/>
    <n v="183"/>
  </r>
  <r>
    <x v="21"/>
    <n v="63"/>
  </r>
  <r>
    <x v="84"/>
    <n v="446"/>
  </r>
  <r>
    <x v="4"/>
    <n v="352"/>
  </r>
  <r>
    <x v="49"/>
    <n v="209"/>
  </r>
  <r>
    <x v="80"/>
    <n v="311"/>
  </r>
  <r>
    <x v="22"/>
    <n v="293"/>
  </r>
  <r>
    <x v="76"/>
    <n v="119"/>
  </r>
  <r>
    <x v="47"/>
    <n v="329"/>
  </r>
  <r>
    <x v="49"/>
    <n v="141"/>
  </r>
  <r>
    <x v="93"/>
    <n v="15"/>
  </r>
  <r>
    <x v="55"/>
    <n v="30"/>
  </r>
  <r>
    <x v="4"/>
    <n v="145"/>
  </r>
  <r>
    <x v="61"/>
    <n v="250"/>
  </r>
  <r>
    <x v="59"/>
    <n v="243"/>
  </r>
  <r>
    <x v="10"/>
    <n v="392"/>
  </r>
  <r>
    <x v="79"/>
    <n v="389"/>
  </r>
  <r>
    <x v="39"/>
    <n v="414"/>
  </r>
  <r>
    <x v="46"/>
    <n v="415"/>
  </r>
  <r>
    <x v="47"/>
    <n v="494"/>
  </r>
  <r>
    <x v="40"/>
    <n v="109"/>
  </r>
  <r>
    <x v="94"/>
    <n v="200"/>
  </r>
  <r>
    <x v="20"/>
    <n v="134"/>
  </r>
  <r>
    <x v="5"/>
    <n v="250"/>
  </r>
  <r>
    <x v="60"/>
    <n v="305"/>
  </r>
  <r>
    <x v="83"/>
    <n v="256"/>
  </r>
  <r>
    <x v="86"/>
    <n v="214"/>
  </r>
  <r>
    <x v="90"/>
    <n v="272"/>
  </r>
  <r>
    <x v="25"/>
    <n v="144"/>
  </r>
  <r>
    <x v="95"/>
    <n v="381"/>
  </r>
  <r>
    <x v="49"/>
    <n v="292"/>
  </r>
  <r>
    <x v="92"/>
    <n v="358"/>
  </r>
  <r>
    <x v="11"/>
    <n v="426"/>
  </r>
  <r>
    <x v="29"/>
    <n v="474"/>
  </r>
  <r>
    <x v="39"/>
    <n v="286"/>
  </r>
  <r>
    <x v="65"/>
    <n v="498"/>
  </r>
  <r>
    <x v="51"/>
    <n v="32"/>
  </r>
  <r>
    <x v="41"/>
    <n v="84"/>
  </r>
  <r>
    <x v="12"/>
    <n v="210"/>
  </r>
  <r>
    <x v="15"/>
    <n v="231"/>
  </r>
  <r>
    <x v="45"/>
    <n v="246"/>
  </r>
  <r>
    <x v="15"/>
    <n v="174"/>
  </r>
  <r>
    <x v="21"/>
    <n v="298"/>
  </r>
  <r>
    <x v="90"/>
    <n v="344"/>
  </r>
  <r>
    <x v="94"/>
    <n v="264"/>
  </r>
  <r>
    <x v="67"/>
    <n v="380"/>
  </r>
  <r>
    <x v="5"/>
    <n v="160"/>
  </r>
  <r>
    <x v="78"/>
    <n v="55"/>
  </r>
  <r>
    <x v="50"/>
    <n v="70"/>
  </r>
  <r>
    <x v="15"/>
    <n v="256"/>
  </r>
  <r>
    <x v="61"/>
    <n v="436"/>
  </r>
  <r>
    <x v="82"/>
    <n v="394"/>
  </r>
  <r>
    <x v="18"/>
    <n v="131"/>
  </r>
  <r>
    <x v="95"/>
    <n v="98"/>
  </r>
  <r>
    <x v="96"/>
    <n v="276"/>
  </r>
  <r>
    <x v="2"/>
    <n v="251"/>
  </r>
  <r>
    <x v="3"/>
    <n v="233"/>
  </r>
  <r>
    <x v="48"/>
    <n v="136"/>
  </r>
  <r>
    <x v="80"/>
    <n v="248"/>
  </r>
  <r>
    <x v="5"/>
    <n v="180"/>
  </r>
  <r>
    <x v="78"/>
    <n v="254"/>
  </r>
  <r>
    <x v="45"/>
    <n v="108"/>
  </r>
  <r>
    <x v="63"/>
    <n v="183"/>
  </r>
  <r>
    <x v="10"/>
    <n v="53"/>
  </r>
  <r>
    <x v="88"/>
    <n v="120"/>
  </r>
  <r>
    <x v="43"/>
    <n v="118"/>
  </r>
  <r>
    <x v="1"/>
    <n v="113"/>
  </r>
  <r>
    <x v="58"/>
    <n v="138"/>
  </r>
  <r>
    <x v="89"/>
    <n v="178"/>
  </r>
  <r>
    <x v="39"/>
    <n v="105"/>
  </r>
  <r>
    <x v="8"/>
    <n v="283"/>
  </r>
  <r>
    <x v="22"/>
    <n v="154"/>
  </r>
  <r>
    <x v="42"/>
    <n v="240"/>
  </r>
  <r>
    <x v="81"/>
    <n v="29"/>
  </r>
  <r>
    <x v="44"/>
    <n v="202"/>
  </r>
  <r>
    <x v="87"/>
    <n v="348"/>
  </r>
  <r>
    <x v="1"/>
    <n v="380"/>
  </r>
  <r>
    <x v="28"/>
    <n v="254"/>
  </r>
  <r>
    <x v="19"/>
    <n v="477"/>
  </r>
  <r>
    <x v="20"/>
    <n v="385"/>
  </r>
  <r>
    <x v="97"/>
    <n v="336"/>
  </r>
  <r>
    <x v="71"/>
    <n v="171"/>
  </r>
  <r>
    <x v="88"/>
    <n v="33"/>
  </r>
  <r>
    <x v="98"/>
    <n v="193"/>
  </r>
  <r>
    <x v="52"/>
    <n v="153"/>
  </r>
  <r>
    <x v="22"/>
    <n v="140"/>
  </r>
  <r>
    <x v="17"/>
    <n v="196"/>
  </r>
  <r>
    <x v="22"/>
    <n v="298"/>
  </r>
  <r>
    <x v="97"/>
    <n v="477"/>
  </r>
  <r>
    <x v="68"/>
    <n v="308"/>
  </r>
  <r>
    <x v="82"/>
    <n v="193"/>
  </r>
  <r>
    <x v="99"/>
    <n v="420"/>
  </r>
  <r>
    <x v="83"/>
    <n v="128"/>
  </r>
  <r>
    <x v="26"/>
    <n v="133"/>
  </r>
  <r>
    <x v="12"/>
    <n v="413"/>
  </r>
  <r>
    <x v="28"/>
    <n v="28"/>
  </r>
  <r>
    <x v="6"/>
    <n v="453"/>
  </r>
  <r>
    <x v="24"/>
    <n v="186"/>
  </r>
  <r>
    <x v="30"/>
    <n v="287"/>
  </r>
  <r>
    <x v="81"/>
    <n v="45"/>
  </r>
  <r>
    <x v="12"/>
    <n v="463"/>
  </r>
  <r>
    <x v="43"/>
    <n v="241"/>
  </r>
  <r>
    <x v="30"/>
    <n v="11"/>
  </r>
  <r>
    <x v="24"/>
    <n v="123"/>
  </r>
  <r>
    <x v="43"/>
    <n v="411"/>
  </r>
  <r>
    <x v="10"/>
    <n v="469"/>
  </r>
  <r>
    <x v="14"/>
    <n v="120"/>
  </r>
  <r>
    <x v="45"/>
    <n v="348"/>
  </r>
  <r>
    <x v="25"/>
    <n v="103"/>
  </r>
  <r>
    <x v="30"/>
    <n v="470"/>
  </r>
  <r>
    <x v="67"/>
    <n v="241"/>
  </r>
  <r>
    <x v="82"/>
    <n v="277"/>
  </r>
  <r>
    <x v="58"/>
    <n v="158"/>
  </r>
  <r>
    <x v="73"/>
    <n v="23"/>
  </r>
  <r>
    <x v="55"/>
    <n v="200"/>
  </r>
  <r>
    <x v="51"/>
    <n v="264"/>
  </r>
  <r>
    <x v="15"/>
    <n v="309"/>
  </r>
  <r>
    <x v="64"/>
    <n v="30"/>
  </r>
  <r>
    <x v="16"/>
    <n v="289"/>
  </r>
  <r>
    <x v="46"/>
    <n v="432"/>
  </r>
  <r>
    <x v="33"/>
    <n v="393"/>
  </r>
  <r>
    <x v="24"/>
    <n v="203"/>
  </r>
  <r>
    <x v="24"/>
    <n v="43"/>
  </r>
  <r>
    <x v="38"/>
    <n v="311"/>
  </r>
  <r>
    <x v="14"/>
    <n v="23"/>
  </r>
  <r>
    <x v="25"/>
    <n v="370"/>
  </r>
  <r>
    <x v="33"/>
    <n v="343"/>
  </r>
  <r>
    <x v="15"/>
    <n v="391"/>
  </r>
  <r>
    <x v="61"/>
    <n v="405"/>
  </r>
  <r>
    <x v="97"/>
    <n v="14"/>
  </r>
  <r>
    <x v="2"/>
    <n v="11"/>
  </r>
  <r>
    <x v="82"/>
    <n v="335"/>
  </r>
  <r>
    <x v="13"/>
    <n v="408"/>
  </r>
  <r>
    <x v="48"/>
    <n v="302"/>
  </r>
  <r>
    <x v="18"/>
    <n v="329"/>
  </r>
  <r>
    <x v="100"/>
    <n v="328"/>
  </r>
  <r>
    <x v="79"/>
    <n v="353"/>
  </r>
  <r>
    <x v="60"/>
    <n v="386"/>
  </r>
  <r>
    <x v="25"/>
    <n v="401"/>
  </r>
  <r>
    <x v="17"/>
    <n v="286"/>
  </r>
  <r>
    <x v="28"/>
    <n v="20"/>
  </r>
  <r>
    <x v="89"/>
    <n v="167"/>
  </r>
  <r>
    <x v="81"/>
    <n v="427"/>
  </r>
  <r>
    <x v="71"/>
    <n v="13"/>
  </r>
  <r>
    <x v="15"/>
    <n v="53"/>
  </r>
  <r>
    <x v="61"/>
    <n v="197"/>
  </r>
  <r>
    <x v="96"/>
    <n v="429"/>
  </r>
  <r>
    <x v="71"/>
    <n v="282"/>
  </r>
  <r>
    <x v="56"/>
    <n v="248"/>
  </r>
  <r>
    <x v="45"/>
    <n v="406"/>
  </r>
  <r>
    <x v="49"/>
    <n v="249"/>
  </r>
  <r>
    <x v="92"/>
    <n v="12"/>
  </r>
  <r>
    <x v="79"/>
    <n v="57"/>
  </r>
  <r>
    <x v="20"/>
    <n v="247"/>
  </r>
  <r>
    <x v="42"/>
    <n v="25"/>
  </r>
  <r>
    <x v="77"/>
    <n v="425"/>
  </r>
  <r>
    <x v="64"/>
    <n v="315"/>
  </r>
  <r>
    <x v="43"/>
    <n v="466"/>
  </r>
  <r>
    <x v="100"/>
    <n v="207"/>
  </r>
  <r>
    <x v="43"/>
    <n v="248"/>
  </r>
  <r>
    <x v="13"/>
    <n v="278"/>
  </r>
  <r>
    <x v="89"/>
    <n v="315"/>
  </r>
  <r>
    <x v="64"/>
    <n v="190"/>
  </r>
  <r>
    <x v="11"/>
    <n v="190"/>
  </r>
  <r>
    <x v="15"/>
    <n v="408"/>
  </r>
  <r>
    <x v="86"/>
    <n v="227"/>
  </r>
  <r>
    <x v="31"/>
    <n v="479"/>
  </r>
  <r>
    <x v="0"/>
    <n v="415"/>
  </r>
  <r>
    <x v="43"/>
    <n v="204"/>
  </r>
  <r>
    <x v="50"/>
    <n v="205"/>
  </r>
  <r>
    <x v="51"/>
    <n v="64"/>
  </r>
  <r>
    <x v="32"/>
    <n v="281"/>
  </r>
  <r>
    <x v="31"/>
    <n v="78"/>
  </r>
  <r>
    <x v="100"/>
    <n v="343"/>
  </r>
  <r>
    <x v="11"/>
    <n v="318"/>
  </r>
  <r>
    <x v="58"/>
    <n v="444"/>
  </r>
  <r>
    <x v="6"/>
    <n v="171"/>
  </r>
  <r>
    <x v="5"/>
    <n v="309"/>
  </r>
  <r>
    <x v="93"/>
    <n v="447"/>
  </r>
  <r>
    <x v="64"/>
    <n v="120"/>
  </r>
  <r>
    <x v="52"/>
    <n v="168"/>
  </r>
  <r>
    <x v="95"/>
    <n v="203"/>
  </r>
  <r>
    <x v="18"/>
    <n v="436"/>
  </r>
  <r>
    <x v="18"/>
    <n v="195"/>
  </r>
  <r>
    <x v="58"/>
    <n v="454"/>
  </r>
  <r>
    <x v="39"/>
    <n v="187"/>
  </r>
  <r>
    <x v="92"/>
    <n v="277"/>
  </r>
  <r>
    <x v="51"/>
    <n v="257"/>
  </r>
  <r>
    <x v="50"/>
    <n v="12"/>
  </r>
  <r>
    <x v="11"/>
    <n v="362"/>
  </r>
  <r>
    <x v="34"/>
    <n v="89"/>
  </r>
  <r>
    <x v="26"/>
    <n v="123"/>
  </r>
  <r>
    <x v="57"/>
    <n v="427"/>
  </r>
  <r>
    <x v="27"/>
    <n v="439"/>
  </r>
  <r>
    <x v="17"/>
    <n v="396"/>
  </r>
  <r>
    <x v="35"/>
    <n v="453"/>
  </r>
  <r>
    <x v="2"/>
    <n v="356"/>
  </r>
  <r>
    <x v="62"/>
    <n v="192"/>
  </r>
  <r>
    <x v="94"/>
    <n v="483"/>
  </r>
  <r>
    <x v="48"/>
    <n v="17"/>
  </r>
  <r>
    <x v="42"/>
    <n v="272"/>
  </r>
  <r>
    <x v="53"/>
    <n v="195"/>
  </r>
  <r>
    <x v="81"/>
    <n v="416"/>
  </r>
  <r>
    <x v="92"/>
    <n v="459"/>
  </r>
  <r>
    <x v="45"/>
    <n v="168"/>
  </r>
  <r>
    <x v="17"/>
    <n v="307"/>
  </r>
  <r>
    <x v="82"/>
    <n v="270"/>
  </r>
  <r>
    <x v="93"/>
    <n v="358"/>
  </r>
  <r>
    <x v="75"/>
    <n v="301"/>
  </r>
  <r>
    <x v="37"/>
    <n v="277"/>
  </r>
  <r>
    <x v="52"/>
    <n v="423"/>
  </r>
  <r>
    <x v="20"/>
    <n v="197"/>
  </r>
  <r>
    <x v="53"/>
    <n v="100"/>
  </r>
  <r>
    <x v="100"/>
    <n v="338"/>
  </r>
  <r>
    <x v="56"/>
    <n v="130"/>
  </r>
  <r>
    <x v="53"/>
    <n v="383"/>
  </r>
  <r>
    <x v="29"/>
    <n v="411"/>
  </r>
  <r>
    <x v="97"/>
    <n v="347"/>
  </r>
  <r>
    <x v="31"/>
    <n v="302"/>
  </r>
  <r>
    <x v="54"/>
    <n v="361"/>
  </r>
  <r>
    <x v="39"/>
    <n v="148"/>
  </r>
  <r>
    <x v="88"/>
    <n v="162"/>
  </r>
  <r>
    <x v="79"/>
    <n v="379"/>
  </r>
  <r>
    <x v="10"/>
    <n v="373"/>
  </r>
  <r>
    <x v="75"/>
    <n v="354"/>
  </r>
  <r>
    <x v="62"/>
    <n v="76"/>
  </r>
  <r>
    <x v="72"/>
    <n v="316"/>
  </r>
  <r>
    <x v="93"/>
    <n v="331"/>
  </r>
  <r>
    <x v="77"/>
    <n v="418"/>
  </r>
  <r>
    <x v="29"/>
    <n v="309"/>
  </r>
  <r>
    <x v="64"/>
    <n v="252"/>
  </r>
  <r>
    <x v="21"/>
    <n v="146"/>
  </r>
  <r>
    <x v="7"/>
    <n v="352"/>
  </r>
  <r>
    <x v="85"/>
    <n v="43"/>
  </r>
  <r>
    <x v="99"/>
    <n v="440"/>
  </r>
  <r>
    <x v="0"/>
    <n v="376"/>
  </r>
  <r>
    <x v="14"/>
    <n v="137"/>
  </r>
  <r>
    <x v="84"/>
    <n v="301"/>
  </r>
  <r>
    <x v="46"/>
    <n v="410"/>
  </r>
  <r>
    <x v="64"/>
    <n v="298"/>
  </r>
  <r>
    <x v="80"/>
    <n v="54"/>
  </r>
  <r>
    <x v="95"/>
    <n v="486"/>
  </r>
  <r>
    <x v="100"/>
    <n v="38"/>
  </r>
  <r>
    <x v="41"/>
    <n v="442"/>
  </r>
  <r>
    <x v="55"/>
    <n v="474"/>
  </r>
  <r>
    <x v="22"/>
    <n v="96"/>
  </r>
  <r>
    <x v="86"/>
    <n v="160"/>
  </r>
  <r>
    <x v="100"/>
    <n v="451"/>
  </r>
  <r>
    <x v="72"/>
    <n v="184"/>
  </r>
  <r>
    <x v="77"/>
    <n v="50"/>
  </r>
  <r>
    <x v="90"/>
    <n v="299"/>
  </r>
  <r>
    <x v="81"/>
    <n v="495"/>
  </r>
  <r>
    <x v="97"/>
    <n v="132"/>
  </r>
  <r>
    <x v="52"/>
    <n v="395"/>
  </r>
  <r>
    <x v="95"/>
    <n v="34"/>
  </r>
  <r>
    <x v="22"/>
    <n v="348"/>
  </r>
  <r>
    <x v="96"/>
    <n v="247"/>
  </r>
  <r>
    <x v="95"/>
    <n v="216"/>
  </r>
  <r>
    <x v="26"/>
    <n v="299"/>
  </r>
  <r>
    <x v="56"/>
    <n v="315"/>
  </r>
  <r>
    <x v="20"/>
    <n v="35"/>
  </r>
  <r>
    <x v="61"/>
    <n v="359"/>
  </r>
  <r>
    <x v="33"/>
    <n v="361"/>
  </r>
  <r>
    <x v="19"/>
    <n v="273"/>
  </r>
  <r>
    <x v="63"/>
    <n v="47"/>
  </r>
  <r>
    <x v="86"/>
    <n v="477"/>
  </r>
  <r>
    <x v="53"/>
    <n v="418"/>
  </r>
  <r>
    <x v="58"/>
    <n v="274"/>
  </r>
  <r>
    <x v="40"/>
    <n v="102"/>
  </r>
  <r>
    <x v="75"/>
    <n v="164"/>
  </r>
  <r>
    <x v="21"/>
    <n v="478"/>
  </r>
  <r>
    <x v="31"/>
    <n v="100"/>
  </r>
  <r>
    <x v="57"/>
    <n v="264"/>
  </r>
  <r>
    <x v="58"/>
    <n v="208"/>
  </r>
  <r>
    <x v="68"/>
    <n v="56"/>
  </r>
  <r>
    <x v="33"/>
    <n v="207"/>
  </r>
  <r>
    <x v="94"/>
    <n v="187"/>
  </r>
  <r>
    <x v="2"/>
    <n v="62"/>
  </r>
  <r>
    <x v="12"/>
    <n v="182"/>
  </r>
  <r>
    <x v="98"/>
    <n v="468"/>
  </r>
  <r>
    <x v="100"/>
    <n v="389"/>
  </r>
  <r>
    <x v="89"/>
    <n v="155"/>
  </r>
  <r>
    <x v="67"/>
    <n v="331"/>
  </r>
  <r>
    <x v="74"/>
    <n v="131"/>
  </r>
  <r>
    <x v="78"/>
    <n v="376"/>
  </r>
  <r>
    <x v="14"/>
    <n v="106"/>
  </r>
  <r>
    <x v="16"/>
    <n v="445"/>
  </r>
  <r>
    <x v="59"/>
    <n v="345"/>
  </r>
  <r>
    <x v="92"/>
    <n v="432"/>
  </r>
  <r>
    <x v="54"/>
    <n v="362"/>
  </r>
  <r>
    <x v="69"/>
    <n v="174"/>
  </r>
  <r>
    <x v="23"/>
    <n v="490"/>
  </r>
  <r>
    <x v="100"/>
    <n v="32"/>
  </r>
  <r>
    <x v="53"/>
    <n v="48"/>
  </r>
  <r>
    <x v="94"/>
    <n v="141"/>
  </r>
  <r>
    <x v="28"/>
    <n v="368"/>
  </r>
  <r>
    <x v="17"/>
    <n v="227"/>
  </r>
  <r>
    <x v="48"/>
    <n v="484"/>
  </r>
  <r>
    <x v="81"/>
    <n v="14"/>
  </r>
  <r>
    <x v="96"/>
    <n v="328"/>
  </r>
  <r>
    <x v="74"/>
    <n v="279"/>
  </r>
  <r>
    <x v="49"/>
    <n v="158"/>
  </r>
  <r>
    <x v="32"/>
    <n v="422"/>
  </r>
  <r>
    <x v="70"/>
    <n v="235"/>
  </r>
  <r>
    <x v="38"/>
    <n v="331"/>
  </r>
  <r>
    <x v="86"/>
    <n v="148"/>
  </r>
  <r>
    <x v="64"/>
    <n v="198"/>
  </r>
  <r>
    <x v="32"/>
    <n v="81"/>
  </r>
  <r>
    <x v="3"/>
    <n v="131"/>
  </r>
  <r>
    <x v="11"/>
    <n v="210"/>
  </r>
  <r>
    <x v="8"/>
    <n v="301"/>
  </r>
  <r>
    <x v="74"/>
    <n v="466"/>
  </r>
  <r>
    <x v="97"/>
    <n v="336"/>
  </r>
  <r>
    <x v="77"/>
    <n v="280"/>
  </r>
  <r>
    <x v="95"/>
    <n v="495"/>
  </r>
  <r>
    <x v="57"/>
    <n v="144"/>
  </r>
  <r>
    <x v="91"/>
    <n v="165"/>
  </r>
  <r>
    <x v="84"/>
    <n v="479"/>
  </r>
  <r>
    <x v="9"/>
    <n v="285"/>
  </r>
  <r>
    <x v="98"/>
    <n v="93"/>
  </r>
  <r>
    <x v="27"/>
    <n v="299"/>
  </r>
  <r>
    <x v="89"/>
    <n v="10"/>
  </r>
  <r>
    <x v="55"/>
    <n v="82"/>
  </r>
  <r>
    <x v="1"/>
    <n v="27"/>
  </r>
  <r>
    <x v="96"/>
    <n v="105"/>
  </r>
  <r>
    <x v="11"/>
    <n v="330"/>
  </r>
  <r>
    <x v="5"/>
    <n v="462"/>
  </r>
  <r>
    <x v="91"/>
    <n v="250"/>
  </r>
  <r>
    <x v="66"/>
    <n v="30"/>
  </r>
  <r>
    <x v="97"/>
    <n v="364"/>
  </r>
  <r>
    <x v="22"/>
    <n v="404"/>
  </r>
  <r>
    <x v="45"/>
    <n v="499"/>
  </r>
  <r>
    <x v="4"/>
    <n v="480"/>
  </r>
  <r>
    <x v="32"/>
    <n v="417"/>
  </r>
  <r>
    <x v="24"/>
    <n v="215"/>
  </r>
  <r>
    <x v="97"/>
    <n v="234"/>
  </r>
  <r>
    <x v="55"/>
    <n v="103"/>
  </r>
  <r>
    <x v="5"/>
    <n v="191"/>
  </r>
  <r>
    <x v="81"/>
    <n v="82"/>
  </r>
  <r>
    <x v="25"/>
    <n v="468"/>
  </r>
  <r>
    <x v="2"/>
    <n v="366"/>
  </r>
  <r>
    <x v="8"/>
    <n v="53"/>
  </r>
  <r>
    <x v="87"/>
    <n v="102"/>
  </r>
  <r>
    <x v="36"/>
    <n v="259"/>
  </r>
  <r>
    <x v="17"/>
    <n v="81"/>
  </r>
  <r>
    <x v="23"/>
    <n v="135"/>
  </r>
  <r>
    <x v="39"/>
    <n v="465"/>
  </r>
  <r>
    <x v="80"/>
    <n v="163"/>
  </r>
  <r>
    <x v="35"/>
    <n v="321"/>
  </r>
  <r>
    <x v="73"/>
    <n v="212"/>
  </r>
  <r>
    <x v="34"/>
    <n v="453"/>
  </r>
  <r>
    <x v="38"/>
    <n v="34"/>
  </r>
  <r>
    <x v="28"/>
    <n v="197"/>
  </r>
  <r>
    <x v="20"/>
    <n v="361"/>
  </r>
  <r>
    <x v="55"/>
    <n v="166"/>
  </r>
  <r>
    <x v="64"/>
    <n v="168"/>
  </r>
  <r>
    <x v="84"/>
    <n v="336"/>
  </r>
  <r>
    <x v="24"/>
    <n v="212"/>
  </r>
  <r>
    <x v="7"/>
    <n v="185"/>
  </r>
  <r>
    <x v="52"/>
    <n v="124"/>
  </r>
  <r>
    <x v="39"/>
    <n v="256"/>
  </r>
  <r>
    <x v="100"/>
    <n v="58"/>
  </r>
  <r>
    <x v="17"/>
    <n v="135"/>
  </r>
  <r>
    <x v="57"/>
    <n v="163"/>
  </r>
  <r>
    <x v="63"/>
    <n v="120"/>
  </r>
  <r>
    <x v="58"/>
    <n v="439"/>
  </r>
  <r>
    <x v="2"/>
    <n v="223"/>
  </r>
  <r>
    <x v="75"/>
    <n v="485"/>
  </r>
  <r>
    <x v="52"/>
    <n v="474"/>
  </r>
  <r>
    <x v="77"/>
    <n v="259"/>
  </r>
  <r>
    <x v="51"/>
    <n v="53"/>
  </r>
  <r>
    <x v="69"/>
    <n v="221"/>
  </r>
  <r>
    <x v="70"/>
    <n v="46"/>
  </r>
  <r>
    <x v="80"/>
    <n v="253"/>
  </r>
  <r>
    <x v="81"/>
    <n v="478"/>
  </r>
  <r>
    <x v="37"/>
    <n v="145"/>
  </r>
  <r>
    <x v="68"/>
    <n v="366"/>
  </r>
  <r>
    <x v="86"/>
    <n v="301"/>
  </r>
  <r>
    <x v="81"/>
    <n v="26"/>
  </r>
  <r>
    <x v="82"/>
    <n v="208"/>
  </r>
  <r>
    <x v="61"/>
    <n v="109"/>
  </r>
  <r>
    <x v="86"/>
    <n v="451"/>
  </r>
  <r>
    <x v="68"/>
    <n v="33"/>
  </r>
  <r>
    <x v="90"/>
    <n v="467"/>
  </r>
  <r>
    <x v="91"/>
    <n v="123"/>
  </r>
  <r>
    <x v="79"/>
    <n v="139"/>
  </r>
  <r>
    <x v="97"/>
    <n v="103"/>
  </r>
  <r>
    <x v="41"/>
    <n v="207"/>
  </r>
  <r>
    <x v="25"/>
    <n v="267"/>
  </r>
  <r>
    <x v="13"/>
    <n v="266"/>
  </r>
  <r>
    <x v="29"/>
    <n v="240"/>
  </r>
  <r>
    <x v="79"/>
    <n v="315"/>
  </r>
  <r>
    <x v="91"/>
    <n v="276"/>
  </r>
  <r>
    <x v="71"/>
    <n v="308"/>
  </r>
  <r>
    <x v="45"/>
    <n v="297"/>
  </r>
  <r>
    <x v="20"/>
    <n v="326"/>
  </r>
  <r>
    <x v="79"/>
    <n v="352"/>
  </r>
  <r>
    <x v="87"/>
    <n v="180"/>
  </r>
  <r>
    <x v="22"/>
    <n v="362"/>
  </r>
  <r>
    <x v="97"/>
    <n v="154"/>
  </r>
  <r>
    <x v="19"/>
    <n v="287"/>
  </r>
  <r>
    <x v="32"/>
    <n v="303"/>
  </r>
  <r>
    <x v="51"/>
    <n v="447"/>
  </r>
  <r>
    <x v="81"/>
    <n v="480"/>
  </r>
  <r>
    <x v="58"/>
    <n v="438"/>
  </r>
  <r>
    <x v="20"/>
    <n v="295"/>
  </r>
  <r>
    <x v="84"/>
    <n v="479"/>
  </r>
  <r>
    <x v="6"/>
    <n v="214"/>
  </r>
  <r>
    <x v="16"/>
    <n v="69"/>
  </r>
  <r>
    <x v="86"/>
    <n v="344"/>
  </r>
  <r>
    <x v="95"/>
    <n v="163"/>
  </r>
  <r>
    <x v="99"/>
    <n v="217"/>
  </r>
  <r>
    <x v="83"/>
    <n v="177"/>
  </r>
  <r>
    <x v="99"/>
    <n v="304"/>
  </r>
  <r>
    <x v="59"/>
    <n v="90"/>
  </r>
  <r>
    <x v="74"/>
    <n v="108"/>
  </r>
  <r>
    <x v="54"/>
    <n v="96"/>
  </r>
  <r>
    <x v="37"/>
    <n v="247"/>
  </r>
  <r>
    <x v="65"/>
    <n v="245"/>
  </r>
  <r>
    <x v="93"/>
    <n v="366"/>
  </r>
  <r>
    <x v="74"/>
    <n v="170"/>
  </r>
  <r>
    <x v="20"/>
    <n v="447"/>
  </r>
  <r>
    <x v="55"/>
    <n v="369"/>
  </r>
  <r>
    <x v="31"/>
    <n v="62"/>
  </r>
  <r>
    <x v="77"/>
    <n v="294"/>
  </r>
  <r>
    <x v="33"/>
    <n v="10"/>
  </r>
  <r>
    <x v="56"/>
    <n v="389"/>
  </r>
  <r>
    <x v="19"/>
    <n v="55"/>
  </r>
  <r>
    <x v="81"/>
    <n v="208"/>
  </r>
  <r>
    <x v="92"/>
    <n v="198"/>
  </r>
  <r>
    <x v="44"/>
    <n v="280"/>
  </r>
  <r>
    <x v="21"/>
    <n v="161"/>
  </r>
  <r>
    <x v="31"/>
    <n v="439"/>
  </r>
  <r>
    <x v="31"/>
    <n v="339"/>
  </r>
  <r>
    <x v="9"/>
    <n v="52"/>
  </r>
  <r>
    <x v="58"/>
    <n v="297"/>
  </r>
  <r>
    <x v="76"/>
    <n v="40"/>
  </r>
  <r>
    <x v="80"/>
    <n v="379"/>
  </r>
  <r>
    <x v="10"/>
    <n v="82"/>
  </r>
  <r>
    <x v="76"/>
    <n v="192"/>
  </r>
  <r>
    <x v="61"/>
    <n v="286"/>
  </r>
  <r>
    <x v="0"/>
    <n v="452"/>
  </r>
  <r>
    <x v="78"/>
    <n v="417"/>
  </r>
  <r>
    <x v="59"/>
    <n v="371"/>
  </r>
  <r>
    <x v="53"/>
    <n v="110"/>
  </r>
  <r>
    <x v="41"/>
    <n v="274"/>
  </r>
  <r>
    <x v="17"/>
    <n v="412"/>
  </r>
  <r>
    <x v="100"/>
    <n v="341"/>
  </r>
  <r>
    <x v="29"/>
    <n v="388"/>
  </r>
  <r>
    <x v="31"/>
    <n v="446"/>
  </r>
  <r>
    <x v="18"/>
    <n v="223"/>
  </r>
  <r>
    <x v="0"/>
    <n v="417"/>
  </r>
  <r>
    <x v="22"/>
    <n v="390"/>
  </r>
  <r>
    <x v="52"/>
    <n v="33"/>
  </r>
  <r>
    <x v="98"/>
    <n v="302"/>
  </r>
  <r>
    <x v="84"/>
    <n v="121"/>
  </r>
  <r>
    <x v="83"/>
    <n v="112"/>
  </r>
  <r>
    <x v="36"/>
    <n v="375"/>
  </r>
  <r>
    <x v="87"/>
    <n v="97"/>
  </r>
  <r>
    <x v="89"/>
    <n v="306"/>
  </r>
  <r>
    <x v="92"/>
    <n v="136"/>
  </r>
  <r>
    <x v="85"/>
    <n v="12"/>
  </r>
  <r>
    <x v="4"/>
    <n v="379"/>
  </r>
  <r>
    <x v="47"/>
    <n v="205"/>
  </r>
  <r>
    <x v="59"/>
    <n v="335"/>
  </r>
  <r>
    <x v="14"/>
    <n v="449"/>
  </r>
  <r>
    <x v="81"/>
    <n v="453"/>
  </r>
  <r>
    <x v="63"/>
    <n v="252"/>
  </r>
  <r>
    <x v="94"/>
    <n v="379"/>
  </r>
  <r>
    <x v="54"/>
    <n v="280"/>
  </r>
  <r>
    <x v="50"/>
    <n v="187"/>
  </r>
  <r>
    <x v="46"/>
    <n v="373"/>
  </r>
  <r>
    <x v="4"/>
    <n v="482"/>
  </r>
  <r>
    <x v="97"/>
    <n v="360"/>
  </r>
  <r>
    <x v="48"/>
    <n v="463"/>
  </r>
  <r>
    <x v="20"/>
    <n v="13"/>
  </r>
  <r>
    <x v="17"/>
    <n v="129"/>
  </r>
  <r>
    <x v="23"/>
    <n v="290"/>
  </r>
  <r>
    <x v="41"/>
    <n v="50"/>
  </r>
  <r>
    <x v="41"/>
    <n v="241"/>
  </r>
  <r>
    <x v="44"/>
    <n v="383"/>
  </r>
  <r>
    <x v="47"/>
    <n v="384"/>
  </r>
  <r>
    <x v="3"/>
    <n v="302"/>
  </r>
  <r>
    <x v="10"/>
    <n v="24"/>
  </r>
  <r>
    <x v="83"/>
    <n v="416"/>
  </r>
  <r>
    <x v="9"/>
    <n v="272"/>
  </r>
  <r>
    <x v="4"/>
    <n v="294"/>
  </r>
  <r>
    <x v="90"/>
    <n v="18"/>
  </r>
  <r>
    <x v="49"/>
    <n v="409"/>
  </r>
  <r>
    <x v="10"/>
    <n v="290"/>
  </r>
  <r>
    <x v="7"/>
    <n v="102"/>
  </r>
  <r>
    <x v="62"/>
    <n v="119"/>
  </r>
  <r>
    <x v="0"/>
    <n v="87"/>
  </r>
  <r>
    <x v="86"/>
    <n v="273"/>
  </r>
  <r>
    <x v="92"/>
    <n v="281"/>
  </r>
  <r>
    <x v="65"/>
    <n v="115"/>
  </r>
  <r>
    <x v="49"/>
    <n v="483"/>
  </r>
  <r>
    <x v="82"/>
    <n v="129"/>
  </r>
  <r>
    <x v="38"/>
    <n v="292"/>
  </r>
  <r>
    <x v="46"/>
    <n v="307"/>
  </r>
  <r>
    <x v="2"/>
    <n v="306"/>
  </r>
  <r>
    <x v="29"/>
    <n v="71"/>
  </r>
  <r>
    <x v="80"/>
    <n v="253"/>
  </r>
  <r>
    <x v="39"/>
    <n v="68"/>
  </r>
  <r>
    <x v="34"/>
    <n v="366"/>
  </r>
  <r>
    <x v="56"/>
    <n v="166"/>
  </r>
  <r>
    <x v="85"/>
    <n v="136"/>
  </r>
  <r>
    <x v="85"/>
    <n v="358"/>
  </r>
  <r>
    <x v="37"/>
    <n v="399"/>
  </r>
  <r>
    <x v="24"/>
    <n v="285"/>
  </r>
  <r>
    <x v="49"/>
    <n v="424"/>
  </r>
  <r>
    <x v="6"/>
    <n v="467"/>
  </r>
  <r>
    <x v="10"/>
    <n v="443"/>
  </r>
  <r>
    <x v="49"/>
    <n v="214"/>
  </r>
  <r>
    <x v="14"/>
    <n v="437"/>
  </r>
  <r>
    <x v="8"/>
    <n v="419"/>
  </r>
  <r>
    <x v="13"/>
    <n v="129"/>
  </r>
  <r>
    <x v="89"/>
    <n v="75"/>
  </r>
  <r>
    <x v="59"/>
    <n v="346"/>
  </r>
  <r>
    <x v="80"/>
    <n v="480"/>
  </r>
  <r>
    <x v="16"/>
    <n v="188"/>
  </r>
  <r>
    <x v="64"/>
    <n v="420"/>
  </r>
  <r>
    <x v="22"/>
    <n v="204"/>
  </r>
  <r>
    <x v="22"/>
    <n v="355"/>
  </r>
  <r>
    <x v="6"/>
    <n v="200"/>
  </r>
  <r>
    <x v="40"/>
    <n v="178"/>
  </r>
  <r>
    <x v="90"/>
    <n v="337"/>
  </r>
  <r>
    <x v="25"/>
    <n v="24"/>
  </r>
  <r>
    <x v="29"/>
    <n v="167"/>
  </r>
  <r>
    <x v="33"/>
    <n v="289"/>
  </r>
  <r>
    <x v="90"/>
    <n v="450"/>
  </r>
  <r>
    <x v="41"/>
    <n v="165"/>
  </r>
  <r>
    <x v="59"/>
    <n v="391"/>
  </r>
  <r>
    <x v="19"/>
    <n v="318"/>
  </r>
  <r>
    <x v="56"/>
    <n v="157"/>
  </r>
  <r>
    <x v="60"/>
    <n v="25"/>
  </r>
  <r>
    <x v="74"/>
    <n v="112"/>
  </r>
  <r>
    <x v="67"/>
    <n v="479"/>
  </r>
  <r>
    <x v="45"/>
    <n v="233"/>
  </r>
  <r>
    <x v="60"/>
    <n v="44"/>
  </r>
  <r>
    <x v="24"/>
    <n v="456"/>
  </r>
  <r>
    <x v="13"/>
    <n v="486"/>
  </r>
  <r>
    <x v="92"/>
    <n v="308"/>
  </r>
  <r>
    <x v="7"/>
    <n v="161"/>
  </r>
  <r>
    <x v="15"/>
    <n v="316"/>
  </r>
  <r>
    <x v="51"/>
    <n v="133"/>
  </r>
  <r>
    <x v="81"/>
    <n v="270"/>
  </r>
  <r>
    <x v="30"/>
    <n v="85"/>
  </r>
  <r>
    <x v="74"/>
    <n v="65"/>
  </r>
  <r>
    <x v="15"/>
    <n v="393"/>
  </r>
  <r>
    <x v="20"/>
    <n v="181"/>
  </r>
  <r>
    <x v="65"/>
    <n v="416"/>
  </r>
  <r>
    <x v="69"/>
    <n v="243"/>
  </r>
  <r>
    <x v="16"/>
    <n v="381"/>
  </r>
  <r>
    <x v="28"/>
    <n v="71"/>
  </r>
  <r>
    <x v="1"/>
    <n v="219"/>
  </r>
  <r>
    <x v="74"/>
    <n v="335"/>
  </r>
  <r>
    <x v="50"/>
    <n v="435"/>
  </r>
  <r>
    <x v="13"/>
    <n v="423"/>
  </r>
  <r>
    <x v="60"/>
    <n v="304"/>
  </r>
  <r>
    <x v="86"/>
    <n v="455"/>
  </r>
  <r>
    <x v="12"/>
    <n v="449"/>
  </r>
  <r>
    <x v="36"/>
    <n v="39"/>
  </r>
  <r>
    <x v="88"/>
    <n v="139"/>
  </r>
  <r>
    <x v="85"/>
    <n v="345"/>
  </r>
  <r>
    <x v="90"/>
    <n v="500"/>
  </r>
  <r>
    <x v="15"/>
    <n v="365"/>
  </r>
  <r>
    <x v="34"/>
    <n v="479"/>
  </r>
  <r>
    <x v="71"/>
    <n v="63"/>
  </r>
  <r>
    <x v="2"/>
    <n v="104"/>
  </r>
  <r>
    <x v="98"/>
    <n v="380"/>
  </r>
  <r>
    <x v="17"/>
    <n v="500"/>
  </r>
  <r>
    <x v="26"/>
    <n v="247"/>
  </r>
  <r>
    <x v="76"/>
    <n v="486"/>
  </r>
  <r>
    <x v="71"/>
    <n v="220"/>
  </r>
  <r>
    <x v="51"/>
    <n v="21"/>
  </r>
  <r>
    <x v="23"/>
    <n v="417"/>
  </r>
  <r>
    <x v="86"/>
    <n v="191"/>
  </r>
  <r>
    <x v="27"/>
    <n v="460"/>
  </r>
  <r>
    <x v="62"/>
    <n v="413"/>
  </r>
  <r>
    <x v="78"/>
    <n v="484"/>
  </r>
  <r>
    <x v="65"/>
    <n v="227"/>
  </r>
  <r>
    <x v="62"/>
    <n v="313"/>
  </r>
  <r>
    <x v="52"/>
    <n v="491"/>
  </r>
  <r>
    <x v="92"/>
    <n v="50"/>
  </r>
  <r>
    <x v="81"/>
    <n v="73"/>
  </r>
  <r>
    <x v="60"/>
    <n v="139"/>
  </r>
  <r>
    <x v="9"/>
    <n v="327"/>
  </r>
  <r>
    <x v="81"/>
    <n v="206"/>
  </r>
  <r>
    <x v="84"/>
    <n v="23"/>
  </r>
  <r>
    <x v="51"/>
    <n v="158"/>
  </r>
  <r>
    <x v="44"/>
    <n v="459"/>
  </r>
  <r>
    <x v="5"/>
    <n v="30"/>
  </r>
  <r>
    <x v="51"/>
    <n v="42"/>
  </r>
  <r>
    <x v="91"/>
    <n v="242"/>
  </r>
  <r>
    <x v="45"/>
    <n v="25"/>
  </r>
  <r>
    <x v="89"/>
    <n v="140"/>
  </r>
  <r>
    <x v="100"/>
    <n v="192"/>
  </r>
  <r>
    <x v="34"/>
    <n v="267"/>
  </r>
  <r>
    <x v="96"/>
    <n v="410"/>
  </r>
  <r>
    <x v="85"/>
    <n v="281"/>
  </r>
  <r>
    <x v="15"/>
    <n v="478"/>
  </r>
  <r>
    <x v="44"/>
    <n v="44"/>
  </r>
  <r>
    <x v="44"/>
    <n v="250"/>
  </r>
  <r>
    <x v="30"/>
    <n v="225"/>
  </r>
  <r>
    <x v="44"/>
    <n v="473"/>
  </r>
  <r>
    <x v="47"/>
    <n v="236"/>
  </r>
  <r>
    <x v="76"/>
    <n v="349"/>
  </r>
  <r>
    <x v="23"/>
    <n v="139"/>
  </r>
  <r>
    <x v="35"/>
    <n v="278"/>
  </r>
  <r>
    <x v="56"/>
    <n v="242"/>
  </r>
  <r>
    <x v="51"/>
    <n v="251"/>
  </r>
  <r>
    <x v="32"/>
    <n v="268"/>
  </r>
  <r>
    <x v="46"/>
    <n v="322"/>
  </r>
  <r>
    <x v="34"/>
    <n v="356"/>
  </r>
  <r>
    <x v="68"/>
    <n v="28"/>
  </r>
  <r>
    <x v="27"/>
    <n v="43"/>
  </r>
  <r>
    <x v="71"/>
    <n v="391"/>
  </r>
  <r>
    <x v="61"/>
    <n v="300"/>
  </r>
  <r>
    <x v="57"/>
    <n v="75"/>
  </r>
  <r>
    <x v="43"/>
    <n v="154"/>
  </r>
  <r>
    <x v="64"/>
    <n v="179"/>
  </r>
  <r>
    <x v="68"/>
    <n v="147"/>
  </r>
  <r>
    <x v="57"/>
    <n v="235"/>
  </r>
  <r>
    <x v="83"/>
    <n v="390"/>
  </r>
  <r>
    <x v="18"/>
    <n v="116"/>
  </r>
  <r>
    <x v="48"/>
    <n v="492"/>
  </r>
  <r>
    <x v="32"/>
    <n v="159"/>
  </r>
  <r>
    <x v="7"/>
    <n v="279"/>
  </r>
  <r>
    <x v="37"/>
    <n v="386"/>
  </r>
  <r>
    <x v="16"/>
    <n v="332"/>
  </r>
  <r>
    <x v="2"/>
    <n v="176"/>
  </r>
  <r>
    <x v="52"/>
    <n v="221"/>
  </r>
  <r>
    <x v="7"/>
    <n v="263"/>
  </r>
  <r>
    <x v="68"/>
    <n v="222"/>
  </r>
  <r>
    <x v="8"/>
    <n v="39"/>
  </r>
  <r>
    <x v="16"/>
    <n v="445"/>
  </r>
  <r>
    <x v="3"/>
    <n v="164"/>
  </r>
  <r>
    <x v="52"/>
    <n v="101"/>
  </r>
  <r>
    <x v="28"/>
    <n v="424"/>
  </r>
  <r>
    <x v="9"/>
    <n v="182"/>
  </r>
  <r>
    <x v="55"/>
    <n v="115"/>
  </r>
  <r>
    <x v="71"/>
    <n v="33"/>
  </r>
  <r>
    <x v="87"/>
    <n v="259"/>
  </r>
  <r>
    <x v="23"/>
    <n v="309"/>
  </r>
  <r>
    <x v="85"/>
    <n v="367"/>
  </r>
  <r>
    <x v="65"/>
    <n v="472"/>
  </r>
  <r>
    <x v="51"/>
    <n v="449"/>
  </r>
  <r>
    <x v="83"/>
    <n v="302"/>
  </r>
  <r>
    <x v="76"/>
    <n v="70"/>
  </r>
  <r>
    <x v="57"/>
    <n v="157"/>
  </r>
  <r>
    <x v="79"/>
    <n v="17"/>
  </r>
  <r>
    <x v="41"/>
    <n v="173"/>
  </r>
  <r>
    <x v="2"/>
    <n v="301"/>
  </r>
  <r>
    <x v="5"/>
    <n v="357"/>
  </r>
  <r>
    <x v="44"/>
    <n v="48"/>
  </r>
  <r>
    <x v="18"/>
    <n v="351"/>
  </r>
  <r>
    <x v="26"/>
    <n v="491"/>
  </r>
  <r>
    <x v="34"/>
    <n v="164"/>
  </r>
  <r>
    <x v="12"/>
    <n v="304"/>
  </r>
  <r>
    <x v="38"/>
    <n v="166"/>
  </r>
  <r>
    <x v="67"/>
    <n v="225"/>
  </r>
  <r>
    <x v="40"/>
    <n v="163"/>
  </r>
  <r>
    <x v="43"/>
    <n v="419"/>
  </r>
  <r>
    <x v="69"/>
    <n v="293"/>
  </r>
  <r>
    <x v="68"/>
    <n v="171"/>
  </r>
  <r>
    <x v="18"/>
    <n v="438"/>
  </r>
  <r>
    <x v="33"/>
    <n v="247"/>
  </r>
  <r>
    <x v="33"/>
    <n v="85"/>
  </r>
  <r>
    <x v="24"/>
    <n v="203"/>
  </r>
  <r>
    <x v="61"/>
    <n v="219"/>
  </r>
  <r>
    <x v="24"/>
    <n v="285"/>
  </r>
  <r>
    <x v="13"/>
    <n v="115"/>
  </r>
  <r>
    <x v="0"/>
    <n v="322"/>
  </r>
  <r>
    <x v="32"/>
    <n v="348"/>
  </r>
  <r>
    <x v="50"/>
    <n v="482"/>
  </r>
  <r>
    <x v="18"/>
    <n v="384"/>
  </r>
  <r>
    <x v="35"/>
    <n v="178"/>
  </r>
  <r>
    <x v="56"/>
    <n v="91"/>
  </r>
  <r>
    <x v="44"/>
    <n v="175"/>
  </r>
  <r>
    <x v="84"/>
    <n v="187"/>
  </r>
  <r>
    <x v="76"/>
    <n v="352"/>
  </r>
  <r>
    <x v="37"/>
    <n v="448"/>
  </r>
  <r>
    <x v="36"/>
    <n v="81"/>
  </r>
  <r>
    <x v="64"/>
    <n v="321"/>
  </r>
  <r>
    <x v="22"/>
    <n v="114"/>
  </r>
  <r>
    <x v="61"/>
    <n v="493"/>
  </r>
  <r>
    <x v="99"/>
    <n v="475"/>
  </r>
  <r>
    <x v="74"/>
    <n v="287"/>
  </r>
  <r>
    <x v="75"/>
    <n v="138"/>
  </r>
  <r>
    <x v="21"/>
    <n v="198"/>
  </r>
  <r>
    <x v="7"/>
    <n v="164"/>
  </r>
  <r>
    <x v="73"/>
    <n v="65"/>
  </r>
  <r>
    <x v="19"/>
    <n v="388"/>
  </r>
  <r>
    <x v="69"/>
    <n v="412"/>
  </r>
  <r>
    <x v="10"/>
    <n v="267"/>
  </r>
  <r>
    <x v="74"/>
    <n v="29"/>
  </r>
  <r>
    <x v="82"/>
    <n v="454"/>
  </r>
  <r>
    <x v="3"/>
    <n v="119"/>
  </r>
  <r>
    <x v="18"/>
    <n v="311"/>
  </r>
  <r>
    <x v="71"/>
    <n v="122"/>
  </r>
  <r>
    <x v="73"/>
    <n v="300"/>
  </r>
  <r>
    <x v="80"/>
    <n v="59"/>
  </r>
  <r>
    <x v="98"/>
    <n v="34"/>
  </r>
  <r>
    <x v="3"/>
    <n v="23"/>
  </r>
  <r>
    <x v="37"/>
    <n v="168"/>
  </r>
  <r>
    <x v="89"/>
    <n v="306"/>
  </r>
  <r>
    <x v="92"/>
    <n v="433"/>
  </r>
  <r>
    <x v="86"/>
    <n v="221"/>
  </r>
  <r>
    <x v="2"/>
    <n v="236"/>
  </r>
  <r>
    <x v="17"/>
    <n v="75"/>
  </r>
  <r>
    <x v="60"/>
    <n v="325"/>
  </r>
  <r>
    <x v="42"/>
    <n v="217"/>
  </r>
  <r>
    <x v="94"/>
    <n v="178"/>
  </r>
  <r>
    <x v="86"/>
    <n v="74"/>
  </r>
  <r>
    <x v="81"/>
    <n v="373"/>
  </r>
  <r>
    <x v="46"/>
    <n v="64"/>
  </r>
  <r>
    <x v="37"/>
    <n v="129"/>
  </r>
  <r>
    <x v="83"/>
    <n v="297"/>
  </r>
  <r>
    <x v="35"/>
    <n v="235"/>
  </r>
  <r>
    <x v="61"/>
    <n v="390"/>
  </r>
  <r>
    <x v="12"/>
    <n v="362"/>
  </r>
  <r>
    <x v="34"/>
    <n v="136"/>
  </r>
  <r>
    <x v="44"/>
    <n v="159"/>
  </r>
  <r>
    <x v="27"/>
    <n v="99"/>
  </r>
  <r>
    <x v="80"/>
    <n v="157"/>
  </r>
  <r>
    <x v="59"/>
    <n v="123"/>
  </r>
  <r>
    <x v="101"/>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2518"/>
    <x v="0"/>
  </r>
  <r>
    <n v="6430"/>
    <x v="1"/>
  </r>
  <r>
    <n v="1798"/>
    <x v="1"/>
  </r>
  <r>
    <n v="5255"/>
    <x v="1"/>
  </r>
  <r>
    <n v="2854"/>
    <x v="1"/>
  </r>
  <r>
    <n v="6735"/>
    <x v="2"/>
  </r>
  <r>
    <n v="2995"/>
    <x v="3"/>
  </r>
  <r>
    <n v="5120"/>
    <x v="0"/>
  </r>
  <r>
    <n v="6063"/>
    <x v="4"/>
  </r>
  <r>
    <n v="6896"/>
    <x v="3"/>
  </r>
  <r>
    <n v="8447"/>
    <x v="4"/>
  </r>
  <r>
    <n v="1433"/>
    <x v="3"/>
  </r>
  <r>
    <n v="4511"/>
    <x v="0"/>
  </r>
  <r>
    <n v="9966"/>
    <x v="0"/>
  </r>
  <r>
    <n v="7093"/>
    <x v="1"/>
  </r>
  <r>
    <n v="4351"/>
    <x v="2"/>
  </r>
  <r>
    <n v="6007"/>
    <x v="0"/>
  </r>
  <r>
    <n v="9710"/>
    <x v="1"/>
  </r>
  <r>
    <n v="9034"/>
    <x v="4"/>
  </r>
  <r>
    <n v="6197"/>
    <x v="3"/>
  </r>
  <r>
    <n v="2820"/>
    <x v="1"/>
  </r>
  <r>
    <n v="1101"/>
    <x v="2"/>
  </r>
  <r>
    <n v="1650"/>
    <x v="2"/>
  </r>
  <r>
    <n v="4884"/>
    <x v="3"/>
  </r>
  <r>
    <n v="8321"/>
    <x v="2"/>
  </r>
  <r>
    <n v="2381"/>
    <x v="1"/>
  </r>
  <r>
    <n v="9507"/>
    <x v="2"/>
  </r>
  <r>
    <n v="2851"/>
    <x v="4"/>
  </r>
  <r>
    <n v="4083"/>
    <x v="3"/>
  </r>
  <r>
    <n v="4608"/>
    <x v="1"/>
  </r>
  <r>
    <n v="4815"/>
    <x v="1"/>
  </r>
  <r>
    <n v="9597"/>
    <x v="0"/>
  </r>
  <r>
    <n v="6566"/>
    <x v="3"/>
  </r>
  <r>
    <n v="1419"/>
    <x v="0"/>
  </r>
  <r>
    <n v="9470"/>
    <x v="2"/>
  </r>
  <r>
    <n v="4989"/>
    <x v="2"/>
  </r>
  <r>
    <n v="9389"/>
    <x v="0"/>
  </r>
  <r>
    <n v="7728"/>
    <x v="0"/>
  </r>
  <r>
    <n v="7943"/>
    <x v="1"/>
  </r>
  <r>
    <n v="2490"/>
    <x v="0"/>
  </r>
  <r>
    <n v="5042"/>
    <x v="2"/>
  </r>
  <r>
    <n v="3620"/>
    <x v="3"/>
  </r>
  <r>
    <n v="8976"/>
    <x v="4"/>
  </r>
  <r>
    <n v="1570"/>
    <x v="0"/>
  </r>
  <r>
    <n v="7709"/>
    <x v="4"/>
  </r>
  <r>
    <n v="9503"/>
    <x v="3"/>
  </r>
  <r>
    <n v="9564"/>
    <x v="3"/>
  </r>
  <r>
    <n v="8934"/>
    <x v="1"/>
  </r>
  <r>
    <n v="1222"/>
    <x v="2"/>
  </r>
  <r>
    <n v="5762"/>
    <x v="3"/>
  </r>
  <r>
    <n v="4066"/>
    <x v="3"/>
  </r>
  <r>
    <n v="6469"/>
    <x v="3"/>
  </r>
  <r>
    <n v="1364"/>
    <x v="3"/>
  </r>
  <r>
    <n v="4197"/>
    <x v="1"/>
  </r>
  <r>
    <n v="9700"/>
    <x v="3"/>
  </r>
  <r>
    <n v="5644"/>
    <x v="4"/>
  </r>
  <r>
    <n v="5420"/>
    <x v="0"/>
  </r>
  <r>
    <n v="7560"/>
    <x v="0"/>
  </r>
  <r>
    <n v="9644"/>
    <x v="1"/>
  </r>
  <r>
    <n v="7239"/>
    <x v="3"/>
  </r>
  <r>
    <n v="6415"/>
    <x v="0"/>
  </r>
  <r>
    <n v="9020"/>
    <x v="2"/>
  </r>
  <r>
    <n v="2324"/>
    <x v="4"/>
  </r>
  <r>
    <n v="1354"/>
    <x v="4"/>
  </r>
  <r>
    <n v="4019"/>
    <x v="2"/>
  </r>
  <r>
    <n v="6178"/>
    <x v="0"/>
  </r>
  <r>
    <n v="8673"/>
    <x v="2"/>
  </r>
  <r>
    <n v="8250"/>
    <x v="4"/>
  </r>
  <r>
    <n v="1609"/>
    <x v="2"/>
  </r>
  <r>
    <n v="3806"/>
    <x v="4"/>
  </r>
  <r>
    <n v="7973"/>
    <x v="2"/>
  </r>
  <r>
    <n v="7948"/>
    <x v="3"/>
  </r>
  <r>
    <n v="3195"/>
    <x v="0"/>
  </r>
  <r>
    <n v="6285"/>
    <x v="2"/>
  </r>
  <r>
    <n v="4303"/>
    <x v="2"/>
  </r>
  <r>
    <n v="7751"/>
    <x v="0"/>
  </r>
  <r>
    <n v="7813"/>
    <x v="2"/>
  </r>
  <r>
    <n v="9028"/>
    <x v="0"/>
  </r>
  <r>
    <n v="6109"/>
    <x v="4"/>
  </r>
  <r>
    <n v="2565"/>
    <x v="4"/>
  </r>
  <r>
    <n v="7551"/>
    <x v="0"/>
  </r>
  <r>
    <n v="6398"/>
    <x v="2"/>
  </r>
  <r>
    <n v="4982"/>
    <x v="4"/>
  </r>
  <r>
    <n v="8108"/>
    <x v="0"/>
  </r>
  <r>
    <n v="6779"/>
    <x v="0"/>
  </r>
  <r>
    <n v="1169"/>
    <x v="3"/>
  </r>
  <r>
    <n v="5067"/>
    <x v="0"/>
  </r>
  <r>
    <n v="5299"/>
    <x v="4"/>
  </r>
  <r>
    <n v="3978"/>
    <x v="4"/>
  </r>
  <r>
    <n v="8634"/>
    <x v="4"/>
  </r>
  <r>
    <n v="9635"/>
    <x v="4"/>
  </r>
  <r>
    <n v="1776"/>
    <x v="1"/>
  </r>
  <r>
    <n v="9703"/>
    <x v="0"/>
  </r>
  <r>
    <n v="3498"/>
    <x v="0"/>
  </r>
  <r>
    <n v="4260"/>
    <x v="0"/>
  </r>
  <r>
    <n v="7152"/>
    <x v="3"/>
  </r>
  <r>
    <n v="2457"/>
    <x v="4"/>
  </r>
  <r>
    <n v="8530"/>
    <x v="2"/>
  </r>
  <r>
    <n v="9131"/>
    <x v="1"/>
  </r>
  <r>
    <n v="9770"/>
    <x v="2"/>
  </r>
  <r>
    <n v="8095"/>
    <x v="2"/>
  </r>
  <r>
    <n v="3763"/>
    <x v="0"/>
  </r>
  <r>
    <n v="4346"/>
    <x v="0"/>
  </r>
  <r>
    <n v="5866"/>
    <x v="3"/>
  </r>
  <r>
    <n v="5865"/>
    <x v="2"/>
  </r>
  <r>
    <n v="9398"/>
    <x v="2"/>
  </r>
  <r>
    <n v="9695"/>
    <x v="0"/>
  </r>
  <r>
    <n v="8805"/>
    <x v="3"/>
  </r>
  <r>
    <n v="8353"/>
    <x v="4"/>
  </r>
  <r>
    <n v="3178"/>
    <x v="4"/>
  </r>
  <r>
    <n v="4917"/>
    <x v="0"/>
  </r>
  <r>
    <n v="8878"/>
    <x v="0"/>
  </r>
  <r>
    <n v="3810"/>
    <x v="0"/>
  </r>
  <r>
    <n v="9353"/>
    <x v="0"/>
  </r>
  <r>
    <n v="1672"/>
    <x v="2"/>
  </r>
  <r>
    <n v="6650"/>
    <x v="1"/>
  </r>
  <r>
    <n v="2581"/>
    <x v="4"/>
  </r>
  <r>
    <n v="6860"/>
    <x v="2"/>
  </r>
  <r>
    <n v="4584"/>
    <x v="0"/>
  </r>
  <r>
    <n v="3354"/>
    <x v="3"/>
  </r>
  <r>
    <n v="4668"/>
    <x v="3"/>
  </r>
  <r>
    <n v="6684"/>
    <x v="4"/>
  </r>
  <r>
    <n v="8058"/>
    <x v="1"/>
  </r>
  <r>
    <n v="3035"/>
    <x v="1"/>
  </r>
  <r>
    <n v="2146"/>
    <x v="4"/>
  </r>
  <r>
    <n v="5761"/>
    <x v="1"/>
  </r>
  <r>
    <n v="5256"/>
    <x v="4"/>
  </r>
  <r>
    <n v="5995"/>
    <x v="0"/>
  </r>
  <r>
    <n v="4155"/>
    <x v="3"/>
  </r>
  <r>
    <n v="1851"/>
    <x v="1"/>
  </r>
  <r>
    <n v="8068"/>
    <x v="4"/>
  </r>
  <r>
    <n v="8425"/>
    <x v="3"/>
  </r>
  <r>
    <n v="4706"/>
    <x v="1"/>
  </r>
  <r>
    <n v="7544"/>
    <x v="0"/>
  </r>
  <r>
    <n v="4029"/>
    <x v="0"/>
  </r>
  <r>
    <n v="6117"/>
    <x v="4"/>
  </r>
  <r>
    <n v="1408"/>
    <x v="3"/>
  </r>
  <r>
    <n v="8396"/>
    <x v="2"/>
  </r>
  <r>
    <n v="6806"/>
    <x v="3"/>
  </r>
  <r>
    <n v="3496"/>
    <x v="4"/>
  </r>
  <r>
    <n v="7840"/>
    <x v="2"/>
  </r>
  <r>
    <n v="2099"/>
    <x v="1"/>
  </r>
  <r>
    <n v="6518"/>
    <x v="2"/>
  </r>
  <r>
    <n v="1976"/>
    <x v="4"/>
  </r>
  <r>
    <n v="8777"/>
    <x v="0"/>
  </r>
  <r>
    <n v="1576"/>
    <x v="2"/>
  </r>
  <r>
    <n v="7979"/>
    <x v="0"/>
  </r>
  <r>
    <n v="6300"/>
    <x v="3"/>
  </r>
  <r>
    <n v="1003"/>
    <x v="0"/>
  </r>
  <r>
    <n v="8238"/>
    <x v="0"/>
  </r>
  <r>
    <n v="8261"/>
    <x v="3"/>
  </r>
  <r>
    <n v="7729"/>
    <x v="1"/>
  </r>
  <r>
    <n v="8616"/>
    <x v="0"/>
  </r>
  <r>
    <n v="9734"/>
    <x v="3"/>
  </r>
  <r>
    <n v="2086"/>
    <x v="1"/>
  </r>
  <r>
    <n v="8721"/>
    <x v="2"/>
  </r>
  <r>
    <n v="1075"/>
    <x v="4"/>
  </r>
  <r>
    <n v="2690"/>
    <x v="0"/>
  </r>
  <r>
    <n v="7654"/>
    <x v="2"/>
  </r>
  <r>
    <n v="7577"/>
    <x v="4"/>
  </r>
  <r>
    <n v="9814"/>
    <x v="2"/>
  </r>
  <r>
    <n v="5423"/>
    <x v="0"/>
  </r>
  <r>
    <n v="2660"/>
    <x v="4"/>
  </r>
  <r>
    <n v="4206"/>
    <x v="2"/>
  </r>
  <r>
    <n v="5269"/>
    <x v="4"/>
  </r>
  <r>
    <n v="7922"/>
    <x v="4"/>
  </r>
  <r>
    <n v="7829"/>
    <x v="3"/>
  </r>
  <r>
    <n v="1715"/>
    <x v="0"/>
  </r>
  <r>
    <n v="2639"/>
    <x v="0"/>
  </r>
  <r>
    <n v="1801"/>
    <x v="1"/>
  </r>
  <r>
    <n v="9163"/>
    <x v="0"/>
  </r>
  <r>
    <n v="1284"/>
    <x v="3"/>
  </r>
  <r>
    <n v="8774"/>
    <x v="2"/>
  </r>
  <r>
    <n v="3866"/>
    <x v="3"/>
  </r>
  <r>
    <n v="4477"/>
    <x v="0"/>
  </r>
  <r>
    <n v="4829"/>
    <x v="0"/>
  </r>
  <r>
    <n v="1257"/>
    <x v="4"/>
  </r>
  <r>
    <n v="1897"/>
    <x v="0"/>
  </r>
  <r>
    <n v="3603"/>
    <x v="1"/>
  </r>
  <r>
    <n v="9256"/>
    <x v="2"/>
  </r>
  <r>
    <n v="9469"/>
    <x v="3"/>
  </r>
  <r>
    <n v="7136"/>
    <x v="0"/>
  </r>
  <r>
    <n v="2321"/>
    <x v="1"/>
  </r>
  <r>
    <n v="4243"/>
    <x v="4"/>
  </r>
  <r>
    <n v="8015"/>
    <x v="1"/>
  </r>
  <r>
    <n v="3440"/>
    <x v="4"/>
  </r>
  <r>
    <n v="9914"/>
    <x v="0"/>
  </r>
  <r>
    <n v="5045"/>
    <x v="4"/>
  </r>
  <r>
    <n v="1379"/>
    <x v="3"/>
  </r>
  <r>
    <n v="6099"/>
    <x v="0"/>
  </r>
  <r>
    <n v="4696"/>
    <x v="3"/>
  </r>
  <r>
    <n v="4808"/>
    <x v="1"/>
  </r>
  <r>
    <n v="3633"/>
    <x v="0"/>
  </r>
  <r>
    <n v="4979"/>
    <x v="3"/>
  </r>
  <r>
    <n v="2214"/>
    <x v="0"/>
  </r>
  <r>
    <n v="6606"/>
    <x v="0"/>
  </r>
  <r>
    <n v="4246"/>
    <x v="2"/>
  </r>
  <r>
    <n v="2836"/>
    <x v="1"/>
  </r>
  <r>
    <n v="6963"/>
    <x v="4"/>
  </r>
  <r>
    <n v="2243"/>
    <x v="1"/>
  </r>
  <r>
    <n v="5081"/>
    <x v="2"/>
  </r>
  <r>
    <n v="4171"/>
    <x v="2"/>
  </r>
  <r>
    <n v="7399"/>
    <x v="4"/>
  </r>
  <r>
    <n v="1110"/>
    <x v="4"/>
  </r>
  <r>
    <n v="5630"/>
    <x v="2"/>
  </r>
  <r>
    <n v="9430"/>
    <x v="2"/>
  </r>
  <r>
    <n v="7436"/>
    <x v="2"/>
  </r>
  <r>
    <n v="2147"/>
    <x v="3"/>
  </r>
  <r>
    <n v="3264"/>
    <x v="0"/>
  </r>
  <r>
    <n v="1214"/>
    <x v="3"/>
  </r>
  <r>
    <n v="6050"/>
    <x v="0"/>
  </r>
  <r>
    <n v="7395"/>
    <x v="2"/>
  </r>
  <r>
    <n v="3904"/>
    <x v="4"/>
  </r>
  <r>
    <n v="6545"/>
    <x v="3"/>
  </r>
  <r>
    <n v="3131"/>
    <x v="3"/>
  </r>
  <r>
    <n v="8589"/>
    <x v="1"/>
  </r>
  <r>
    <n v="2908"/>
    <x v="2"/>
  </r>
  <r>
    <n v="5209"/>
    <x v="0"/>
  </r>
  <r>
    <n v="2319"/>
    <x v="0"/>
  </r>
  <r>
    <n v="9026"/>
    <x v="4"/>
  </r>
  <r>
    <n v="2723"/>
    <x v="0"/>
  </r>
  <r>
    <n v="5487"/>
    <x v="3"/>
  </r>
  <r>
    <n v="4656"/>
    <x v="2"/>
  </r>
  <r>
    <n v="5718"/>
    <x v="0"/>
  </r>
  <r>
    <n v="1215"/>
    <x v="4"/>
  </r>
  <r>
    <n v="3427"/>
    <x v="4"/>
  </r>
  <r>
    <n v="2428"/>
    <x v="0"/>
  </r>
  <r>
    <n v="1947"/>
    <x v="2"/>
  </r>
  <r>
    <n v="5036"/>
    <x v="0"/>
  </r>
  <r>
    <n v="5857"/>
    <x v="2"/>
  </r>
  <r>
    <n v="8770"/>
    <x v="2"/>
  </r>
  <r>
    <n v="4118"/>
    <x v="0"/>
  </r>
  <r>
    <n v="7162"/>
    <x v="2"/>
  </r>
  <r>
    <n v="9278"/>
    <x v="4"/>
  </r>
  <r>
    <n v="5406"/>
    <x v="0"/>
  </r>
  <r>
    <n v="4641"/>
    <x v="4"/>
  </r>
  <r>
    <n v="3969"/>
    <x v="4"/>
  </r>
  <r>
    <n v="3078"/>
    <x v="2"/>
  </r>
  <r>
    <n v="2808"/>
    <x v="2"/>
  </r>
  <r>
    <n v="7484"/>
    <x v="0"/>
  </r>
  <r>
    <n v="2396"/>
    <x v="3"/>
  </r>
  <r>
    <n v="2472"/>
    <x v="4"/>
  </r>
  <r>
    <n v="7939"/>
    <x v="1"/>
  </r>
  <r>
    <n v="8269"/>
    <x v="2"/>
  </r>
  <r>
    <n v="9073"/>
    <x v="4"/>
  </r>
  <r>
    <n v="9879"/>
    <x v="4"/>
  </r>
  <r>
    <n v="3822"/>
    <x v="0"/>
  </r>
  <r>
    <n v="9183"/>
    <x v="1"/>
  </r>
  <r>
    <n v="8674"/>
    <x v="2"/>
  </r>
  <r>
    <n v="2481"/>
    <x v="2"/>
  </r>
  <r>
    <n v="8729"/>
    <x v="3"/>
  </r>
  <r>
    <n v="5534"/>
    <x v="1"/>
  </r>
  <r>
    <n v="9785"/>
    <x v="1"/>
  </r>
  <r>
    <n v="9609"/>
    <x v="1"/>
  </r>
  <r>
    <n v="2829"/>
    <x v="3"/>
  </r>
  <r>
    <n v="1714"/>
    <x v="2"/>
  </r>
  <r>
    <n v="4475"/>
    <x v="3"/>
  </r>
  <r>
    <n v="9820"/>
    <x v="2"/>
  </r>
  <r>
    <n v="3261"/>
    <x v="3"/>
  </r>
  <r>
    <n v="6130"/>
    <x v="1"/>
  </r>
  <r>
    <n v="9399"/>
    <x v="0"/>
  </r>
  <r>
    <n v="6047"/>
    <x v="4"/>
  </r>
  <r>
    <n v="7789"/>
    <x v="4"/>
  </r>
  <r>
    <n v="6111"/>
    <x v="2"/>
  </r>
  <r>
    <n v="4968"/>
    <x v="3"/>
  </r>
  <r>
    <n v="2739"/>
    <x v="1"/>
  </r>
  <r>
    <n v="6974"/>
    <x v="2"/>
  </r>
  <r>
    <n v="1784"/>
    <x v="1"/>
  </r>
  <r>
    <n v="8077"/>
    <x v="0"/>
  </r>
  <r>
    <n v="2727"/>
    <x v="4"/>
  </r>
  <r>
    <n v="7661"/>
    <x v="2"/>
  </r>
  <r>
    <n v="5083"/>
    <x v="3"/>
  </r>
  <r>
    <n v="7275"/>
    <x v="2"/>
  </r>
  <r>
    <n v="7316"/>
    <x v="2"/>
  </r>
  <r>
    <n v="4497"/>
    <x v="0"/>
  </r>
  <r>
    <n v="8685"/>
    <x v="2"/>
  </r>
  <r>
    <n v="8583"/>
    <x v="3"/>
  </r>
  <r>
    <n v="1062"/>
    <x v="0"/>
  </r>
  <r>
    <n v="2593"/>
    <x v="0"/>
  </r>
  <r>
    <n v="3951"/>
    <x v="4"/>
  </r>
  <r>
    <n v="8580"/>
    <x v="1"/>
  </r>
  <r>
    <n v="4372"/>
    <x v="3"/>
  </r>
  <r>
    <n v="4463"/>
    <x v="3"/>
  </r>
  <r>
    <n v="7498"/>
    <x v="3"/>
  </r>
  <r>
    <n v="9618"/>
    <x v="2"/>
  </r>
  <r>
    <n v="1813"/>
    <x v="1"/>
  </r>
  <r>
    <n v="3009"/>
    <x v="1"/>
  </r>
  <r>
    <n v="8210"/>
    <x v="0"/>
  </r>
  <r>
    <n v="8439"/>
    <x v="1"/>
  </r>
  <r>
    <n v="8310"/>
    <x v="0"/>
  </r>
  <r>
    <n v="6369"/>
    <x v="1"/>
  </r>
  <r>
    <n v="5721"/>
    <x v="4"/>
  </r>
  <r>
    <n v="4204"/>
    <x v="4"/>
  </r>
  <r>
    <n v="5666"/>
    <x v="3"/>
  </r>
  <r>
    <n v="5943"/>
    <x v="1"/>
  </r>
  <r>
    <n v="3202"/>
    <x v="0"/>
  </r>
  <r>
    <n v="4512"/>
    <x v="0"/>
  </r>
  <r>
    <n v="2075"/>
    <x v="2"/>
  </r>
  <r>
    <n v="4057"/>
    <x v="0"/>
  </r>
  <r>
    <n v="5537"/>
    <x v="4"/>
  </r>
  <r>
    <n v="9520"/>
    <x v="4"/>
  </r>
  <r>
    <n v="1081"/>
    <x v="4"/>
  </r>
  <r>
    <n v="7621"/>
    <x v="4"/>
  </r>
  <r>
    <n v="4558"/>
    <x v="3"/>
  </r>
  <r>
    <n v="6628"/>
    <x v="0"/>
  </r>
  <r>
    <n v="7643"/>
    <x v="0"/>
  </r>
  <r>
    <n v="4709"/>
    <x v="1"/>
  </r>
  <r>
    <n v="8408"/>
    <x v="0"/>
  </r>
  <r>
    <n v="3530"/>
    <x v="1"/>
  </r>
  <r>
    <n v="3779"/>
    <x v="4"/>
  </r>
  <r>
    <n v="8564"/>
    <x v="0"/>
  </r>
  <r>
    <n v="8731"/>
    <x v="0"/>
  </r>
  <r>
    <n v="5000"/>
    <x v="0"/>
  </r>
  <r>
    <n v="3882"/>
    <x v="3"/>
  </r>
  <r>
    <n v="4551"/>
    <x v="4"/>
  </r>
  <r>
    <n v="7970"/>
    <x v="0"/>
  </r>
  <r>
    <n v="2466"/>
    <x v="3"/>
  </r>
  <r>
    <n v="1303"/>
    <x v="1"/>
  </r>
  <r>
    <n v="9832"/>
    <x v="3"/>
  </r>
  <r>
    <n v="3618"/>
    <x v="1"/>
  </r>
  <r>
    <n v="7424"/>
    <x v="4"/>
  </r>
  <r>
    <n v="8414"/>
    <x v="3"/>
  </r>
  <r>
    <n v="5688"/>
    <x v="0"/>
  </r>
  <r>
    <n v="2062"/>
    <x v="2"/>
  </r>
  <r>
    <n v="5031"/>
    <x v="1"/>
  </r>
  <r>
    <n v="1162"/>
    <x v="2"/>
  </r>
  <r>
    <n v="6564"/>
    <x v="3"/>
  </r>
  <r>
    <n v="9298"/>
    <x v="4"/>
  </r>
  <r>
    <n v="4216"/>
    <x v="0"/>
  </r>
  <r>
    <n v="3677"/>
    <x v="0"/>
  </r>
  <r>
    <n v="8453"/>
    <x v="3"/>
  </r>
  <r>
    <n v="6231"/>
    <x v="3"/>
  </r>
  <r>
    <n v="1481"/>
    <x v="0"/>
  </r>
  <r>
    <n v="7400"/>
    <x v="1"/>
  </r>
  <r>
    <n v="7447"/>
    <x v="2"/>
  </r>
  <r>
    <n v="4597"/>
    <x v="4"/>
  </r>
  <r>
    <n v="3173"/>
    <x v="1"/>
  </r>
  <r>
    <n v="9514"/>
    <x v="3"/>
  </r>
  <r>
    <n v="4985"/>
    <x v="1"/>
  </r>
  <r>
    <n v="4486"/>
    <x v="1"/>
  </r>
  <r>
    <n v="8756"/>
    <x v="0"/>
  </r>
  <r>
    <n v="9121"/>
    <x v="3"/>
  </r>
  <r>
    <n v="6471"/>
    <x v="1"/>
  </r>
  <r>
    <n v="6601"/>
    <x v="2"/>
  </r>
  <r>
    <n v="4340"/>
    <x v="3"/>
  </r>
  <r>
    <n v="5112"/>
    <x v="2"/>
  </r>
  <r>
    <n v="5700"/>
    <x v="3"/>
  </r>
  <r>
    <n v="8617"/>
    <x v="3"/>
  </r>
  <r>
    <n v="9149"/>
    <x v="2"/>
  </r>
  <r>
    <n v="8651"/>
    <x v="4"/>
  </r>
  <r>
    <n v="1495"/>
    <x v="0"/>
  </r>
  <r>
    <n v="7359"/>
    <x v="3"/>
  </r>
  <r>
    <n v="6525"/>
    <x v="4"/>
  </r>
  <r>
    <n v="7207"/>
    <x v="3"/>
  </r>
  <r>
    <n v="2361"/>
    <x v="4"/>
  </r>
  <r>
    <n v="8766"/>
    <x v="2"/>
  </r>
  <r>
    <n v="7236"/>
    <x v="3"/>
  </r>
  <r>
    <n v="8605"/>
    <x v="4"/>
  </r>
  <r>
    <n v="1055"/>
    <x v="1"/>
  </r>
  <r>
    <n v="7986"/>
    <x v="4"/>
  </r>
  <r>
    <n v="6170"/>
    <x v="1"/>
  </r>
  <r>
    <n v="7172"/>
    <x v="2"/>
  </r>
  <r>
    <n v="7408"/>
    <x v="1"/>
  </r>
  <r>
    <n v="7274"/>
    <x v="1"/>
  </r>
  <r>
    <n v="6001"/>
    <x v="2"/>
  </r>
  <r>
    <n v="9418"/>
    <x v="4"/>
  </r>
  <r>
    <n v="9354"/>
    <x v="4"/>
  </r>
  <r>
    <n v="8122"/>
    <x v="0"/>
  </r>
  <r>
    <n v="1765"/>
    <x v="4"/>
  </r>
  <r>
    <n v="5352"/>
    <x v="1"/>
  </r>
  <r>
    <n v="7578"/>
    <x v="1"/>
  </r>
  <r>
    <n v="8912"/>
    <x v="4"/>
  </r>
  <r>
    <n v="6641"/>
    <x v="3"/>
  </r>
  <r>
    <n v="9664"/>
    <x v="3"/>
  </r>
  <r>
    <n v="9134"/>
    <x v="3"/>
  </r>
  <r>
    <n v="6663"/>
    <x v="4"/>
  </r>
  <r>
    <n v="9800"/>
    <x v="0"/>
  </r>
  <r>
    <n v="2363"/>
    <x v="0"/>
  </r>
  <r>
    <n v="4875"/>
    <x v="0"/>
  </r>
  <r>
    <n v="8961"/>
    <x v="1"/>
  </r>
  <r>
    <n v="1539"/>
    <x v="3"/>
  </r>
  <r>
    <n v="4037"/>
    <x v="4"/>
  </r>
  <r>
    <n v="4239"/>
    <x v="0"/>
  </r>
  <r>
    <n v="4364"/>
    <x v="1"/>
  </r>
  <r>
    <n v="8946"/>
    <x v="0"/>
  </r>
  <r>
    <n v="5911"/>
    <x v="4"/>
  </r>
  <r>
    <n v="8033"/>
    <x v="4"/>
  </r>
  <r>
    <n v="6603"/>
    <x v="1"/>
  </r>
  <r>
    <n v="9630"/>
    <x v="3"/>
  </r>
  <r>
    <n v="1691"/>
    <x v="2"/>
  </r>
  <r>
    <n v="5590"/>
    <x v="0"/>
  </r>
  <r>
    <n v="8645"/>
    <x v="2"/>
  </r>
  <r>
    <n v="7663"/>
    <x v="1"/>
  </r>
  <r>
    <n v="2647"/>
    <x v="4"/>
  </r>
  <r>
    <n v="6539"/>
    <x v="2"/>
  </r>
  <r>
    <n v="3472"/>
    <x v="0"/>
  </r>
  <r>
    <n v="4314"/>
    <x v="2"/>
  </r>
  <r>
    <n v="6739"/>
    <x v="3"/>
  </r>
  <r>
    <n v="6368"/>
    <x v="4"/>
  </r>
  <r>
    <n v="7309"/>
    <x v="2"/>
  </r>
  <r>
    <n v="3976"/>
    <x v="3"/>
  </r>
  <r>
    <n v="7230"/>
    <x v="2"/>
  </r>
  <r>
    <n v="8888"/>
    <x v="0"/>
  </r>
  <r>
    <n v="1194"/>
    <x v="3"/>
  </r>
  <r>
    <n v="6983"/>
    <x v="0"/>
  </r>
  <r>
    <n v="1413"/>
    <x v="0"/>
  </r>
  <r>
    <n v="9509"/>
    <x v="2"/>
  </r>
  <r>
    <n v="6330"/>
    <x v="4"/>
  </r>
  <r>
    <n v="2504"/>
    <x v="0"/>
  </r>
  <r>
    <n v="6593"/>
    <x v="1"/>
  </r>
  <r>
    <n v="9537"/>
    <x v="2"/>
  </r>
  <r>
    <n v="9628"/>
    <x v="3"/>
  </r>
  <r>
    <n v="4024"/>
    <x v="4"/>
  </r>
  <r>
    <n v="5321"/>
    <x v="1"/>
  </r>
  <r>
    <n v="3926"/>
    <x v="2"/>
  </r>
  <r>
    <n v="8738"/>
    <x v="2"/>
  </r>
  <r>
    <n v="2701"/>
    <x v="1"/>
  </r>
  <r>
    <n v="5339"/>
    <x v="1"/>
  </r>
  <r>
    <n v="1612"/>
    <x v="4"/>
  </r>
  <r>
    <n v="5407"/>
    <x v="3"/>
  </r>
  <r>
    <n v="8225"/>
    <x v="3"/>
  </r>
  <r>
    <n v="4714"/>
    <x v="1"/>
  </r>
  <r>
    <n v="3826"/>
    <x v="4"/>
  </r>
  <r>
    <n v="3781"/>
    <x v="3"/>
  </r>
  <r>
    <n v="5635"/>
    <x v="4"/>
  </r>
  <r>
    <n v="2291"/>
    <x v="1"/>
  </r>
  <r>
    <n v="3119"/>
    <x v="2"/>
  </r>
  <r>
    <n v="5280"/>
    <x v="0"/>
  </r>
  <r>
    <n v="2546"/>
    <x v="0"/>
  </r>
  <r>
    <n v="5975"/>
    <x v="2"/>
  </r>
  <r>
    <n v="9113"/>
    <x v="1"/>
  </r>
  <r>
    <n v="6250"/>
    <x v="3"/>
  </r>
  <r>
    <n v="6190"/>
    <x v="4"/>
  </r>
  <r>
    <n v="5713"/>
    <x v="1"/>
  </r>
  <r>
    <n v="1932"/>
    <x v="0"/>
  </r>
  <r>
    <n v="6527"/>
    <x v="1"/>
  </r>
  <r>
    <n v="9363"/>
    <x v="0"/>
  </r>
  <r>
    <n v="5019"/>
    <x v="3"/>
  </r>
  <r>
    <n v="9258"/>
    <x v="0"/>
  </r>
  <r>
    <n v="7512"/>
    <x v="3"/>
  </r>
  <r>
    <n v="8195"/>
    <x v="4"/>
  </r>
  <r>
    <n v="8242"/>
    <x v="0"/>
  </r>
  <r>
    <n v="2220"/>
    <x v="3"/>
  </r>
  <r>
    <n v="9308"/>
    <x v="4"/>
  </r>
  <r>
    <n v="3437"/>
    <x v="3"/>
  </r>
  <r>
    <n v="8305"/>
    <x v="0"/>
  </r>
  <r>
    <n v="6773"/>
    <x v="1"/>
  </r>
  <r>
    <n v="3010"/>
    <x v="4"/>
  </r>
  <r>
    <n v="3622"/>
    <x v="2"/>
  </r>
  <r>
    <n v="6006"/>
    <x v="0"/>
  </r>
  <r>
    <n v="1338"/>
    <x v="2"/>
  </r>
  <r>
    <n v="6722"/>
    <x v="2"/>
  </r>
  <r>
    <n v="5871"/>
    <x v="3"/>
  </r>
  <r>
    <n v="9290"/>
    <x v="2"/>
  </r>
  <r>
    <n v="8567"/>
    <x v="3"/>
  </r>
  <r>
    <n v="5253"/>
    <x v="1"/>
  </r>
  <r>
    <n v="8172"/>
    <x v="4"/>
  </r>
  <r>
    <n v="2154"/>
    <x v="4"/>
  </r>
  <r>
    <n v="5013"/>
    <x v="0"/>
  </r>
  <r>
    <n v="4211"/>
    <x v="3"/>
  </r>
  <r>
    <n v="4408"/>
    <x v="1"/>
  </r>
  <r>
    <n v="8473"/>
    <x v="0"/>
  </r>
  <r>
    <n v="7510"/>
    <x v="3"/>
  </r>
  <r>
    <n v="5376"/>
    <x v="3"/>
  </r>
  <r>
    <n v="8005"/>
    <x v="2"/>
  </r>
  <r>
    <n v="7439"/>
    <x v="4"/>
  </r>
  <r>
    <n v="3699"/>
    <x v="4"/>
  </r>
  <r>
    <n v="3162"/>
    <x v="0"/>
  </r>
  <r>
    <n v="8798"/>
    <x v="4"/>
  </r>
  <r>
    <n v="6400"/>
    <x v="4"/>
  </r>
  <r>
    <n v="9404"/>
    <x v="2"/>
  </r>
  <r>
    <n v="8151"/>
    <x v="1"/>
  </r>
  <r>
    <n v="7742"/>
    <x v="4"/>
  </r>
  <r>
    <n v="4553"/>
    <x v="2"/>
  </r>
  <r>
    <n v="6919"/>
    <x v="2"/>
  </r>
  <r>
    <n v="7168"/>
    <x v="0"/>
  </r>
  <r>
    <n v="6474"/>
    <x v="1"/>
  </r>
  <r>
    <n v="4242"/>
    <x v="4"/>
  </r>
  <r>
    <n v="3395"/>
    <x v="2"/>
  </r>
  <r>
    <n v="8694"/>
    <x v="2"/>
  </r>
  <r>
    <n v="7150"/>
    <x v="3"/>
  </r>
  <r>
    <n v="4111"/>
    <x v="2"/>
  </r>
  <r>
    <n v="3532"/>
    <x v="2"/>
  </r>
  <r>
    <n v="5375"/>
    <x v="3"/>
  </r>
  <r>
    <n v="8881"/>
    <x v="1"/>
  </r>
  <r>
    <n v="1235"/>
    <x v="4"/>
  </r>
  <r>
    <n v="2533"/>
    <x v="2"/>
  </r>
  <r>
    <n v="2734"/>
    <x v="4"/>
  </r>
  <r>
    <n v="4129"/>
    <x v="3"/>
  </r>
  <r>
    <n v="3762"/>
    <x v="1"/>
  </r>
  <r>
    <n v="4341"/>
    <x v="0"/>
  </r>
  <r>
    <n v="6638"/>
    <x v="0"/>
  </r>
  <r>
    <n v="5861"/>
    <x v="3"/>
  </r>
  <r>
    <n v="8815"/>
    <x v="2"/>
  </r>
  <r>
    <n v="8793"/>
    <x v="3"/>
  </r>
  <r>
    <n v="3469"/>
    <x v="0"/>
  </r>
  <r>
    <n v="3654"/>
    <x v="1"/>
  </r>
  <r>
    <n v="9555"/>
    <x v="4"/>
  </r>
  <r>
    <n v="4028"/>
    <x v="3"/>
  </r>
  <r>
    <n v="9499"/>
    <x v="1"/>
  </r>
  <r>
    <n v="8628"/>
    <x v="3"/>
  </r>
  <r>
    <n v="9942"/>
    <x v="2"/>
  </r>
  <r>
    <n v="4044"/>
    <x v="3"/>
  </r>
  <r>
    <n v="8143"/>
    <x v="3"/>
  </r>
  <r>
    <n v="3984"/>
    <x v="4"/>
  </r>
  <r>
    <n v="9294"/>
    <x v="0"/>
  </r>
  <r>
    <n v="4769"/>
    <x v="0"/>
  </r>
  <r>
    <n v="8864"/>
    <x v="4"/>
  </r>
  <r>
    <n v="1857"/>
    <x v="3"/>
  </r>
  <r>
    <n v="5566"/>
    <x v="3"/>
  </r>
  <r>
    <n v="1373"/>
    <x v="3"/>
  </r>
  <r>
    <n v="6345"/>
    <x v="2"/>
  </r>
  <r>
    <n v="3234"/>
    <x v="2"/>
  </r>
  <r>
    <n v="6998"/>
    <x v="4"/>
  </r>
  <r>
    <n v="5809"/>
    <x v="1"/>
  </r>
  <r>
    <n v="6522"/>
    <x v="2"/>
  </r>
  <r>
    <n v="3892"/>
    <x v="1"/>
  </r>
  <r>
    <n v="4427"/>
    <x v="0"/>
  </r>
  <r>
    <n v="8145"/>
    <x v="1"/>
  </r>
  <r>
    <n v="1150"/>
    <x v="4"/>
  </r>
  <r>
    <n v="7366"/>
    <x v="4"/>
  </r>
  <r>
    <n v="3004"/>
    <x v="2"/>
  </r>
  <r>
    <n v="9934"/>
    <x v="1"/>
  </r>
  <r>
    <n v="1228"/>
    <x v="1"/>
  </r>
  <r>
    <n v="5806"/>
    <x v="4"/>
  </r>
  <r>
    <n v="7538"/>
    <x v="2"/>
  </r>
  <r>
    <n v="1035"/>
    <x v="4"/>
  </r>
  <r>
    <n v="8399"/>
    <x v="3"/>
  </r>
  <r>
    <n v="1912"/>
    <x v="1"/>
  </r>
  <r>
    <n v="6604"/>
    <x v="4"/>
  </r>
  <r>
    <n v="8952"/>
    <x v="4"/>
  </r>
  <r>
    <n v="2549"/>
    <x v="1"/>
  </r>
  <r>
    <n v="8954"/>
    <x v="0"/>
  </r>
  <r>
    <n v="1922"/>
    <x v="2"/>
  </r>
  <r>
    <n v="9861"/>
    <x v="0"/>
  </r>
  <r>
    <n v="4383"/>
    <x v="2"/>
  </r>
  <r>
    <n v="4328"/>
    <x v="0"/>
  </r>
  <r>
    <n v="4622"/>
    <x v="1"/>
  </r>
  <r>
    <n v="7828"/>
    <x v="4"/>
  </r>
  <r>
    <n v="1393"/>
    <x v="4"/>
  </r>
  <r>
    <n v="9239"/>
    <x v="2"/>
  </r>
  <r>
    <n v="1636"/>
    <x v="1"/>
  </r>
  <r>
    <n v="4401"/>
    <x v="4"/>
  </r>
  <r>
    <n v="7135"/>
    <x v="2"/>
  </r>
  <r>
    <n v="8923"/>
    <x v="2"/>
  </r>
  <r>
    <n v="9748"/>
    <x v="0"/>
  </r>
  <r>
    <n v="7046"/>
    <x v="0"/>
  </r>
  <r>
    <n v="9688"/>
    <x v="0"/>
  </r>
  <r>
    <n v="6720"/>
    <x v="1"/>
  </r>
  <r>
    <n v="2766"/>
    <x v="2"/>
  </r>
  <r>
    <n v="3847"/>
    <x v="3"/>
  </r>
  <r>
    <n v="8554"/>
    <x v="1"/>
  </r>
  <r>
    <n v="6569"/>
    <x v="0"/>
  </r>
  <r>
    <n v="6391"/>
    <x v="1"/>
  </r>
  <r>
    <n v="4883"/>
    <x v="4"/>
  </r>
  <r>
    <n v="4530"/>
    <x v="1"/>
  </r>
  <r>
    <n v="6531"/>
    <x v="3"/>
  </r>
  <r>
    <n v="9701"/>
    <x v="1"/>
  </r>
  <r>
    <n v="4702"/>
    <x v="1"/>
  </r>
  <r>
    <n v="3163"/>
    <x v="2"/>
  </r>
  <r>
    <n v="8719"/>
    <x v="0"/>
  </r>
  <r>
    <n v="1282"/>
    <x v="4"/>
  </r>
  <r>
    <n v="4538"/>
    <x v="2"/>
  </r>
  <r>
    <n v="9538"/>
    <x v="0"/>
  </r>
  <r>
    <n v="5109"/>
    <x v="1"/>
  </r>
  <r>
    <n v="7947"/>
    <x v="3"/>
  </r>
  <r>
    <n v="7546"/>
    <x v="2"/>
  </r>
  <r>
    <n v="4213"/>
    <x v="4"/>
  </r>
  <r>
    <n v="3135"/>
    <x v="1"/>
  </r>
  <r>
    <n v="9916"/>
    <x v="2"/>
  </r>
  <r>
    <n v="2784"/>
    <x v="4"/>
  </r>
  <r>
    <n v="5916"/>
    <x v="3"/>
  </r>
  <r>
    <n v="1674"/>
    <x v="0"/>
  </r>
  <r>
    <n v="2095"/>
    <x v="3"/>
  </r>
  <r>
    <n v="9594"/>
    <x v="3"/>
  </r>
  <r>
    <n v="6750"/>
    <x v="0"/>
  </r>
  <r>
    <n v="7235"/>
    <x v="2"/>
  </r>
  <r>
    <n v="3910"/>
    <x v="4"/>
  </r>
  <r>
    <n v="8190"/>
    <x v="2"/>
  </r>
  <r>
    <n v="5315"/>
    <x v="3"/>
  </r>
  <r>
    <n v="7503"/>
    <x v="4"/>
  </r>
  <r>
    <n v="5788"/>
    <x v="3"/>
  </r>
  <r>
    <n v="7030"/>
    <x v="2"/>
  </r>
  <r>
    <n v="6619"/>
    <x v="0"/>
  </r>
  <r>
    <n v="6319"/>
    <x v="1"/>
  </r>
  <r>
    <n v="6268"/>
    <x v="0"/>
  </r>
  <r>
    <n v="5016"/>
    <x v="2"/>
  </r>
  <r>
    <n v="3888"/>
    <x v="4"/>
  </r>
  <r>
    <n v="9918"/>
    <x v="3"/>
  </r>
  <r>
    <n v="7305"/>
    <x v="4"/>
  </r>
  <r>
    <n v="5719"/>
    <x v="4"/>
  </r>
  <r>
    <n v="2334"/>
    <x v="0"/>
  </r>
  <r>
    <n v="1006"/>
    <x v="2"/>
  </r>
  <r>
    <n v="6719"/>
    <x v="1"/>
  </r>
  <r>
    <n v="6138"/>
    <x v="0"/>
  </r>
  <r>
    <n v="1255"/>
    <x v="2"/>
  </r>
  <r>
    <n v="5528"/>
    <x v="2"/>
  </r>
  <r>
    <n v="2517"/>
    <x v="0"/>
  </r>
  <r>
    <n v="9593"/>
    <x v="1"/>
  </r>
  <r>
    <n v="7507"/>
    <x v="2"/>
  </r>
  <r>
    <n v="2884"/>
    <x v="4"/>
  </r>
  <r>
    <n v="6374"/>
    <x v="0"/>
  </r>
  <r>
    <n v="6888"/>
    <x v="0"/>
  </r>
  <r>
    <n v="2788"/>
    <x v="2"/>
  </r>
  <r>
    <n v="7892"/>
    <x v="0"/>
  </r>
  <r>
    <n v="4576"/>
    <x v="4"/>
  </r>
  <r>
    <n v="8901"/>
    <x v="4"/>
  </r>
  <r>
    <n v="5147"/>
    <x v="0"/>
  </r>
  <r>
    <n v="8646"/>
    <x v="3"/>
  </r>
  <r>
    <n v="8343"/>
    <x v="0"/>
  </r>
  <r>
    <n v="9332"/>
    <x v="2"/>
  </r>
  <r>
    <n v="7398"/>
    <x v="0"/>
  </r>
  <r>
    <n v="3572"/>
    <x v="4"/>
  </r>
  <r>
    <n v="4590"/>
    <x v="1"/>
  </r>
  <r>
    <n v="1831"/>
    <x v="2"/>
  </r>
  <r>
    <n v="6899"/>
    <x v="4"/>
  </r>
  <r>
    <n v="1148"/>
    <x v="4"/>
  </r>
  <r>
    <n v="3745"/>
    <x v="4"/>
  </r>
  <r>
    <n v="5084"/>
    <x v="2"/>
  </r>
  <r>
    <n v="7179"/>
    <x v="0"/>
  </r>
  <r>
    <n v="1005"/>
    <x v="3"/>
  </r>
  <r>
    <n v="6405"/>
    <x v="4"/>
  </r>
  <r>
    <n v="5215"/>
    <x v="2"/>
  </r>
  <r>
    <n v="7525"/>
    <x v="2"/>
  </r>
  <r>
    <n v="9115"/>
    <x v="3"/>
  </r>
  <r>
    <n v="6454"/>
    <x v="4"/>
  </r>
  <r>
    <n v="4781"/>
    <x v="4"/>
  </r>
  <r>
    <n v="5040"/>
    <x v="0"/>
  </r>
  <r>
    <n v="3209"/>
    <x v="0"/>
  </r>
  <r>
    <n v="8703"/>
    <x v="4"/>
  </r>
  <r>
    <n v="2536"/>
    <x v="2"/>
  </r>
  <r>
    <n v="2057"/>
    <x v="0"/>
  </r>
  <r>
    <n v="5627"/>
    <x v="3"/>
  </r>
  <r>
    <n v="4763"/>
    <x v="1"/>
  </r>
  <r>
    <n v="4577"/>
    <x v="4"/>
  </r>
  <r>
    <n v="5216"/>
    <x v="3"/>
  </r>
  <r>
    <n v="3941"/>
    <x v="3"/>
  </r>
  <r>
    <n v="4396"/>
    <x v="2"/>
  </r>
  <r>
    <n v="4865"/>
    <x v="0"/>
  </r>
  <r>
    <n v="2497"/>
    <x v="2"/>
  </r>
  <r>
    <n v="4945"/>
    <x v="0"/>
  </r>
  <r>
    <n v="5227"/>
    <x v="4"/>
  </r>
  <r>
    <n v="2150"/>
    <x v="0"/>
  </r>
  <r>
    <n v="7145"/>
    <x v="4"/>
  </r>
  <r>
    <n v="2040"/>
    <x v="3"/>
  </r>
  <r>
    <n v="4191"/>
    <x v="4"/>
  </r>
  <r>
    <n v="4336"/>
    <x v="0"/>
  </r>
  <r>
    <n v="5438"/>
    <x v="2"/>
  </r>
  <r>
    <n v="9857"/>
    <x v="2"/>
  </r>
  <r>
    <n v="4767"/>
    <x v="0"/>
  </r>
  <r>
    <n v="9374"/>
    <x v="4"/>
  </r>
  <r>
    <n v="3918"/>
    <x v="2"/>
  </r>
  <r>
    <n v="9866"/>
    <x v="0"/>
  </r>
  <r>
    <n v="6389"/>
    <x v="3"/>
  </r>
  <r>
    <n v="8733"/>
    <x v="2"/>
  </r>
  <r>
    <n v="8105"/>
    <x v="0"/>
  </r>
  <r>
    <n v="3443"/>
    <x v="0"/>
  </r>
  <r>
    <n v="2664"/>
    <x v="1"/>
  </r>
  <r>
    <n v="1782"/>
    <x v="1"/>
  </r>
  <r>
    <n v="1337"/>
    <x v="2"/>
  </r>
  <r>
    <n v="5901"/>
    <x v="4"/>
  </r>
  <r>
    <n v="2731"/>
    <x v="3"/>
  </r>
  <r>
    <n v="8307"/>
    <x v="4"/>
  </r>
  <r>
    <n v="8019"/>
    <x v="2"/>
  </r>
  <r>
    <n v="4847"/>
    <x v="4"/>
  </r>
  <r>
    <n v="9822"/>
    <x v="2"/>
  </r>
  <r>
    <n v="9141"/>
    <x v="1"/>
  </r>
  <r>
    <n v="7539"/>
    <x v="4"/>
  </r>
  <r>
    <n v="1390"/>
    <x v="2"/>
  </r>
  <r>
    <n v="9505"/>
    <x v="4"/>
  </r>
  <r>
    <n v="6741"/>
    <x v="0"/>
  </r>
  <r>
    <n v="1790"/>
    <x v="4"/>
  </r>
  <r>
    <n v="6491"/>
    <x v="1"/>
  </r>
  <r>
    <n v="3102"/>
    <x v="0"/>
  </r>
  <r>
    <n v="1300"/>
    <x v="1"/>
  </r>
  <r>
    <n v="5410"/>
    <x v="3"/>
  </r>
  <r>
    <n v="2714"/>
    <x v="4"/>
  </r>
  <r>
    <n v="4700"/>
    <x v="3"/>
  </r>
  <r>
    <n v="7589"/>
    <x v="0"/>
  </r>
  <r>
    <n v="6866"/>
    <x v="1"/>
  </r>
  <r>
    <n v="6960"/>
    <x v="2"/>
  </r>
  <r>
    <n v="5808"/>
    <x v="4"/>
  </r>
  <r>
    <n v="5525"/>
    <x v="2"/>
  </r>
  <r>
    <n v="1272"/>
    <x v="0"/>
  </r>
  <r>
    <n v="8063"/>
    <x v="3"/>
  </r>
  <r>
    <n v="1856"/>
    <x v="4"/>
  </r>
  <r>
    <n v="2830"/>
    <x v="1"/>
  </r>
  <r>
    <n v="3287"/>
    <x v="0"/>
  </r>
  <r>
    <n v="5679"/>
    <x v="3"/>
  </r>
  <r>
    <n v="6399"/>
    <x v="3"/>
  </r>
  <r>
    <n v="8753"/>
    <x v="0"/>
  </r>
  <r>
    <n v="9267"/>
    <x v="4"/>
  </r>
  <r>
    <n v="9846"/>
    <x v="1"/>
  </r>
  <r>
    <n v="2382"/>
    <x v="3"/>
  </r>
  <r>
    <n v="3593"/>
    <x v="3"/>
  </r>
  <r>
    <n v="4097"/>
    <x v="4"/>
  </r>
  <r>
    <n v="2886"/>
    <x v="3"/>
  </r>
  <r>
    <n v="3255"/>
    <x v="4"/>
  </r>
  <r>
    <n v="6752"/>
    <x v="4"/>
  </r>
  <r>
    <n v="7945"/>
    <x v="1"/>
  </r>
  <r>
    <n v="6658"/>
    <x v="1"/>
  </r>
  <r>
    <n v="5468"/>
    <x v="4"/>
  </r>
  <r>
    <n v="7451"/>
    <x v="4"/>
  </r>
  <r>
    <n v="1253"/>
    <x v="0"/>
  </r>
  <r>
    <n v="6746"/>
    <x v="2"/>
  </r>
  <r>
    <n v="8089"/>
    <x v="2"/>
  </r>
  <r>
    <n v="8045"/>
    <x v="1"/>
  </r>
  <r>
    <n v="9417"/>
    <x v="2"/>
  </r>
  <r>
    <n v="3217"/>
    <x v="0"/>
  </r>
  <r>
    <n v="4234"/>
    <x v="2"/>
  </r>
  <r>
    <n v="1118"/>
    <x v="2"/>
  </r>
  <r>
    <n v="4027"/>
    <x v="4"/>
  </r>
  <r>
    <n v="8451"/>
    <x v="2"/>
  </r>
  <r>
    <n v="6647"/>
    <x v="0"/>
  </r>
  <r>
    <n v="4002"/>
    <x v="4"/>
  </r>
  <r>
    <n v="6910"/>
    <x v="2"/>
  </r>
  <r>
    <n v="3164"/>
    <x v="1"/>
  </r>
  <r>
    <n v="2400"/>
    <x v="3"/>
  </r>
  <r>
    <n v="5499"/>
    <x v="1"/>
  </r>
  <r>
    <n v="7221"/>
    <x v="4"/>
  </r>
  <r>
    <n v="4556"/>
    <x v="2"/>
  </r>
  <r>
    <n v="7175"/>
    <x v="3"/>
  </r>
  <r>
    <n v="7072"/>
    <x v="1"/>
  </r>
  <r>
    <n v="4320"/>
    <x v="3"/>
  </r>
  <r>
    <n v="3558"/>
    <x v="2"/>
  </r>
  <r>
    <n v="8581"/>
    <x v="2"/>
  </r>
  <r>
    <n v="5827"/>
    <x v="3"/>
  </r>
  <r>
    <n v="6929"/>
    <x v="1"/>
  </r>
  <r>
    <n v="9179"/>
    <x v="3"/>
  </r>
  <r>
    <n v="7580"/>
    <x v="1"/>
  </r>
  <r>
    <n v="3858"/>
    <x v="1"/>
  </r>
  <r>
    <n v="8627"/>
    <x v="3"/>
  </r>
  <r>
    <n v="7552"/>
    <x v="1"/>
  </r>
  <r>
    <n v="6020"/>
    <x v="1"/>
  </r>
  <r>
    <n v="9408"/>
    <x v="4"/>
  </r>
  <r>
    <n v="9990"/>
    <x v="1"/>
  </r>
  <r>
    <n v="3687"/>
    <x v="1"/>
  </r>
  <r>
    <n v="4540"/>
    <x v="1"/>
  </r>
  <r>
    <n v="8264"/>
    <x v="3"/>
  </r>
  <r>
    <n v="7448"/>
    <x v="0"/>
  </r>
  <r>
    <n v="1123"/>
    <x v="4"/>
  </r>
  <r>
    <n v="4103"/>
    <x v="1"/>
  </r>
  <r>
    <n v="2904"/>
    <x v="2"/>
  </r>
  <r>
    <n v="5634"/>
    <x v="1"/>
  </r>
  <r>
    <n v="5360"/>
    <x v="3"/>
  </r>
  <r>
    <n v="8571"/>
    <x v="4"/>
  </r>
  <r>
    <n v="9439"/>
    <x v="4"/>
  </r>
  <r>
    <n v="8356"/>
    <x v="0"/>
  </r>
  <r>
    <n v="2039"/>
    <x v="1"/>
  </r>
  <r>
    <n v="2613"/>
    <x v="4"/>
  </r>
  <r>
    <n v="8226"/>
    <x v="1"/>
  </r>
  <r>
    <n v="1425"/>
    <x v="4"/>
  </r>
  <r>
    <n v="4479"/>
    <x v="0"/>
  </r>
  <r>
    <n v="3393"/>
    <x v="0"/>
  </r>
  <r>
    <n v="8528"/>
    <x v="0"/>
  </r>
  <r>
    <n v="9372"/>
    <x v="2"/>
  </r>
  <r>
    <n v="5469"/>
    <x v="2"/>
  </r>
  <r>
    <n v="2603"/>
    <x v="2"/>
  </r>
  <r>
    <n v="5306"/>
    <x v="4"/>
  </r>
  <r>
    <n v="7869"/>
    <x v="3"/>
  </r>
  <r>
    <n v="1699"/>
    <x v="1"/>
  </r>
  <r>
    <n v="3214"/>
    <x v="3"/>
  </r>
  <r>
    <n v="1050"/>
    <x v="1"/>
  </r>
  <r>
    <n v="3325"/>
    <x v="4"/>
  </r>
  <r>
    <n v="1970"/>
    <x v="4"/>
  </r>
  <r>
    <n v="6272"/>
    <x v="4"/>
  </r>
  <r>
    <n v="4745"/>
    <x v="0"/>
  </r>
  <r>
    <n v="8867"/>
    <x v="2"/>
  </r>
  <r>
    <n v="4901"/>
    <x v="4"/>
  </r>
  <r>
    <n v="9575"/>
    <x v="1"/>
  </r>
  <r>
    <n v="4471"/>
    <x v="4"/>
  </r>
  <r>
    <n v="1385"/>
    <x v="4"/>
  </r>
  <r>
    <n v="4302"/>
    <x v="1"/>
  </r>
  <r>
    <n v="4738"/>
    <x v="4"/>
  </r>
  <r>
    <n v="2441"/>
    <x v="4"/>
  </r>
  <r>
    <n v="6546"/>
    <x v="3"/>
  </r>
  <r>
    <n v="5459"/>
    <x v="2"/>
  </r>
  <r>
    <n v="7051"/>
    <x v="4"/>
  </r>
  <r>
    <n v="6671"/>
    <x v="0"/>
  </r>
  <r>
    <n v="6013"/>
    <x v="4"/>
  </r>
  <r>
    <n v="9996"/>
    <x v="2"/>
  </r>
  <r>
    <n v="4851"/>
    <x v="1"/>
  </r>
  <r>
    <n v="2498"/>
    <x v="1"/>
  </r>
  <r>
    <n v="6208"/>
    <x v="2"/>
  </r>
  <r>
    <n v="7171"/>
    <x v="0"/>
  </r>
  <r>
    <n v="7667"/>
    <x v="1"/>
  </r>
  <r>
    <n v="4912"/>
    <x v="0"/>
  </r>
  <r>
    <n v="7975"/>
    <x v="2"/>
  </r>
  <r>
    <n v="6804"/>
    <x v="1"/>
  </r>
  <r>
    <n v="3877"/>
    <x v="4"/>
  </r>
  <r>
    <n v="8768"/>
    <x v="4"/>
  </r>
  <r>
    <n v="1420"/>
    <x v="4"/>
  </r>
  <r>
    <n v="2306"/>
    <x v="0"/>
  </r>
  <r>
    <n v="2079"/>
    <x v="3"/>
  </r>
  <r>
    <n v="3554"/>
    <x v="1"/>
  </r>
  <r>
    <n v="7616"/>
    <x v="0"/>
  </r>
  <r>
    <n v="5650"/>
    <x v="1"/>
  </r>
  <r>
    <n v="9385"/>
    <x v="4"/>
  </r>
  <r>
    <n v="2482"/>
    <x v="1"/>
  </r>
  <r>
    <n v="9017"/>
    <x v="1"/>
  </r>
  <r>
    <n v="7001"/>
    <x v="3"/>
  </r>
  <r>
    <n v="2942"/>
    <x v="2"/>
  </r>
  <r>
    <n v="8833"/>
    <x v="2"/>
  </r>
  <r>
    <n v="8079"/>
    <x v="4"/>
  </r>
  <r>
    <n v="3797"/>
    <x v="1"/>
  </r>
  <r>
    <n v="7268"/>
    <x v="2"/>
  </r>
  <r>
    <n v="9803"/>
    <x v="4"/>
  </r>
  <r>
    <n v="2165"/>
    <x v="2"/>
  </r>
  <r>
    <n v="1528"/>
    <x v="2"/>
  </r>
  <r>
    <n v="5978"/>
    <x v="1"/>
  </r>
  <r>
    <n v="5967"/>
    <x v="1"/>
  </r>
  <r>
    <n v="4254"/>
    <x v="3"/>
  </r>
  <r>
    <n v="2186"/>
    <x v="4"/>
  </r>
  <r>
    <n v="7644"/>
    <x v="2"/>
  </r>
  <r>
    <n v="5897"/>
    <x v="4"/>
  </r>
  <r>
    <n v="7465"/>
    <x v="4"/>
  </r>
  <r>
    <n v="3724"/>
    <x v="3"/>
  </r>
  <r>
    <n v="2914"/>
    <x v="2"/>
  </r>
  <r>
    <n v="4110"/>
    <x v="2"/>
  </r>
  <r>
    <n v="6944"/>
    <x v="3"/>
  </r>
  <r>
    <n v="3639"/>
    <x v="4"/>
  </r>
  <r>
    <n v="8416"/>
    <x v="4"/>
  </r>
  <r>
    <n v="7753"/>
    <x v="2"/>
  </r>
  <r>
    <n v="9528"/>
    <x v="4"/>
  </r>
  <r>
    <n v="2960"/>
    <x v="2"/>
  </r>
  <r>
    <n v="1090"/>
    <x v="1"/>
  </r>
  <r>
    <n v="2410"/>
    <x v="3"/>
  </r>
  <r>
    <n v="1575"/>
    <x v="1"/>
  </r>
  <r>
    <n v="9259"/>
    <x v="3"/>
  </r>
  <r>
    <n v="2170"/>
    <x v="3"/>
  </r>
  <r>
    <n v="2237"/>
    <x v="3"/>
  </r>
  <r>
    <n v="2697"/>
    <x v="0"/>
  </r>
  <r>
    <n v="4488"/>
    <x v="2"/>
  </r>
  <r>
    <n v="5291"/>
    <x v="4"/>
  </r>
  <r>
    <n v="6287"/>
    <x v="1"/>
  </r>
  <r>
    <n v="1953"/>
    <x v="2"/>
  </r>
  <r>
    <n v="3457"/>
    <x v="2"/>
  </r>
  <r>
    <n v="6504"/>
    <x v="1"/>
  </r>
  <r>
    <n v="7463"/>
    <x v="2"/>
  </r>
  <r>
    <n v="3898"/>
    <x v="0"/>
  </r>
  <r>
    <n v="8481"/>
    <x v="2"/>
  </r>
  <r>
    <n v="7810"/>
    <x v="3"/>
  </r>
  <r>
    <n v="6534"/>
    <x v="1"/>
  </r>
  <r>
    <n v="6025"/>
    <x v="4"/>
  </r>
  <r>
    <n v="5825"/>
    <x v="0"/>
  </r>
  <r>
    <n v="1185"/>
    <x v="0"/>
  </r>
  <r>
    <n v="4392"/>
    <x v="3"/>
  </r>
  <r>
    <n v="5785"/>
    <x v="2"/>
  </r>
  <r>
    <n v="4718"/>
    <x v="4"/>
  </r>
  <r>
    <n v="3992"/>
    <x v="3"/>
  </r>
  <r>
    <n v="6100"/>
    <x v="0"/>
  </r>
  <r>
    <n v="8495"/>
    <x v="1"/>
  </r>
  <r>
    <n v="3083"/>
    <x v="3"/>
  </r>
  <r>
    <n v="9936"/>
    <x v="0"/>
  </r>
  <r>
    <n v="2418"/>
    <x v="3"/>
  </r>
  <r>
    <n v="4089"/>
    <x v="0"/>
  </r>
  <r>
    <n v="8876"/>
    <x v="0"/>
  </r>
  <r>
    <n v="3959"/>
    <x v="1"/>
  </r>
  <r>
    <n v="2011"/>
    <x v="0"/>
  </r>
  <r>
    <n v="7896"/>
    <x v="1"/>
  </r>
  <r>
    <n v="5495"/>
    <x v="3"/>
  </r>
  <r>
    <n v="6219"/>
    <x v="1"/>
  </r>
  <r>
    <n v="4458"/>
    <x v="4"/>
  </r>
  <r>
    <n v="4115"/>
    <x v="2"/>
  </r>
  <r>
    <n v="6586"/>
    <x v="1"/>
  </r>
  <r>
    <n v="3985"/>
    <x v="0"/>
  </r>
  <r>
    <n v="8501"/>
    <x v="2"/>
  </r>
  <r>
    <n v="4048"/>
    <x v="2"/>
  </r>
  <r>
    <n v="4466"/>
    <x v="2"/>
  </r>
  <r>
    <n v="5479"/>
    <x v="1"/>
  </r>
  <r>
    <n v="2480"/>
    <x v="1"/>
  </r>
  <r>
    <n v="6288"/>
    <x v="2"/>
  </r>
  <r>
    <n v="9973"/>
    <x v="2"/>
  </r>
  <r>
    <n v="6078"/>
    <x v="3"/>
  </r>
  <r>
    <n v="5362"/>
    <x v="3"/>
  </r>
  <r>
    <n v="1687"/>
    <x v="3"/>
  </r>
  <r>
    <n v="8986"/>
    <x v="2"/>
  </r>
  <r>
    <n v="5994"/>
    <x v="0"/>
  </r>
  <r>
    <n v="6293"/>
    <x v="1"/>
  </r>
  <r>
    <n v="7558"/>
    <x v="3"/>
  </r>
  <r>
    <n v="1805"/>
    <x v="3"/>
  </r>
  <r>
    <n v="1661"/>
    <x v="0"/>
  </r>
  <r>
    <n v="8960"/>
    <x v="0"/>
  </r>
  <r>
    <n v="6131"/>
    <x v="4"/>
  </r>
  <r>
    <n v="4114"/>
    <x v="4"/>
  </r>
  <r>
    <n v="4833"/>
    <x v="3"/>
  </r>
  <r>
    <n v="2401"/>
    <x v="2"/>
  </r>
  <r>
    <n v="1037"/>
    <x v="2"/>
  </r>
  <r>
    <n v="2675"/>
    <x v="1"/>
  </r>
  <r>
    <n v="1665"/>
    <x v="1"/>
  </r>
  <r>
    <n v="5671"/>
    <x v="2"/>
  </r>
  <r>
    <n v="5153"/>
    <x v="1"/>
  </r>
  <r>
    <n v="1114"/>
    <x v="4"/>
  </r>
  <r>
    <n v="6180"/>
    <x v="4"/>
  </r>
  <r>
    <n v="8237"/>
    <x v="0"/>
  </r>
  <r>
    <n v="9500"/>
    <x v="4"/>
  </r>
  <r>
    <n v="7476"/>
    <x v="1"/>
  </r>
  <r>
    <n v="9908"/>
    <x v="2"/>
  </r>
  <r>
    <n v="1534"/>
    <x v="1"/>
  </r>
  <r>
    <n v="4613"/>
    <x v="0"/>
  </r>
  <r>
    <n v="5063"/>
    <x v="3"/>
  </r>
  <r>
    <n v="4548"/>
    <x v="0"/>
  </r>
  <r>
    <n v="7556"/>
    <x v="4"/>
  </r>
  <r>
    <n v="1846"/>
    <x v="2"/>
  </r>
  <r>
    <n v="7088"/>
    <x v="0"/>
  </r>
  <r>
    <n v="1179"/>
    <x v="0"/>
  </r>
  <r>
    <n v="2190"/>
    <x v="2"/>
  </r>
  <r>
    <n v="2847"/>
    <x v="2"/>
  </r>
  <r>
    <n v="6570"/>
    <x v="0"/>
  </r>
  <r>
    <n v="1149"/>
    <x v="1"/>
  </r>
  <r>
    <n v="1336"/>
    <x v="3"/>
  </r>
  <r>
    <n v="6956"/>
    <x v="3"/>
  </r>
  <r>
    <n v="7015"/>
    <x v="3"/>
  </r>
  <r>
    <n v="4104"/>
    <x v="3"/>
  </r>
  <r>
    <n v="9413"/>
    <x v="0"/>
  </r>
  <r>
    <n v="8300"/>
    <x v="1"/>
  </r>
  <r>
    <n v="5126"/>
    <x v="4"/>
  </r>
  <r>
    <n v="1754"/>
    <x v="2"/>
  </r>
  <r>
    <n v="7089"/>
    <x v="1"/>
  </r>
  <r>
    <n v="1697"/>
    <x v="3"/>
  </r>
  <r>
    <n v="4768"/>
    <x v="4"/>
  </r>
  <r>
    <n v="4205"/>
    <x v="1"/>
  </r>
  <r>
    <n v="8844"/>
    <x v="3"/>
  </r>
  <r>
    <n v="1103"/>
    <x v="0"/>
  </r>
  <r>
    <n v="2180"/>
    <x v="2"/>
  </r>
  <r>
    <n v="6607"/>
    <x v="2"/>
  </r>
  <r>
    <n v="7949"/>
    <x v="1"/>
  </r>
  <r>
    <n v="5337"/>
    <x v="0"/>
  </r>
  <r>
    <n v="8477"/>
    <x v="2"/>
  </r>
  <r>
    <n v="7673"/>
    <x v="0"/>
  </r>
  <r>
    <n v="6113"/>
    <x v="3"/>
  </r>
  <r>
    <n v="7457"/>
    <x v="0"/>
  </r>
  <r>
    <n v="6639"/>
    <x v="1"/>
  </r>
  <r>
    <n v="5220"/>
    <x v="3"/>
  </r>
  <r>
    <n v="6970"/>
    <x v="2"/>
  </r>
  <r>
    <n v="6705"/>
    <x v="1"/>
  </r>
  <r>
    <n v="2477"/>
    <x v="1"/>
  </r>
  <r>
    <n v="6236"/>
    <x v="4"/>
  </r>
  <r>
    <n v="4079"/>
    <x v="0"/>
  </r>
  <r>
    <n v="7927"/>
    <x v="4"/>
  </r>
  <r>
    <n v="5059"/>
    <x v="2"/>
  </r>
  <r>
    <n v="4210"/>
    <x v="4"/>
  </r>
  <r>
    <n v="5054"/>
    <x v="3"/>
  </r>
  <r>
    <n v="5836"/>
    <x v="2"/>
  </r>
  <r>
    <n v="8612"/>
    <x v="0"/>
  </r>
  <r>
    <n v="7445"/>
    <x v="1"/>
  </r>
  <r>
    <n v="6135"/>
    <x v="4"/>
  </r>
  <r>
    <n v="3168"/>
    <x v="2"/>
  </r>
  <r>
    <n v="2981"/>
    <x v="0"/>
  </r>
  <r>
    <n v="7739"/>
    <x v="0"/>
  </r>
  <r>
    <n v="5905"/>
    <x v="4"/>
  </r>
  <r>
    <n v="1443"/>
    <x v="4"/>
  </r>
  <r>
    <n v="6181"/>
    <x v="2"/>
  </r>
  <r>
    <n v="8406"/>
    <x v="0"/>
  </r>
  <r>
    <n v="5389"/>
    <x v="1"/>
  </r>
  <r>
    <n v="4586"/>
    <x v="2"/>
  </r>
  <r>
    <n v="4020"/>
    <x v="1"/>
  </r>
  <r>
    <n v="1635"/>
    <x v="2"/>
  </r>
  <r>
    <n v="9257"/>
    <x v="1"/>
  </r>
  <r>
    <n v="6380"/>
    <x v="0"/>
  </r>
  <r>
    <n v="6385"/>
    <x v="0"/>
  </r>
  <r>
    <n v="6858"/>
    <x v="2"/>
  </r>
  <r>
    <n v="8875"/>
    <x v="4"/>
  </r>
  <r>
    <n v="3334"/>
    <x v="0"/>
  </r>
  <r>
    <n v="5850"/>
    <x v="2"/>
  </r>
  <r>
    <n v="8593"/>
    <x v="2"/>
  </r>
  <r>
    <n v="6278"/>
    <x v="3"/>
  </r>
  <r>
    <n v="1388"/>
    <x v="1"/>
  </r>
  <r>
    <n v="2521"/>
    <x v="0"/>
  </r>
  <r>
    <n v="1269"/>
    <x v="4"/>
  </r>
  <r>
    <n v="9959"/>
    <x v="2"/>
  </r>
  <r>
    <n v="7549"/>
    <x v="1"/>
  </r>
  <r>
    <n v="4747"/>
    <x v="2"/>
  </r>
  <r>
    <n v="8320"/>
    <x v="3"/>
  </r>
  <r>
    <n v="1333"/>
    <x v="1"/>
  </r>
  <r>
    <n v="5254"/>
    <x v="1"/>
  </r>
  <r>
    <n v="6842"/>
    <x v="4"/>
  </r>
  <r>
    <n v="9333"/>
    <x v="3"/>
  </r>
  <r>
    <n v="9122"/>
    <x v="1"/>
  </r>
  <r>
    <n v="6221"/>
    <x v="1"/>
  </r>
  <r>
    <n v="9957"/>
    <x v="4"/>
  </r>
  <r>
    <n v="4680"/>
    <x v="2"/>
  </r>
  <r>
    <n v="5974"/>
    <x v="4"/>
  </r>
  <r>
    <n v="6938"/>
    <x v="1"/>
  </r>
  <r>
    <n v="1175"/>
    <x v="4"/>
  </r>
  <r>
    <n v="1260"/>
    <x v="4"/>
  </r>
  <r>
    <n v="4645"/>
    <x v="1"/>
  </r>
  <r>
    <n v="1637"/>
    <x v="4"/>
  </r>
  <r>
    <n v="7960"/>
    <x v="0"/>
  </r>
  <r>
    <n v="9693"/>
    <x v="4"/>
  </r>
  <r>
    <n v="8743"/>
    <x v="0"/>
  </r>
  <r>
    <n v="3379"/>
    <x v="4"/>
  </r>
  <r>
    <n v="7696"/>
    <x v="3"/>
  </r>
  <r>
    <n v="8552"/>
    <x v="1"/>
  </r>
  <r>
    <n v="5065"/>
    <x v="1"/>
  </r>
  <r>
    <n v="6878"/>
    <x v="4"/>
  </r>
  <r>
    <n v="5681"/>
    <x v="1"/>
  </r>
  <r>
    <n v="4448"/>
    <x v="4"/>
  </r>
  <r>
    <n v="5795"/>
    <x v="3"/>
  </r>
  <r>
    <n v="5320"/>
    <x v="2"/>
  </r>
  <r>
    <m/>
    <x v="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2518"/>
    <x v="0"/>
    <x v="0"/>
  </r>
  <r>
    <n v="6430"/>
    <x v="0"/>
    <x v="0"/>
  </r>
  <r>
    <n v="1798"/>
    <x v="0"/>
    <x v="0"/>
  </r>
  <r>
    <n v="5255"/>
    <x v="0"/>
    <x v="0"/>
  </r>
  <r>
    <n v="2854"/>
    <x v="0"/>
    <x v="0"/>
  </r>
  <r>
    <n v="6735"/>
    <x v="1"/>
    <x v="0"/>
  </r>
  <r>
    <n v="2995"/>
    <x v="0"/>
    <x v="0"/>
  </r>
  <r>
    <n v="5120"/>
    <x v="1"/>
    <x v="0"/>
  </r>
  <r>
    <n v="6063"/>
    <x v="1"/>
    <x v="0"/>
  </r>
  <r>
    <n v="6896"/>
    <x v="0"/>
    <x v="0"/>
  </r>
  <r>
    <n v="8447"/>
    <x v="0"/>
    <x v="0"/>
  </r>
  <r>
    <n v="1433"/>
    <x v="0"/>
    <x v="0"/>
  </r>
  <r>
    <n v="4511"/>
    <x v="0"/>
    <x v="0"/>
  </r>
  <r>
    <n v="9966"/>
    <x v="1"/>
    <x v="0"/>
  </r>
  <r>
    <n v="7093"/>
    <x v="1"/>
    <x v="0"/>
  </r>
  <r>
    <n v="4351"/>
    <x v="1"/>
    <x v="0"/>
  </r>
  <r>
    <n v="6007"/>
    <x v="0"/>
    <x v="0"/>
  </r>
  <r>
    <n v="9710"/>
    <x v="1"/>
    <x v="0"/>
  </r>
  <r>
    <n v="9034"/>
    <x v="1"/>
    <x v="0"/>
  </r>
  <r>
    <n v="6197"/>
    <x v="0"/>
    <x v="0"/>
  </r>
  <r>
    <n v="2820"/>
    <x v="0"/>
    <x v="0"/>
  </r>
  <r>
    <n v="1101"/>
    <x v="1"/>
    <x v="0"/>
  </r>
  <r>
    <n v="1650"/>
    <x v="1"/>
    <x v="0"/>
  </r>
  <r>
    <n v="4884"/>
    <x v="0"/>
    <x v="0"/>
  </r>
  <r>
    <n v="8321"/>
    <x v="1"/>
    <x v="0"/>
  </r>
  <r>
    <n v="2381"/>
    <x v="1"/>
    <x v="0"/>
  </r>
  <r>
    <n v="9507"/>
    <x v="1"/>
    <x v="0"/>
  </r>
  <r>
    <n v="2851"/>
    <x v="0"/>
    <x v="0"/>
  </r>
  <r>
    <n v="4083"/>
    <x v="1"/>
    <x v="0"/>
  </r>
  <r>
    <n v="4608"/>
    <x v="1"/>
    <x v="0"/>
  </r>
  <r>
    <n v="4815"/>
    <x v="1"/>
    <x v="0"/>
  </r>
  <r>
    <n v="9597"/>
    <x v="0"/>
    <x v="0"/>
  </r>
  <r>
    <n v="6566"/>
    <x v="1"/>
    <x v="0"/>
  </r>
  <r>
    <n v="1419"/>
    <x v="0"/>
    <x v="0"/>
  </r>
  <r>
    <n v="9470"/>
    <x v="1"/>
    <x v="0"/>
  </r>
  <r>
    <n v="4989"/>
    <x v="0"/>
    <x v="0"/>
  </r>
  <r>
    <n v="9389"/>
    <x v="0"/>
    <x v="0"/>
  </r>
  <r>
    <n v="7728"/>
    <x v="1"/>
    <x v="0"/>
  </r>
  <r>
    <n v="7943"/>
    <x v="1"/>
    <x v="0"/>
  </r>
  <r>
    <n v="2490"/>
    <x v="0"/>
    <x v="0"/>
  </r>
  <r>
    <n v="5042"/>
    <x v="0"/>
    <x v="0"/>
  </r>
  <r>
    <n v="3620"/>
    <x v="0"/>
    <x v="0"/>
  </r>
  <r>
    <n v="8976"/>
    <x v="1"/>
    <x v="0"/>
  </r>
  <r>
    <n v="1570"/>
    <x v="1"/>
    <x v="0"/>
  </r>
  <r>
    <n v="7709"/>
    <x v="1"/>
    <x v="0"/>
  </r>
  <r>
    <n v="9503"/>
    <x v="1"/>
    <x v="0"/>
  </r>
  <r>
    <n v="9564"/>
    <x v="1"/>
    <x v="0"/>
  </r>
  <r>
    <n v="8934"/>
    <x v="0"/>
    <x v="0"/>
  </r>
  <r>
    <n v="1222"/>
    <x v="1"/>
    <x v="0"/>
  </r>
  <r>
    <n v="5762"/>
    <x v="1"/>
    <x v="0"/>
  </r>
  <r>
    <n v="4066"/>
    <x v="1"/>
    <x v="0"/>
  </r>
  <r>
    <n v="6469"/>
    <x v="1"/>
    <x v="0"/>
  </r>
  <r>
    <n v="1364"/>
    <x v="1"/>
    <x v="0"/>
  </r>
  <r>
    <n v="4197"/>
    <x v="1"/>
    <x v="0"/>
  </r>
  <r>
    <n v="9700"/>
    <x v="1"/>
    <x v="0"/>
  </r>
  <r>
    <n v="5644"/>
    <x v="0"/>
    <x v="0"/>
  </r>
  <r>
    <n v="5420"/>
    <x v="0"/>
    <x v="0"/>
  </r>
  <r>
    <n v="7560"/>
    <x v="1"/>
    <x v="0"/>
  </r>
  <r>
    <n v="9644"/>
    <x v="1"/>
    <x v="0"/>
  </r>
  <r>
    <n v="7239"/>
    <x v="0"/>
    <x v="0"/>
  </r>
  <r>
    <n v="6415"/>
    <x v="0"/>
    <x v="0"/>
  </r>
  <r>
    <n v="9020"/>
    <x v="1"/>
    <x v="0"/>
  </r>
  <r>
    <n v="2324"/>
    <x v="0"/>
    <x v="0"/>
  </r>
  <r>
    <n v="1354"/>
    <x v="0"/>
    <x v="0"/>
  </r>
  <r>
    <n v="4019"/>
    <x v="0"/>
    <x v="0"/>
  </r>
  <r>
    <n v="6178"/>
    <x v="0"/>
    <x v="0"/>
  </r>
  <r>
    <n v="8673"/>
    <x v="0"/>
    <x v="0"/>
  </r>
  <r>
    <n v="8250"/>
    <x v="1"/>
    <x v="0"/>
  </r>
  <r>
    <n v="1609"/>
    <x v="0"/>
    <x v="0"/>
  </r>
  <r>
    <n v="3806"/>
    <x v="1"/>
    <x v="0"/>
  </r>
  <r>
    <n v="7973"/>
    <x v="1"/>
    <x v="0"/>
  </r>
  <r>
    <n v="7948"/>
    <x v="0"/>
    <x v="0"/>
  </r>
  <r>
    <n v="3195"/>
    <x v="0"/>
    <x v="0"/>
  </r>
  <r>
    <n v="6285"/>
    <x v="1"/>
    <x v="0"/>
  </r>
  <r>
    <n v="4303"/>
    <x v="0"/>
    <x v="0"/>
  </r>
  <r>
    <n v="7751"/>
    <x v="1"/>
    <x v="0"/>
  </r>
  <r>
    <n v="7813"/>
    <x v="1"/>
    <x v="0"/>
  </r>
  <r>
    <n v="9028"/>
    <x v="1"/>
    <x v="0"/>
  </r>
  <r>
    <n v="6109"/>
    <x v="1"/>
    <x v="0"/>
  </r>
  <r>
    <n v="2565"/>
    <x v="0"/>
    <x v="0"/>
  </r>
  <r>
    <n v="7551"/>
    <x v="1"/>
    <x v="0"/>
  </r>
  <r>
    <n v="6398"/>
    <x v="0"/>
    <x v="0"/>
  </r>
  <r>
    <n v="4982"/>
    <x v="1"/>
    <x v="0"/>
  </r>
  <r>
    <n v="8108"/>
    <x v="0"/>
    <x v="0"/>
  </r>
  <r>
    <n v="6779"/>
    <x v="1"/>
    <x v="0"/>
  </r>
  <r>
    <n v="1169"/>
    <x v="0"/>
    <x v="0"/>
  </r>
  <r>
    <n v="5067"/>
    <x v="0"/>
    <x v="0"/>
  </r>
  <r>
    <n v="5299"/>
    <x v="0"/>
    <x v="0"/>
  </r>
  <r>
    <n v="3978"/>
    <x v="1"/>
    <x v="0"/>
  </r>
  <r>
    <n v="8634"/>
    <x v="0"/>
    <x v="0"/>
  </r>
  <r>
    <n v="9635"/>
    <x v="1"/>
    <x v="0"/>
  </r>
  <r>
    <n v="1776"/>
    <x v="1"/>
    <x v="0"/>
  </r>
  <r>
    <n v="9703"/>
    <x v="0"/>
    <x v="0"/>
  </r>
  <r>
    <n v="3498"/>
    <x v="0"/>
    <x v="0"/>
  </r>
  <r>
    <n v="4260"/>
    <x v="0"/>
    <x v="0"/>
  </r>
  <r>
    <n v="7152"/>
    <x v="1"/>
    <x v="0"/>
  </r>
  <r>
    <n v="2457"/>
    <x v="0"/>
    <x v="0"/>
  </r>
  <r>
    <n v="8530"/>
    <x v="0"/>
    <x v="0"/>
  </r>
  <r>
    <n v="9131"/>
    <x v="0"/>
    <x v="0"/>
  </r>
  <r>
    <n v="9770"/>
    <x v="1"/>
    <x v="0"/>
  </r>
  <r>
    <n v="8095"/>
    <x v="1"/>
    <x v="0"/>
  </r>
  <r>
    <n v="3763"/>
    <x v="0"/>
    <x v="0"/>
  </r>
  <r>
    <n v="4346"/>
    <x v="1"/>
    <x v="0"/>
  </r>
  <r>
    <n v="5866"/>
    <x v="1"/>
    <x v="0"/>
  </r>
  <r>
    <n v="5865"/>
    <x v="0"/>
    <x v="0"/>
  </r>
  <r>
    <n v="9398"/>
    <x v="0"/>
    <x v="0"/>
  </r>
  <r>
    <n v="9695"/>
    <x v="0"/>
    <x v="0"/>
  </r>
  <r>
    <n v="8805"/>
    <x v="1"/>
    <x v="0"/>
  </r>
  <r>
    <n v="8353"/>
    <x v="1"/>
    <x v="0"/>
  </r>
  <r>
    <n v="3178"/>
    <x v="1"/>
    <x v="0"/>
  </r>
  <r>
    <n v="4917"/>
    <x v="0"/>
    <x v="0"/>
  </r>
  <r>
    <n v="8878"/>
    <x v="0"/>
    <x v="0"/>
  </r>
  <r>
    <n v="3810"/>
    <x v="0"/>
    <x v="0"/>
  </r>
  <r>
    <n v="9353"/>
    <x v="1"/>
    <x v="0"/>
  </r>
  <r>
    <n v="1672"/>
    <x v="1"/>
    <x v="0"/>
  </r>
  <r>
    <n v="6650"/>
    <x v="1"/>
    <x v="0"/>
  </r>
  <r>
    <n v="2581"/>
    <x v="0"/>
    <x v="0"/>
  </r>
  <r>
    <n v="6860"/>
    <x v="0"/>
    <x v="0"/>
  </r>
  <r>
    <n v="4584"/>
    <x v="0"/>
    <x v="0"/>
  </r>
  <r>
    <n v="3354"/>
    <x v="1"/>
    <x v="0"/>
  </r>
  <r>
    <n v="4668"/>
    <x v="1"/>
    <x v="0"/>
  </r>
  <r>
    <n v="6684"/>
    <x v="0"/>
    <x v="0"/>
  </r>
  <r>
    <n v="8058"/>
    <x v="1"/>
    <x v="0"/>
  </r>
  <r>
    <n v="3035"/>
    <x v="1"/>
    <x v="0"/>
  </r>
  <r>
    <n v="2146"/>
    <x v="0"/>
    <x v="0"/>
  </r>
  <r>
    <n v="5761"/>
    <x v="1"/>
    <x v="0"/>
  </r>
  <r>
    <n v="5256"/>
    <x v="1"/>
    <x v="0"/>
  </r>
  <r>
    <n v="5995"/>
    <x v="0"/>
    <x v="0"/>
  </r>
  <r>
    <n v="4155"/>
    <x v="0"/>
    <x v="0"/>
  </r>
  <r>
    <n v="1851"/>
    <x v="0"/>
    <x v="0"/>
  </r>
  <r>
    <n v="8068"/>
    <x v="0"/>
    <x v="0"/>
  </r>
  <r>
    <n v="8425"/>
    <x v="1"/>
    <x v="0"/>
  </r>
  <r>
    <n v="4706"/>
    <x v="0"/>
    <x v="0"/>
  </r>
  <r>
    <n v="7544"/>
    <x v="0"/>
    <x v="0"/>
  </r>
  <r>
    <n v="4029"/>
    <x v="1"/>
    <x v="0"/>
  </r>
  <r>
    <n v="6117"/>
    <x v="0"/>
    <x v="0"/>
  </r>
  <r>
    <n v="1408"/>
    <x v="1"/>
    <x v="0"/>
  </r>
  <r>
    <n v="8396"/>
    <x v="0"/>
    <x v="0"/>
  </r>
  <r>
    <n v="6806"/>
    <x v="1"/>
    <x v="0"/>
  </r>
  <r>
    <n v="3496"/>
    <x v="1"/>
    <x v="0"/>
  </r>
  <r>
    <n v="7840"/>
    <x v="1"/>
    <x v="0"/>
  </r>
  <r>
    <n v="2099"/>
    <x v="1"/>
    <x v="0"/>
  </r>
  <r>
    <n v="6518"/>
    <x v="0"/>
    <x v="0"/>
  </r>
  <r>
    <n v="1976"/>
    <x v="1"/>
    <x v="0"/>
  </r>
  <r>
    <n v="8777"/>
    <x v="0"/>
    <x v="0"/>
  </r>
  <r>
    <n v="1576"/>
    <x v="0"/>
    <x v="0"/>
  </r>
  <r>
    <n v="7979"/>
    <x v="1"/>
    <x v="0"/>
  </r>
  <r>
    <n v="6300"/>
    <x v="1"/>
    <x v="0"/>
  </r>
  <r>
    <n v="1003"/>
    <x v="1"/>
    <x v="0"/>
  </r>
  <r>
    <n v="8238"/>
    <x v="0"/>
    <x v="0"/>
  </r>
  <r>
    <n v="8261"/>
    <x v="1"/>
    <x v="0"/>
  </r>
  <r>
    <n v="7729"/>
    <x v="1"/>
    <x v="0"/>
  </r>
  <r>
    <n v="8616"/>
    <x v="1"/>
    <x v="0"/>
  </r>
  <r>
    <n v="9734"/>
    <x v="1"/>
    <x v="0"/>
  </r>
  <r>
    <n v="2086"/>
    <x v="1"/>
    <x v="0"/>
  </r>
  <r>
    <n v="8721"/>
    <x v="1"/>
    <x v="0"/>
  </r>
  <r>
    <n v="1075"/>
    <x v="0"/>
    <x v="0"/>
  </r>
  <r>
    <n v="2690"/>
    <x v="1"/>
    <x v="0"/>
  </r>
  <r>
    <n v="7654"/>
    <x v="0"/>
    <x v="0"/>
  </r>
  <r>
    <n v="7577"/>
    <x v="0"/>
    <x v="0"/>
  </r>
  <r>
    <n v="9814"/>
    <x v="1"/>
    <x v="0"/>
  </r>
  <r>
    <n v="5423"/>
    <x v="0"/>
    <x v="0"/>
  </r>
  <r>
    <n v="2660"/>
    <x v="1"/>
    <x v="0"/>
  </r>
  <r>
    <n v="4206"/>
    <x v="0"/>
    <x v="0"/>
  </r>
  <r>
    <n v="5269"/>
    <x v="1"/>
    <x v="0"/>
  </r>
  <r>
    <n v="7922"/>
    <x v="1"/>
    <x v="0"/>
  </r>
  <r>
    <n v="7829"/>
    <x v="1"/>
    <x v="0"/>
  </r>
  <r>
    <n v="1715"/>
    <x v="1"/>
    <x v="0"/>
  </r>
  <r>
    <n v="2639"/>
    <x v="0"/>
    <x v="0"/>
  </r>
  <r>
    <n v="1801"/>
    <x v="0"/>
    <x v="0"/>
  </r>
  <r>
    <n v="9163"/>
    <x v="1"/>
    <x v="0"/>
  </r>
  <r>
    <n v="1284"/>
    <x v="0"/>
    <x v="0"/>
  </r>
  <r>
    <n v="8774"/>
    <x v="0"/>
    <x v="0"/>
  </r>
  <r>
    <n v="3866"/>
    <x v="1"/>
    <x v="0"/>
  </r>
  <r>
    <n v="4477"/>
    <x v="0"/>
    <x v="0"/>
  </r>
  <r>
    <n v="4829"/>
    <x v="0"/>
    <x v="0"/>
  </r>
  <r>
    <n v="1257"/>
    <x v="0"/>
    <x v="0"/>
  </r>
  <r>
    <n v="1897"/>
    <x v="1"/>
    <x v="0"/>
  </r>
  <r>
    <n v="3603"/>
    <x v="0"/>
    <x v="0"/>
  </r>
  <r>
    <n v="9256"/>
    <x v="1"/>
    <x v="0"/>
  </r>
  <r>
    <n v="9469"/>
    <x v="1"/>
    <x v="0"/>
  </r>
  <r>
    <n v="7136"/>
    <x v="0"/>
    <x v="0"/>
  </r>
  <r>
    <n v="2321"/>
    <x v="0"/>
    <x v="0"/>
  </r>
  <r>
    <n v="4243"/>
    <x v="0"/>
    <x v="0"/>
  </r>
  <r>
    <n v="8015"/>
    <x v="0"/>
    <x v="0"/>
  </r>
  <r>
    <n v="3440"/>
    <x v="1"/>
    <x v="0"/>
  </r>
  <r>
    <n v="9914"/>
    <x v="0"/>
    <x v="0"/>
  </r>
  <r>
    <n v="5045"/>
    <x v="0"/>
    <x v="0"/>
  </r>
  <r>
    <n v="1379"/>
    <x v="0"/>
    <x v="0"/>
  </r>
  <r>
    <n v="6099"/>
    <x v="0"/>
    <x v="0"/>
  </r>
  <r>
    <n v="4696"/>
    <x v="0"/>
    <x v="0"/>
  </r>
  <r>
    <n v="4808"/>
    <x v="1"/>
    <x v="0"/>
  </r>
  <r>
    <n v="3633"/>
    <x v="0"/>
    <x v="0"/>
  </r>
  <r>
    <n v="4979"/>
    <x v="1"/>
    <x v="0"/>
  </r>
  <r>
    <n v="2214"/>
    <x v="1"/>
    <x v="0"/>
  </r>
  <r>
    <n v="6606"/>
    <x v="1"/>
    <x v="0"/>
  </r>
  <r>
    <n v="4246"/>
    <x v="0"/>
    <x v="0"/>
  </r>
  <r>
    <n v="2836"/>
    <x v="0"/>
    <x v="0"/>
  </r>
  <r>
    <n v="6963"/>
    <x v="1"/>
    <x v="0"/>
  </r>
  <r>
    <n v="2243"/>
    <x v="0"/>
    <x v="0"/>
  </r>
  <r>
    <n v="5081"/>
    <x v="1"/>
    <x v="0"/>
  </r>
  <r>
    <n v="4171"/>
    <x v="0"/>
    <x v="0"/>
  </r>
  <r>
    <n v="7399"/>
    <x v="0"/>
    <x v="0"/>
  </r>
  <r>
    <n v="1110"/>
    <x v="1"/>
    <x v="0"/>
  </r>
  <r>
    <n v="5630"/>
    <x v="1"/>
    <x v="0"/>
  </r>
  <r>
    <n v="9430"/>
    <x v="1"/>
    <x v="0"/>
  </r>
  <r>
    <n v="7436"/>
    <x v="0"/>
    <x v="0"/>
  </r>
  <r>
    <n v="2147"/>
    <x v="1"/>
    <x v="0"/>
  </r>
  <r>
    <n v="3264"/>
    <x v="0"/>
    <x v="0"/>
  </r>
  <r>
    <n v="1214"/>
    <x v="1"/>
    <x v="0"/>
  </r>
  <r>
    <n v="6050"/>
    <x v="0"/>
    <x v="0"/>
  </r>
  <r>
    <n v="7395"/>
    <x v="1"/>
    <x v="0"/>
  </r>
  <r>
    <n v="3904"/>
    <x v="0"/>
    <x v="0"/>
  </r>
  <r>
    <n v="6545"/>
    <x v="1"/>
    <x v="0"/>
  </r>
  <r>
    <n v="3131"/>
    <x v="1"/>
    <x v="0"/>
  </r>
  <r>
    <n v="8589"/>
    <x v="0"/>
    <x v="0"/>
  </r>
  <r>
    <n v="2908"/>
    <x v="1"/>
    <x v="0"/>
  </r>
  <r>
    <n v="5209"/>
    <x v="1"/>
    <x v="0"/>
  </r>
  <r>
    <n v="2319"/>
    <x v="0"/>
    <x v="0"/>
  </r>
  <r>
    <n v="9026"/>
    <x v="1"/>
    <x v="0"/>
  </r>
  <r>
    <n v="2723"/>
    <x v="0"/>
    <x v="0"/>
  </r>
  <r>
    <n v="5487"/>
    <x v="0"/>
    <x v="0"/>
  </r>
  <r>
    <n v="4656"/>
    <x v="1"/>
    <x v="0"/>
  </r>
  <r>
    <n v="5718"/>
    <x v="0"/>
    <x v="0"/>
  </r>
  <r>
    <n v="1215"/>
    <x v="1"/>
    <x v="0"/>
  </r>
  <r>
    <n v="3427"/>
    <x v="1"/>
    <x v="0"/>
  </r>
  <r>
    <n v="2428"/>
    <x v="0"/>
    <x v="0"/>
  </r>
  <r>
    <n v="1947"/>
    <x v="1"/>
    <x v="0"/>
  </r>
  <r>
    <n v="5036"/>
    <x v="1"/>
    <x v="0"/>
  </r>
  <r>
    <n v="5857"/>
    <x v="1"/>
    <x v="0"/>
  </r>
  <r>
    <n v="8770"/>
    <x v="1"/>
    <x v="0"/>
  </r>
  <r>
    <n v="4118"/>
    <x v="0"/>
    <x v="0"/>
  </r>
  <r>
    <n v="7162"/>
    <x v="0"/>
    <x v="0"/>
  </r>
  <r>
    <n v="9278"/>
    <x v="1"/>
    <x v="0"/>
  </r>
  <r>
    <n v="5406"/>
    <x v="0"/>
    <x v="0"/>
  </r>
  <r>
    <n v="4641"/>
    <x v="1"/>
    <x v="0"/>
  </r>
  <r>
    <n v="3969"/>
    <x v="1"/>
    <x v="0"/>
  </r>
  <r>
    <n v="3078"/>
    <x v="0"/>
    <x v="0"/>
  </r>
  <r>
    <n v="2808"/>
    <x v="0"/>
    <x v="0"/>
  </r>
  <r>
    <n v="7484"/>
    <x v="1"/>
    <x v="0"/>
  </r>
  <r>
    <n v="2396"/>
    <x v="1"/>
    <x v="0"/>
  </r>
  <r>
    <n v="2472"/>
    <x v="1"/>
    <x v="0"/>
  </r>
  <r>
    <n v="7939"/>
    <x v="0"/>
    <x v="0"/>
  </r>
  <r>
    <n v="8269"/>
    <x v="0"/>
    <x v="0"/>
  </r>
  <r>
    <n v="9073"/>
    <x v="0"/>
    <x v="0"/>
  </r>
  <r>
    <n v="9879"/>
    <x v="1"/>
    <x v="0"/>
  </r>
  <r>
    <n v="3822"/>
    <x v="1"/>
    <x v="0"/>
  </r>
  <r>
    <n v="9183"/>
    <x v="0"/>
    <x v="0"/>
  </r>
  <r>
    <n v="8674"/>
    <x v="1"/>
    <x v="0"/>
  </r>
  <r>
    <n v="2481"/>
    <x v="1"/>
    <x v="0"/>
  </r>
  <r>
    <n v="8729"/>
    <x v="0"/>
    <x v="0"/>
  </r>
  <r>
    <n v="5534"/>
    <x v="0"/>
    <x v="0"/>
  </r>
  <r>
    <n v="9785"/>
    <x v="1"/>
    <x v="0"/>
  </r>
  <r>
    <n v="9609"/>
    <x v="0"/>
    <x v="0"/>
  </r>
  <r>
    <n v="2829"/>
    <x v="0"/>
    <x v="0"/>
  </r>
  <r>
    <n v="1714"/>
    <x v="1"/>
    <x v="0"/>
  </r>
  <r>
    <n v="4475"/>
    <x v="0"/>
    <x v="0"/>
  </r>
  <r>
    <n v="9820"/>
    <x v="1"/>
    <x v="0"/>
  </r>
  <r>
    <n v="3261"/>
    <x v="0"/>
    <x v="0"/>
  </r>
  <r>
    <n v="6130"/>
    <x v="1"/>
    <x v="0"/>
  </r>
  <r>
    <n v="9399"/>
    <x v="1"/>
    <x v="0"/>
  </r>
  <r>
    <n v="6047"/>
    <x v="1"/>
    <x v="0"/>
  </r>
  <r>
    <n v="7789"/>
    <x v="1"/>
    <x v="0"/>
  </r>
  <r>
    <n v="6111"/>
    <x v="0"/>
    <x v="0"/>
  </r>
  <r>
    <n v="4968"/>
    <x v="0"/>
    <x v="0"/>
  </r>
  <r>
    <n v="2739"/>
    <x v="1"/>
    <x v="0"/>
  </r>
  <r>
    <n v="6974"/>
    <x v="0"/>
    <x v="0"/>
  </r>
  <r>
    <n v="1784"/>
    <x v="1"/>
    <x v="0"/>
  </r>
  <r>
    <n v="8077"/>
    <x v="0"/>
    <x v="0"/>
  </r>
  <r>
    <n v="2727"/>
    <x v="0"/>
    <x v="0"/>
  </r>
  <r>
    <n v="7661"/>
    <x v="1"/>
    <x v="0"/>
  </r>
  <r>
    <n v="5083"/>
    <x v="0"/>
    <x v="0"/>
  </r>
  <r>
    <n v="7275"/>
    <x v="0"/>
    <x v="0"/>
  </r>
  <r>
    <n v="7316"/>
    <x v="0"/>
    <x v="0"/>
  </r>
  <r>
    <n v="4497"/>
    <x v="0"/>
    <x v="0"/>
  </r>
  <r>
    <n v="8685"/>
    <x v="1"/>
    <x v="0"/>
  </r>
  <r>
    <n v="8583"/>
    <x v="1"/>
    <x v="0"/>
  </r>
  <r>
    <n v="1062"/>
    <x v="1"/>
    <x v="0"/>
  </r>
  <r>
    <n v="2593"/>
    <x v="1"/>
    <x v="0"/>
  </r>
  <r>
    <n v="3951"/>
    <x v="0"/>
    <x v="0"/>
  </r>
  <r>
    <n v="8580"/>
    <x v="1"/>
    <x v="0"/>
  </r>
  <r>
    <n v="4372"/>
    <x v="0"/>
    <x v="0"/>
  </r>
  <r>
    <n v="4463"/>
    <x v="0"/>
    <x v="0"/>
  </r>
  <r>
    <n v="7498"/>
    <x v="0"/>
    <x v="0"/>
  </r>
  <r>
    <n v="9618"/>
    <x v="1"/>
    <x v="0"/>
  </r>
  <r>
    <n v="1813"/>
    <x v="0"/>
    <x v="0"/>
  </r>
  <r>
    <n v="3009"/>
    <x v="0"/>
    <x v="0"/>
  </r>
  <r>
    <n v="8210"/>
    <x v="0"/>
    <x v="0"/>
  </r>
  <r>
    <n v="8439"/>
    <x v="1"/>
    <x v="0"/>
  </r>
  <r>
    <n v="8310"/>
    <x v="0"/>
    <x v="0"/>
  </r>
  <r>
    <n v="6369"/>
    <x v="0"/>
    <x v="0"/>
  </r>
  <r>
    <n v="5721"/>
    <x v="1"/>
    <x v="0"/>
  </r>
  <r>
    <n v="4204"/>
    <x v="1"/>
    <x v="0"/>
  </r>
  <r>
    <n v="5666"/>
    <x v="0"/>
    <x v="0"/>
  </r>
  <r>
    <n v="5943"/>
    <x v="1"/>
    <x v="0"/>
  </r>
  <r>
    <n v="3202"/>
    <x v="1"/>
    <x v="0"/>
  </r>
  <r>
    <n v="4512"/>
    <x v="0"/>
    <x v="0"/>
  </r>
  <r>
    <n v="2075"/>
    <x v="0"/>
    <x v="0"/>
  </r>
  <r>
    <n v="4057"/>
    <x v="0"/>
    <x v="0"/>
  </r>
  <r>
    <n v="5537"/>
    <x v="1"/>
    <x v="0"/>
  </r>
  <r>
    <n v="9520"/>
    <x v="0"/>
    <x v="0"/>
  </r>
  <r>
    <n v="1081"/>
    <x v="0"/>
    <x v="0"/>
  </r>
  <r>
    <n v="7621"/>
    <x v="1"/>
    <x v="0"/>
  </r>
  <r>
    <n v="4558"/>
    <x v="0"/>
    <x v="0"/>
  </r>
  <r>
    <n v="6628"/>
    <x v="0"/>
    <x v="0"/>
  </r>
  <r>
    <n v="7643"/>
    <x v="1"/>
    <x v="0"/>
  </r>
  <r>
    <n v="4709"/>
    <x v="0"/>
    <x v="0"/>
  </r>
  <r>
    <n v="8408"/>
    <x v="1"/>
    <x v="0"/>
  </r>
  <r>
    <n v="3530"/>
    <x v="1"/>
    <x v="0"/>
  </r>
  <r>
    <n v="3779"/>
    <x v="0"/>
    <x v="0"/>
  </r>
  <r>
    <n v="8564"/>
    <x v="1"/>
    <x v="0"/>
  </r>
  <r>
    <n v="8731"/>
    <x v="0"/>
    <x v="0"/>
  </r>
  <r>
    <n v="5000"/>
    <x v="1"/>
    <x v="0"/>
  </r>
  <r>
    <n v="3882"/>
    <x v="0"/>
    <x v="0"/>
  </r>
  <r>
    <n v="4551"/>
    <x v="0"/>
    <x v="0"/>
  </r>
  <r>
    <n v="7970"/>
    <x v="0"/>
    <x v="0"/>
  </r>
  <r>
    <n v="2466"/>
    <x v="1"/>
    <x v="0"/>
  </r>
  <r>
    <n v="1303"/>
    <x v="1"/>
    <x v="0"/>
  </r>
  <r>
    <n v="9832"/>
    <x v="0"/>
    <x v="0"/>
  </r>
  <r>
    <n v="3618"/>
    <x v="0"/>
    <x v="0"/>
  </r>
  <r>
    <n v="7424"/>
    <x v="0"/>
    <x v="0"/>
  </r>
  <r>
    <n v="8414"/>
    <x v="0"/>
    <x v="0"/>
  </r>
  <r>
    <n v="5688"/>
    <x v="0"/>
    <x v="0"/>
  </r>
  <r>
    <n v="2062"/>
    <x v="1"/>
    <x v="0"/>
  </r>
  <r>
    <n v="5031"/>
    <x v="1"/>
    <x v="0"/>
  </r>
  <r>
    <n v="1162"/>
    <x v="0"/>
    <x v="0"/>
  </r>
  <r>
    <n v="6564"/>
    <x v="1"/>
    <x v="0"/>
  </r>
  <r>
    <n v="9298"/>
    <x v="0"/>
    <x v="0"/>
  </r>
  <r>
    <n v="4216"/>
    <x v="1"/>
    <x v="0"/>
  </r>
  <r>
    <n v="3677"/>
    <x v="1"/>
    <x v="0"/>
  </r>
  <r>
    <n v="8453"/>
    <x v="0"/>
    <x v="0"/>
  </r>
  <r>
    <n v="6231"/>
    <x v="1"/>
    <x v="0"/>
  </r>
  <r>
    <n v="1481"/>
    <x v="1"/>
    <x v="0"/>
  </r>
  <r>
    <n v="7400"/>
    <x v="0"/>
    <x v="0"/>
  </r>
  <r>
    <n v="7447"/>
    <x v="0"/>
    <x v="0"/>
  </r>
  <r>
    <n v="4597"/>
    <x v="0"/>
    <x v="0"/>
  </r>
  <r>
    <n v="3173"/>
    <x v="0"/>
    <x v="0"/>
  </r>
  <r>
    <n v="9514"/>
    <x v="1"/>
    <x v="0"/>
  </r>
  <r>
    <n v="4985"/>
    <x v="1"/>
    <x v="0"/>
  </r>
  <r>
    <n v="4486"/>
    <x v="0"/>
    <x v="0"/>
  </r>
  <r>
    <n v="8756"/>
    <x v="0"/>
    <x v="0"/>
  </r>
  <r>
    <n v="9121"/>
    <x v="0"/>
    <x v="0"/>
  </r>
  <r>
    <n v="6471"/>
    <x v="0"/>
    <x v="0"/>
  </r>
  <r>
    <n v="6601"/>
    <x v="1"/>
    <x v="0"/>
  </r>
  <r>
    <n v="4340"/>
    <x v="0"/>
    <x v="0"/>
  </r>
  <r>
    <n v="5112"/>
    <x v="1"/>
    <x v="0"/>
  </r>
  <r>
    <n v="5700"/>
    <x v="0"/>
    <x v="0"/>
  </r>
  <r>
    <n v="8617"/>
    <x v="1"/>
    <x v="0"/>
  </r>
  <r>
    <n v="9149"/>
    <x v="1"/>
    <x v="0"/>
  </r>
  <r>
    <n v="8651"/>
    <x v="0"/>
    <x v="0"/>
  </r>
  <r>
    <n v="1495"/>
    <x v="0"/>
    <x v="0"/>
  </r>
  <r>
    <n v="7359"/>
    <x v="1"/>
    <x v="0"/>
  </r>
  <r>
    <n v="6525"/>
    <x v="0"/>
    <x v="0"/>
  </r>
  <r>
    <n v="7207"/>
    <x v="0"/>
    <x v="0"/>
  </r>
  <r>
    <n v="2361"/>
    <x v="1"/>
    <x v="0"/>
  </r>
  <r>
    <n v="8766"/>
    <x v="1"/>
    <x v="0"/>
  </r>
  <r>
    <n v="7236"/>
    <x v="1"/>
    <x v="0"/>
  </r>
  <r>
    <n v="8605"/>
    <x v="1"/>
    <x v="0"/>
  </r>
  <r>
    <n v="1055"/>
    <x v="1"/>
    <x v="0"/>
  </r>
  <r>
    <n v="7986"/>
    <x v="0"/>
    <x v="0"/>
  </r>
  <r>
    <n v="6170"/>
    <x v="0"/>
    <x v="0"/>
  </r>
  <r>
    <n v="7172"/>
    <x v="0"/>
    <x v="0"/>
  </r>
  <r>
    <n v="7408"/>
    <x v="0"/>
    <x v="0"/>
  </r>
  <r>
    <n v="7274"/>
    <x v="0"/>
    <x v="0"/>
  </r>
  <r>
    <n v="6001"/>
    <x v="1"/>
    <x v="0"/>
  </r>
  <r>
    <n v="9418"/>
    <x v="1"/>
    <x v="0"/>
  </r>
  <r>
    <n v="9354"/>
    <x v="0"/>
    <x v="0"/>
  </r>
  <r>
    <n v="8122"/>
    <x v="1"/>
    <x v="0"/>
  </r>
  <r>
    <n v="1765"/>
    <x v="0"/>
    <x v="0"/>
  </r>
  <r>
    <n v="5352"/>
    <x v="0"/>
    <x v="0"/>
  </r>
  <r>
    <n v="7578"/>
    <x v="1"/>
    <x v="0"/>
  </r>
  <r>
    <n v="8912"/>
    <x v="1"/>
    <x v="0"/>
  </r>
  <r>
    <n v="6641"/>
    <x v="1"/>
    <x v="0"/>
  </r>
  <r>
    <n v="9664"/>
    <x v="1"/>
    <x v="0"/>
  </r>
  <r>
    <n v="9134"/>
    <x v="0"/>
    <x v="0"/>
  </r>
  <r>
    <n v="6663"/>
    <x v="0"/>
    <x v="0"/>
  </r>
  <r>
    <n v="9800"/>
    <x v="1"/>
    <x v="0"/>
  </r>
  <r>
    <n v="2363"/>
    <x v="1"/>
    <x v="0"/>
  </r>
  <r>
    <n v="4875"/>
    <x v="1"/>
    <x v="0"/>
  </r>
  <r>
    <n v="8961"/>
    <x v="0"/>
    <x v="0"/>
  </r>
  <r>
    <n v="1539"/>
    <x v="1"/>
    <x v="0"/>
  </r>
  <r>
    <n v="4037"/>
    <x v="1"/>
    <x v="0"/>
  </r>
  <r>
    <n v="4239"/>
    <x v="0"/>
    <x v="0"/>
  </r>
  <r>
    <n v="4364"/>
    <x v="0"/>
    <x v="0"/>
  </r>
  <r>
    <n v="8946"/>
    <x v="1"/>
    <x v="0"/>
  </r>
  <r>
    <n v="5911"/>
    <x v="0"/>
    <x v="0"/>
  </r>
  <r>
    <n v="8033"/>
    <x v="1"/>
    <x v="0"/>
  </r>
  <r>
    <n v="6603"/>
    <x v="1"/>
    <x v="0"/>
  </r>
  <r>
    <n v="9630"/>
    <x v="1"/>
    <x v="0"/>
  </r>
  <r>
    <n v="1691"/>
    <x v="1"/>
    <x v="0"/>
  </r>
  <r>
    <n v="5590"/>
    <x v="0"/>
    <x v="0"/>
  </r>
  <r>
    <n v="8645"/>
    <x v="1"/>
    <x v="0"/>
  </r>
  <r>
    <n v="7663"/>
    <x v="1"/>
    <x v="0"/>
  </r>
  <r>
    <n v="2647"/>
    <x v="0"/>
    <x v="0"/>
  </r>
  <r>
    <n v="6539"/>
    <x v="1"/>
    <x v="0"/>
  </r>
  <r>
    <n v="3472"/>
    <x v="1"/>
    <x v="0"/>
  </r>
  <r>
    <n v="4314"/>
    <x v="1"/>
    <x v="0"/>
  </r>
  <r>
    <n v="6739"/>
    <x v="1"/>
    <x v="0"/>
  </r>
  <r>
    <n v="6368"/>
    <x v="1"/>
    <x v="0"/>
  </r>
  <r>
    <n v="7309"/>
    <x v="0"/>
    <x v="0"/>
  </r>
  <r>
    <n v="3976"/>
    <x v="0"/>
    <x v="0"/>
  </r>
  <r>
    <n v="7230"/>
    <x v="0"/>
    <x v="0"/>
  </r>
  <r>
    <n v="8888"/>
    <x v="0"/>
    <x v="0"/>
  </r>
  <r>
    <n v="1194"/>
    <x v="1"/>
    <x v="0"/>
  </r>
  <r>
    <n v="6983"/>
    <x v="1"/>
    <x v="0"/>
  </r>
  <r>
    <n v="1413"/>
    <x v="0"/>
    <x v="0"/>
  </r>
  <r>
    <n v="9509"/>
    <x v="1"/>
    <x v="0"/>
  </r>
  <r>
    <n v="6330"/>
    <x v="1"/>
    <x v="0"/>
  </r>
  <r>
    <n v="2504"/>
    <x v="1"/>
    <x v="0"/>
  </r>
  <r>
    <n v="6593"/>
    <x v="1"/>
    <x v="0"/>
  </r>
  <r>
    <n v="9537"/>
    <x v="0"/>
    <x v="0"/>
  </r>
  <r>
    <n v="9628"/>
    <x v="1"/>
    <x v="0"/>
  </r>
  <r>
    <n v="4024"/>
    <x v="0"/>
    <x v="0"/>
  </r>
  <r>
    <n v="5321"/>
    <x v="0"/>
    <x v="0"/>
  </r>
  <r>
    <n v="3926"/>
    <x v="0"/>
    <x v="0"/>
  </r>
  <r>
    <n v="8738"/>
    <x v="0"/>
    <x v="0"/>
  </r>
  <r>
    <n v="2701"/>
    <x v="1"/>
    <x v="0"/>
  </r>
  <r>
    <n v="5339"/>
    <x v="0"/>
    <x v="0"/>
  </r>
  <r>
    <n v="1612"/>
    <x v="1"/>
    <x v="0"/>
  </r>
  <r>
    <n v="5407"/>
    <x v="1"/>
    <x v="0"/>
  </r>
  <r>
    <n v="8225"/>
    <x v="1"/>
    <x v="0"/>
  </r>
  <r>
    <n v="4714"/>
    <x v="1"/>
    <x v="0"/>
  </r>
  <r>
    <n v="3826"/>
    <x v="0"/>
    <x v="0"/>
  </r>
  <r>
    <n v="3781"/>
    <x v="0"/>
    <x v="0"/>
  </r>
  <r>
    <n v="5635"/>
    <x v="0"/>
    <x v="0"/>
  </r>
  <r>
    <n v="2291"/>
    <x v="0"/>
    <x v="0"/>
  </r>
  <r>
    <n v="3119"/>
    <x v="0"/>
    <x v="0"/>
  </r>
  <r>
    <n v="5280"/>
    <x v="0"/>
    <x v="0"/>
  </r>
  <r>
    <n v="2546"/>
    <x v="0"/>
    <x v="0"/>
  </r>
  <r>
    <n v="5975"/>
    <x v="1"/>
    <x v="0"/>
  </r>
  <r>
    <n v="9113"/>
    <x v="0"/>
    <x v="0"/>
  </r>
  <r>
    <n v="6250"/>
    <x v="1"/>
    <x v="0"/>
  </r>
  <r>
    <n v="6190"/>
    <x v="0"/>
    <x v="0"/>
  </r>
  <r>
    <n v="5713"/>
    <x v="1"/>
    <x v="0"/>
  </r>
  <r>
    <n v="1932"/>
    <x v="1"/>
    <x v="0"/>
  </r>
  <r>
    <n v="6527"/>
    <x v="0"/>
    <x v="0"/>
  </r>
  <r>
    <n v="9363"/>
    <x v="1"/>
    <x v="0"/>
  </r>
  <r>
    <n v="5019"/>
    <x v="1"/>
    <x v="0"/>
  </r>
  <r>
    <n v="9258"/>
    <x v="0"/>
    <x v="0"/>
  </r>
  <r>
    <n v="7512"/>
    <x v="1"/>
    <x v="0"/>
  </r>
  <r>
    <n v="8195"/>
    <x v="1"/>
    <x v="0"/>
  </r>
  <r>
    <n v="8242"/>
    <x v="1"/>
    <x v="0"/>
  </r>
  <r>
    <n v="2220"/>
    <x v="1"/>
    <x v="0"/>
  </r>
  <r>
    <n v="9308"/>
    <x v="1"/>
    <x v="0"/>
  </r>
  <r>
    <n v="3437"/>
    <x v="0"/>
    <x v="0"/>
  </r>
  <r>
    <n v="8305"/>
    <x v="0"/>
    <x v="0"/>
  </r>
  <r>
    <n v="6773"/>
    <x v="1"/>
    <x v="0"/>
  </r>
  <r>
    <n v="3010"/>
    <x v="1"/>
    <x v="0"/>
  </r>
  <r>
    <n v="3622"/>
    <x v="0"/>
    <x v="0"/>
  </r>
  <r>
    <n v="6006"/>
    <x v="1"/>
    <x v="0"/>
  </r>
  <r>
    <n v="1338"/>
    <x v="1"/>
    <x v="0"/>
  </r>
  <r>
    <n v="6722"/>
    <x v="1"/>
    <x v="0"/>
  </r>
  <r>
    <n v="5871"/>
    <x v="0"/>
    <x v="0"/>
  </r>
  <r>
    <n v="9290"/>
    <x v="0"/>
    <x v="0"/>
  </r>
  <r>
    <n v="8567"/>
    <x v="0"/>
    <x v="0"/>
  </r>
  <r>
    <n v="5253"/>
    <x v="1"/>
    <x v="0"/>
  </r>
  <r>
    <n v="8172"/>
    <x v="0"/>
    <x v="0"/>
  </r>
  <r>
    <n v="2154"/>
    <x v="0"/>
    <x v="0"/>
  </r>
  <r>
    <n v="5013"/>
    <x v="0"/>
    <x v="0"/>
  </r>
  <r>
    <n v="4211"/>
    <x v="0"/>
    <x v="0"/>
  </r>
  <r>
    <n v="4408"/>
    <x v="1"/>
    <x v="0"/>
  </r>
  <r>
    <n v="8473"/>
    <x v="0"/>
    <x v="0"/>
  </r>
  <r>
    <n v="7510"/>
    <x v="0"/>
    <x v="0"/>
  </r>
  <r>
    <n v="5376"/>
    <x v="0"/>
    <x v="0"/>
  </r>
  <r>
    <n v="8005"/>
    <x v="0"/>
    <x v="0"/>
  </r>
  <r>
    <n v="7439"/>
    <x v="1"/>
    <x v="0"/>
  </r>
  <r>
    <n v="3699"/>
    <x v="0"/>
    <x v="0"/>
  </r>
  <r>
    <n v="3162"/>
    <x v="0"/>
    <x v="0"/>
  </r>
  <r>
    <n v="8798"/>
    <x v="1"/>
    <x v="0"/>
  </r>
  <r>
    <n v="6400"/>
    <x v="1"/>
    <x v="0"/>
  </r>
  <r>
    <n v="9404"/>
    <x v="0"/>
    <x v="0"/>
  </r>
  <r>
    <n v="8151"/>
    <x v="0"/>
    <x v="0"/>
  </r>
  <r>
    <n v="7742"/>
    <x v="1"/>
    <x v="0"/>
  </r>
  <r>
    <n v="4553"/>
    <x v="1"/>
    <x v="0"/>
  </r>
  <r>
    <n v="6919"/>
    <x v="0"/>
    <x v="0"/>
  </r>
  <r>
    <n v="7168"/>
    <x v="0"/>
    <x v="0"/>
  </r>
  <r>
    <n v="6474"/>
    <x v="0"/>
    <x v="0"/>
  </r>
  <r>
    <n v="4242"/>
    <x v="0"/>
    <x v="0"/>
  </r>
  <r>
    <n v="3395"/>
    <x v="1"/>
    <x v="0"/>
  </r>
  <r>
    <n v="8694"/>
    <x v="1"/>
    <x v="0"/>
  </r>
  <r>
    <n v="7150"/>
    <x v="1"/>
    <x v="0"/>
  </r>
  <r>
    <n v="4111"/>
    <x v="0"/>
    <x v="0"/>
  </r>
  <r>
    <n v="3532"/>
    <x v="1"/>
    <x v="0"/>
  </r>
  <r>
    <n v="5375"/>
    <x v="0"/>
    <x v="0"/>
  </r>
  <r>
    <n v="8881"/>
    <x v="0"/>
    <x v="0"/>
  </r>
  <r>
    <n v="1235"/>
    <x v="0"/>
    <x v="0"/>
  </r>
  <r>
    <n v="2533"/>
    <x v="1"/>
    <x v="0"/>
  </r>
  <r>
    <n v="2734"/>
    <x v="1"/>
    <x v="0"/>
  </r>
  <r>
    <n v="4129"/>
    <x v="1"/>
    <x v="0"/>
  </r>
  <r>
    <n v="3762"/>
    <x v="1"/>
    <x v="0"/>
  </r>
  <r>
    <n v="4341"/>
    <x v="0"/>
    <x v="0"/>
  </r>
  <r>
    <n v="6638"/>
    <x v="0"/>
    <x v="0"/>
  </r>
  <r>
    <n v="5861"/>
    <x v="0"/>
    <x v="0"/>
  </r>
  <r>
    <n v="8815"/>
    <x v="0"/>
    <x v="0"/>
  </r>
  <r>
    <n v="8793"/>
    <x v="0"/>
    <x v="0"/>
  </r>
  <r>
    <n v="3469"/>
    <x v="1"/>
    <x v="0"/>
  </r>
  <r>
    <n v="3654"/>
    <x v="1"/>
    <x v="0"/>
  </r>
  <r>
    <n v="9555"/>
    <x v="1"/>
    <x v="0"/>
  </r>
  <r>
    <n v="4028"/>
    <x v="0"/>
    <x v="0"/>
  </r>
  <r>
    <n v="9499"/>
    <x v="0"/>
    <x v="0"/>
  </r>
  <r>
    <n v="8628"/>
    <x v="1"/>
    <x v="0"/>
  </r>
  <r>
    <n v="9942"/>
    <x v="1"/>
    <x v="0"/>
  </r>
  <r>
    <n v="4044"/>
    <x v="1"/>
    <x v="0"/>
  </r>
  <r>
    <n v="8143"/>
    <x v="1"/>
    <x v="0"/>
  </r>
  <r>
    <n v="3984"/>
    <x v="1"/>
    <x v="0"/>
  </r>
  <r>
    <n v="9294"/>
    <x v="0"/>
    <x v="0"/>
  </r>
  <r>
    <n v="4769"/>
    <x v="1"/>
    <x v="0"/>
  </r>
  <r>
    <n v="8864"/>
    <x v="0"/>
    <x v="0"/>
  </r>
  <r>
    <n v="1857"/>
    <x v="1"/>
    <x v="0"/>
  </r>
  <r>
    <n v="5566"/>
    <x v="1"/>
    <x v="0"/>
  </r>
  <r>
    <n v="1373"/>
    <x v="1"/>
    <x v="0"/>
  </r>
  <r>
    <n v="6345"/>
    <x v="0"/>
    <x v="0"/>
  </r>
  <r>
    <n v="3234"/>
    <x v="1"/>
    <x v="0"/>
  </r>
  <r>
    <n v="6998"/>
    <x v="0"/>
    <x v="0"/>
  </r>
  <r>
    <n v="5809"/>
    <x v="0"/>
    <x v="0"/>
  </r>
  <r>
    <n v="6522"/>
    <x v="1"/>
    <x v="0"/>
  </r>
  <r>
    <n v="3892"/>
    <x v="0"/>
    <x v="0"/>
  </r>
  <r>
    <n v="4427"/>
    <x v="0"/>
    <x v="0"/>
  </r>
  <r>
    <n v="8145"/>
    <x v="0"/>
    <x v="0"/>
  </r>
  <r>
    <n v="1150"/>
    <x v="1"/>
    <x v="0"/>
  </r>
  <r>
    <n v="7366"/>
    <x v="1"/>
    <x v="0"/>
  </r>
  <r>
    <n v="3004"/>
    <x v="1"/>
    <x v="0"/>
  </r>
  <r>
    <n v="9934"/>
    <x v="0"/>
    <x v="0"/>
  </r>
  <r>
    <n v="1228"/>
    <x v="0"/>
    <x v="0"/>
  </r>
  <r>
    <n v="5806"/>
    <x v="1"/>
    <x v="0"/>
  </r>
  <r>
    <n v="7538"/>
    <x v="0"/>
    <x v="0"/>
  </r>
  <r>
    <n v="1035"/>
    <x v="1"/>
    <x v="0"/>
  </r>
  <r>
    <n v="8399"/>
    <x v="0"/>
    <x v="0"/>
  </r>
  <r>
    <n v="1912"/>
    <x v="0"/>
    <x v="0"/>
  </r>
  <r>
    <n v="6604"/>
    <x v="0"/>
    <x v="0"/>
  </r>
  <r>
    <n v="8952"/>
    <x v="1"/>
    <x v="0"/>
  </r>
  <r>
    <n v="2549"/>
    <x v="1"/>
    <x v="0"/>
  </r>
  <r>
    <n v="8954"/>
    <x v="0"/>
    <x v="0"/>
  </r>
  <r>
    <n v="1922"/>
    <x v="0"/>
    <x v="0"/>
  </r>
  <r>
    <n v="9861"/>
    <x v="1"/>
    <x v="0"/>
  </r>
  <r>
    <n v="4383"/>
    <x v="0"/>
    <x v="0"/>
  </r>
  <r>
    <n v="4328"/>
    <x v="0"/>
    <x v="0"/>
  </r>
  <r>
    <n v="4622"/>
    <x v="1"/>
    <x v="0"/>
  </r>
  <r>
    <n v="7828"/>
    <x v="0"/>
    <x v="0"/>
  </r>
  <r>
    <n v="1393"/>
    <x v="1"/>
    <x v="0"/>
  </r>
  <r>
    <n v="9239"/>
    <x v="1"/>
    <x v="0"/>
  </r>
  <r>
    <n v="1636"/>
    <x v="0"/>
    <x v="0"/>
  </r>
  <r>
    <n v="4401"/>
    <x v="1"/>
    <x v="0"/>
  </r>
  <r>
    <n v="7135"/>
    <x v="0"/>
    <x v="0"/>
  </r>
  <r>
    <n v="8923"/>
    <x v="0"/>
    <x v="0"/>
  </r>
  <r>
    <n v="9748"/>
    <x v="1"/>
    <x v="0"/>
  </r>
  <r>
    <n v="7046"/>
    <x v="0"/>
    <x v="0"/>
  </r>
  <r>
    <n v="9688"/>
    <x v="0"/>
    <x v="0"/>
  </r>
  <r>
    <n v="6720"/>
    <x v="0"/>
    <x v="0"/>
  </r>
  <r>
    <n v="2766"/>
    <x v="0"/>
    <x v="0"/>
  </r>
  <r>
    <n v="3847"/>
    <x v="0"/>
    <x v="0"/>
  </r>
  <r>
    <n v="8554"/>
    <x v="0"/>
    <x v="0"/>
  </r>
  <r>
    <n v="6569"/>
    <x v="0"/>
    <x v="0"/>
  </r>
  <r>
    <n v="6391"/>
    <x v="1"/>
    <x v="0"/>
  </r>
  <r>
    <n v="4883"/>
    <x v="1"/>
    <x v="0"/>
  </r>
  <r>
    <n v="4530"/>
    <x v="0"/>
    <x v="0"/>
  </r>
  <r>
    <n v="6531"/>
    <x v="0"/>
    <x v="0"/>
  </r>
  <r>
    <n v="9701"/>
    <x v="0"/>
    <x v="0"/>
  </r>
  <r>
    <n v="4702"/>
    <x v="1"/>
    <x v="0"/>
  </r>
  <r>
    <n v="3163"/>
    <x v="1"/>
    <x v="0"/>
  </r>
  <r>
    <n v="8719"/>
    <x v="1"/>
    <x v="0"/>
  </r>
  <r>
    <n v="1282"/>
    <x v="0"/>
    <x v="0"/>
  </r>
  <r>
    <n v="4538"/>
    <x v="1"/>
    <x v="0"/>
  </r>
  <r>
    <n v="9538"/>
    <x v="1"/>
    <x v="0"/>
  </r>
  <r>
    <n v="5109"/>
    <x v="0"/>
    <x v="0"/>
  </r>
  <r>
    <n v="7947"/>
    <x v="0"/>
    <x v="0"/>
  </r>
  <r>
    <n v="7546"/>
    <x v="0"/>
    <x v="0"/>
  </r>
  <r>
    <n v="4213"/>
    <x v="1"/>
    <x v="0"/>
  </r>
  <r>
    <n v="3135"/>
    <x v="0"/>
    <x v="0"/>
  </r>
  <r>
    <n v="9916"/>
    <x v="0"/>
    <x v="0"/>
  </r>
  <r>
    <n v="2784"/>
    <x v="0"/>
    <x v="0"/>
  </r>
  <r>
    <n v="5916"/>
    <x v="1"/>
    <x v="0"/>
  </r>
  <r>
    <n v="1674"/>
    <x v="1"/>
    <x v="0"/>
  </r>
  <r>
    <n v="2095"/>
    <x v="1"/>
    <x v="0"/>
  </r>
  <r>
    <n v="9594"/>
    <x v="1"/>
    <x v="0"/>
  </r>
  <r>
    <n v="6750"/>
    <x v="1"/>
    <x v="0"/>
  </r>
  <r>
    <n v="7235"/>
    <x v="0"/>
    <x v="0"/>
  </r>
  <r>
    <n v="3910"/>
    <x v="0"/>
    <x v="0"/>
  </r>
  <r>
    <n v="8190"/>
    <x v="1"/>
    <x v="0"/>
  </r>
  <r>
    <n v="5315"/>
    <x v="0"/>
    <x v="0"/>
  </r>
  <r>
    <n v="7503"/>
    <x v="0"/>
    <x v="0"/>
  </r>
  <r>
    <n v="5788"/>
    <x v="0"/>
    <x v="0"/>
  </r>
  <r>
    <n v="7030"/>
    <x v="0"/>
    <x v="0"/>
  </r>
  <r>
    <n v="6619"/>
    <x v="0"/>
    <x v="0"/>
  </r>
  <r>
    <n v="6319"/>
    <x v="0"/>
    <x v="0"/>
  </r>
  <r>
    <n v="6268"/>
    <x v="1"/>
    <x v="0"/>
  </r>
  <r>
    <n v="5016"/>
    <x v="0"/>
    <x v="0"/>
  </r>
  <r>
    <n v="3888"/>
    <x v="0"/>
    <x v="0"/>
  </r>
  <r>
    <n v="9918"/>
    <x v="1"/>
    <x v="0"/>
  </r>
  <r>
    <n v="7305"/>
    <x v="1"/>
    <x v="0"/>
  </r>
  <r>
    <n v="5719"/>
    <x v="0"/>
    <x v="0"/>
  </r>
  <r>
    <n v="2334"/>
    <x v="0"/>
    <x v="0"/>
  </r>
  <r>
    <n v="1006"/>
    <x v="0"/>
    <x v="0"/>
  </r>
  <r>
    <n v="6719"/>
    <x v="0"/>
    <x v="0"/>
  </r>
  <r>
    <n v="6138"/>
    <x v="0"/>
    <x v="0"/>
  </r>
  <r>
    <n v="1255"/>
    <x v="1"/>
    <x v="0"/>
  </r>
  <r>
    <n v="5528"/>
    <x v="1"/>
    <x v="0"/>
  </r>
  <r>
    <n v="2517"/>
    <x v="1"/>
    <x v="0"/>
  </r>
  <r>
    <n v="9593"/>
    <x v="1"/>
    <x v="0"/>
  </r>
  <r>
    <n v="7507"/>
    <x v="0"/>
    <x v="0"/>
  </r>
  <r>
    <n v="2884"/>
    <x v="0"/>
    <x v="0"/>
  </r>
  <r>
    <n v="6374"/>
    <x v="1"/>
    <x v="0"/>
  </r>
  <r>
    <n v="6888"/>
    <x v="0"/>
    <x v="0"/>
  </r>
  <r>
    <n v="2788"/>
    <x v="0"/>
    <x v="0"/>
  </r>
  <r>
    <n v="7892"/>
    <x v="0"/>
    <x v="0"/>
  </r>
  <r>
    <n v="4576"/>
    <x v="1"/>
    <x v="0"/>
  </r>
  <r>
    <n v="8901"/>
    <x v="1"/>
    <x v="0"/>
  </r>
  <r>
    <n v="5147"/>
    <x v="0"/>
    <x v="0"/>
  </r>
  <r>
    <n v="8646"/>
    <x v="1"/>
    <x v="0"/>
  </r>
  <r>
    <n v="8343"/>
    <x v="0"/>
    <x v="0"/>
  </r>
  <r>
    <n v="9332"/>
    <x v="0"/>
    <x v="0"/>
  </r>
  <r>
    <n v="7398"/>
    <x v="1"/>
    <x v="0"/>
  </r>
  <r>
    <n v="3572"/>
    <x v="0"/>
    <x v="0"/>
  </r>
  <r>
    <n v="4590"/>
    <x v="1"/>
    <x v="0"/>
  </r>
  <r>
    <n v="1831"/>
    <x v="1"/>
    <x v="0"/>
  </r>
  <r>
    <n v="6899"/>
    <x v="0"/>
    <x v="0"/>
  </r>
  <r>
    <n v="1148"/>
    <x v="1"/>
    <x v="0"/>
  </r>
  <r>
    <n v="3745"/>
    <x v="1"/>
    <x v="0"/>
  </r>
  <r>
    <n v="5084"/>
    <x v="0"/>
    <x v="0"/>
  </r>
  <r>
    <n v="7179"/>
    <x v="1"/>
    <x v="0"/>
  </r>
  <r>
    <n v="1005"/>
    <x v="1"/>
    <x v="0"/>
  </r>
  <r>
    <n v="6405"/>
    <x v="1"/>
    <x v="0"/>
  </r>
  <r>
    <n v="5215"/>
    <x v="0"/>
    <x v="0"/>
  </r>
  <r>
    <n v="7525"/>
    <x v="1"/>
    <x v="0"/>
  </r>
  <r>
    <n v="9115"/>
    <x v="0"/>
    <x v="0"/>
  </r>
  <r>
    <n v="6454"/>
    <x v="1"/>
    <x v="0"/>
  </r>
  <r>
    <n v="4781"/>
    <x v="1"/>
    <x v="0"/>
  </r>
  <r>
    <n v="5040"/>
    <x v="0"/>
    <x v="0"/>
  </r>
  <r>
    <n v="3209"/>
    <x v="0"/>
    <x v="0"/>
  </r>
  <r>
    <n v="8703"/>
    <x v="0"/>
    <x v="0"/>
  </r>
  <r>
    <n v="2536"/>
    <x v="0"/>
    <x v="0"/>
  </r>
  <r>
    <n v="2057"/>
    <x v="0"/>
    <x v="0"/>
  </r>
  <r>
    <n v="5627"/>
    <x v="1"/>
    <x v="0"/>
  </r>
  <r>
    <n v="4763"/>
    <x v="0"/>
    <x v="0"/>
  </r>
  <r>
    <n v="4577"/>
    <x v="1"/>
    <x v="0"/>
  </r>
  <r>
    <n v="5216"/>
    <x v="1"/>
    <x v="0"/>
  </r>
  <r>
    <n v="3941"/>
    <x v="1"/>
    <x v="0"/>
  </r>
  <r>
    <n v="4396"/>
    <x v="1"/>
    <x v="0"/>
  </r>
  <r>
    <n v="4865"/>
    <x v="1"/>
    <x v="0"/>
  </r>
  <r>
    <n v="2497"/>
    <x v="1"/>
    <x v="0"/>
  </r>
  <r>
    <n v="4945"/>
    <x v="0"/>
    <x v="0"/>
  </r>
  <r>
    <n v="5227"/>
    <x v="1"/>
    <x v="0"/>
  </r>
  <r>
    <n v="2150"/>
    <x v="0"/>
    <x v="0"/>
  </r>
  <r>
    <n v="7145"/>
    <x v="0"/>
    <x v="0"/>
  </r>
  <r>
    <n v="2040"/>
    <x v="1"/>
    <x v="0"/>
  </r>
  <r>
    <n v="4191"/>
    <x v="1"/>
    <x v="0"/>
  </r>
  <r>
    <n v="4336"/>
    <x v="1"/>
    <x v="0"/>
  </r>
  <r>
    <n v="5438"/>
    <x v="0"/>
    <x v="0"/>
  </r>
  <r>
    <n v="9857"/>
    <x v="1"/>
    <x v="0"/>
  </r>
  <r>
    <n v="4767"/>
    <x v="1"/>
    <x v="0"/>
  </r>
  <r>
    <n v="9374"/>
    <x v="1"/>
    <x v="0"/>
  </r>
  <r>
    <n v="3918"/>
    <x v="1"/>
    <x v="0"/>
  </r>
  <r>
    <n v="9866"/>
    <x v="1"/>
    <x v="0"/>
  </r>
  <r>
    <n v="6389"/>
    <x v="0"/>
    <x v="0"/>
  </r>
  <r>
    <n v="8733"/>
    <x v="1"/>
    <x v="0"/>
  </r>
  <r>
    <n v="8105"/>
    <x v="1"/>
    <x v="0"/>
  </r>
  <r>
    <n v="3443"/>
    <x v="1"/>
    <x v="0"/>
  </r>
  <r>
    <n v="2664"/>
    <x v="0"/>
    <x v="0"/>
  </r>
  <r>
    <n v="1782"/>
    <x v="0"/>
    <x v="0"/>
  </r>
  <r>
    <n v="1337"/>
    <x v="0"/>
    <x v="0"/>
  </r>
  <r>
    <n v="5901"/>
    <x v="0"/>
    <x v="0"/>
  </r>
  <r>
    <n v="2731"/>
    <x v="1"/>
    <x v="0"/>
  </r>
  <r>
    <n v="8307"/>
    <x v="0"/>
    <x v="0"/>
  </r>
  <r>
    <n v="8019"/>
    <x v="0"/>
    <x v="0"/>
  </r>
  <r>
    <n v="4847"/>
    <x v="0"/>
    <x v="0"/>
  </r>
  <r>
    <n v="9822"/>
    <x v="0"/>
    <x v="0"/>
  </r>
  <r>
    <n v="9141"/>
    <x v="0"/>
    <x v="0"/>
  </r>
  <r>
    <n v="7539"/>
    <x v="1"/>
    <x v="0"/>
  </r>
  <r>
    <n v="1390"/>
    <x v="1"/>
    <x v="0"/>
  </r>
  <r>
    <n v="9505"/>
    <x v="1"/>
    <x v="0"/>
  </r>
  <r>
    <n v="6741"/>
    <x v="0"/>
    <x v="0"/>
  </r>
  <r>
    <n v="1790"/>
    <x v="1"/>
    <x v="0"/>
  </r>
  <r>
    <n v="6491"/>
    <x v="0"/>
    <x v="0"/>
  </r>
  <r>
    <n v="3102"/>
    <x v="1"/>
    <x v="0"/>
  </r>
  <r>
    <n v="1300"/>
    <x v="1"/>
    <x v="0"/>
  </r>
  <r>
    <n v="5410"/>
    <x v="0"/>
    <x v="0"/>
  </r>
  <r>
    <n v="2714"/>
    <x v="0"/>
    <x v="0"/>
  </r>
  <r>
    <n v="4700"/>
    <x v="0"/>
    <x v="0"/>
  </r>
  <r>
    <n v="7589"/>
    <x v="0"/>
    <x v="0"/>
  </r>
  <r>
    <n v="6866"/>
    <x v="1"/>
    <x v="0"/>
  </r>
  <r>
    <n v="6960"/>
    <x v="1"/>
    <x v="0"/>
  </r>
  <r>
    <n v="5808"/>
    <x v="1"/>
    <x v="0"/>
  </r>
  <r>
    <n v="5525"/>
    <x v="1"/>
    <x v="0"/>
  </r>
  <r>
    <n v="1272"/>
    <x v="0"/>
    <x v="0"/>
  </r>
  <r>
    <n v="8063"/>
    <x v="1"/>
    <x v="0"/>
  </r>
  <r>
    <n v="1856"/>
    <x v="0"/>
    <x v="0"/>
  </r>
  <r>
    <n v="2830"/>
    <x v="1"/>
    <x v="0"/>
  </r>
  <r>
    <n v="3287"/>
    <x v="1"/>
    <x v="0"/>
  </r>
  <r>
    <n v="5679"/>
    <x v="0"/>
    <x v="0"/>
  </r>
  <r>
    <n v="6399"/>
    <x v="0"/>
    <x v="0"/>
  </r>
  <r>
    <n v="8753"/>
    <x v="0"/>
    <x v="0"/>
  </r>
  <r>
    <n v="9267"/>
    <x v="1"/>
    <x v="0"/>
  </r>
  <r>
    <n v="9846"/>
    <x v="0"/>
    <x v="0"/>
  </r>
  <r>
    <n v="2382"/>
    <x v="1"/>
    <x v="0"/>
  </r>
  <r>
    <n v="3593"/>
    <x v="0"/>
    <x v="0"/>
  </r>
  <r>
    <n v="4097"/>
    <x v="0"/>
    <x v="0"/>
  </r>
  <r>
    <n v="2886"/>
    <x v="0"/>
    <x v="0"/>
  </r>
  <r>
    <n v="3255"/>
    <x v="1"/>
    <x v="0"/>
  </r>
  <r>
    <n v="6752"/>
    <x v="1"/>
    <x v="0"/>
  </r>
  <r>
    <n v="7945"/>
    <x v="1"/>
    <x v="0"/>
  </r>
  <r>
    <n v="6658"/>
    <x v="1"/>
    <x v="0"/>
  </r>
  <r>
    <n v="5468"/>
    <x v="1"/>
    <x v="0"/>
  </r>
  <r>
    <n v="7451"/>
    <x v="0"/>
    <x v="0"/>
  </r>
  <r>
    <n v="1253"/>
    <x v="0"/>
    <x v="0"/>
  </r>
  <r>
    <n v="6746"/>
    <x v="0"/>
    <x v="0"/>
  </r>
  <r>
    <n v="8089"/>
    <x v="0"/>
    <x v="0"/>
  </r>
  <r>
    <n v="8045"/>
    <x v="0"/>
    <x v="0"/>
  </r>
  <r>
    <n v="9417"/>
    <x v="1"/>
    <x v="0"/>
  </r>
  <r>
    <n v="3217"/>
    <x v="1"/>
    <x v="0"/>
  </r>
  <r>
    <n v="4234"/>
    <x v="1"/>
    <x v="0"/>
  </r>
  <r>
    <n v="1118"/>
    <x v="1"/>
    <x v="0"/>
  </r>
  <r>
    <n v="4027"/>
    <x v="1"/>
    <x v="0"/>
  </r>
  <r>
    <n v="8451"/>
    <x v="1"/>
    <x v="0"/>
  </r>
  <r>
    <n v="6647"/>
    <x v="1"/>
    <x v="0"/>
  </r>
  <r>
    <n v="4002"/>
    <x v="1"/>
    <x v="0"/>
  </r>
  <r>
    <n v="6910"/>
    <x v="1"/>
    <x v="0"/>
  </r>
  <r>
    <n v="3164"/>
    <x v="0"/>
    <x v="0"/>
  </r>
  <r>
    <n v="2400"/>
    <x v="0"/>
    <x v="0"/>
  </r>
  <r>
    <n v="5499"/>
    <x v="0"/>
    <x v="0"/>
  </r>
  <r>
    <n v="7221"/>
    <x v="1"/>
    <x v="0"/>
  </r>
  <r>
    <n v="4556"/>
    <x v="0"/>
    <x v="0"/>
  </r>
  <r>
    <n v="7175"/>
    <x v="1"/>
    <x v="0"/>
  </r>
  <r>
    <n v="7072"/>
    <x v="1"/>
    <x v="0"/>
  </r>
  <r>
    <n v="4320"/>
    <x v="1"/>
    <x v="0"/>
  </r>
  <r>
    <n v="3558"/>
    <x v="0"/>
    <x v="0"/>
  </r>
  <r>
    <n v="8581"/>
    <x v="1"/>
    <x v="0"/>
  </r>
  <r>
    <n v="5827"/>
    <x v="1"/>
    <x v="0"/>
  </r>
  <r>
    <n v="6929"/>
    <x v="0"/>
    <x v="0"/>
  </r>
  <r>
    <n v="9179"/>
    <x v="1"/>
    <x v="0"/>
  </r>
  <r>
    <n v="7580"/>
    <x v="1"/>
    <x v="0"/>
  </r>
  <r>
    <n v="3858"/>
    <x v="1"/>
    <x v="0"/>
  </r>
  <r>
    <n v="8627"/>
    <x v="0"/>
    <x v="0"/>
  </r>
  <r>
    <n v="7552"/>
    <x v="0"/>
    <x v="0"/>
  </r>
  <r>
    <n v="6020"/>
    <x v="1"/>
    <x v="0"/>
  </r>
  <r>
    <n v="9408"/>
    <x v="1"/>
    <x v="0"/>
  </r>
  <r>
    <n v="9990"/>
    <x v="1"/>
    <x v="0"/>
  </r>
  <r>
    <n v="3687"/>
    <x v="0"/>
    <x v="0"/>
  </r>
  <r>
    <n v="4540"/>
    <x v="1"/>
    <x v="0"/>
  </r>
  <r>
    <n v="8264"/>
    <x v="1"/>
    <x v="0"/>
  </r>
  <r>
    <n v="7448"/>
    <x v="1"/>
    <x v="0"/>
  </r>
  <r>
    <n v="1123"/>
    <x v="0"/>
    <x v="0"/>
  </r>
  <r>
    <n v="4103"/>
    <x v="1"/>
    <x v="0"/>
  </r>
  <r>
    <n v="2904"/>
    <x v="0"/>
    <x v="0"/>
  </r>
  <r>
    <n v="5634"/>
    <x v="0"/>
    <x v="0"/>
  </r>
  <r>
    <n v="5360"/>
    <x v="1"/>
    <x v="0"/>
  </r>
  <r>
    <n v="8571"/>
    <x v="0"/>
    <x v="0"/>
  </r>
  <r>
    <n v="9439"/>
    <x v="0"/>
    <x v="0"/>
  </r>
  <r>
    <n v="8356"/>
    <x v="1"/>
    <x v="0"/>
  </r>
  <r>
    <n v="2039"/>
    <x v="0"/>
    <x v="0"/>
  </r>
  <r>
    <n v="2613"/>
    <x v="0"/>
    <x v="0"/>
  </r>
  <r>
    <n v="8226"/>
    <x v="1"/>
    <x v="0"/>
  </r>
  <r>
    <n v="1425"/>
    <x v="1"/>
    <x v="0"/>
  </r>
  <r>
    <n v="4479"/>
    <x v="1"/>
    <x v="0"/>
  </r>
  <r>
    <n v="3393"/>
    <x v="1"/>
    <x v="0"/>
  </r>
  <r>
    <n v="8528"/>
    <x v="1"/>
    <x v="0"/>
  </r>
  <r>
    <n v="9372"/>
    <x v="0"/>
    <x v="0"/>
  </r>
  <r>
    <n v="5469"/>
    <x v="0"/>
    <x v="0"/>
  </r>
  <r>
    <n v="2603"/>
    <x v="1"/>
    <x v="0"/>
  </r>
  <r>
    <n v="5306"/>
    <x v="1"/>
    <x v="0"/>
  </r>
  <r>
    <n v="7869"/>
    <x v="1"/>
    <x v="0"/>
  </r>
  <r>
    <n v="1699"/>
    <x v="1"/>
    <x v="0"/>
  </r>
  <r>
    <n v="3214"/>
    <x v="1"/>
    <x v="0"/>
  </r>
  <r>
    <n v="1050"/>
    <x v="0"/>
    <x v="0"/>
  </r>
  <r>
    <n v="3325"/>
    <x v="1"/>
    <x v="0"/>
  </r>
  <r>
    <n v="1970"/>
    <x v="0"/>
    <x v="0"/>
  </r>
  <r>
    <n v="6272"/>
    <x v="0"/>
    <x v="0"/>
  </r>
  <r>
    <n v="4745"/>
    <x v="1"/>
    <x v="0"/>
  </r>
  <r>
    <n v="8867"/>
    <x v="0"/>
    <x v="0"/>
  </r>
  <r>
    <n v="4901"/>
    <x v="1"/>
    <x v="0"/>
  </r>
  <r>
    <n v="9575"/>
    <x v="1"/>
    <x v="0"/>
  </r>
  <r>
    <n v="4471"/>
    <x v="0"/>
    <x v="0"/>
  </r>
  <r>
    <n v="1385"/>
    <x v="1"/>
    <x v="0"/>
  </r>
  <r>
    <n v="4302"/>
    <x v="1"/>
    <x v="0"/>
  </r>
  <r>
    <n v="4738"/>
    <x v="0"/>
    <x v="0"/>
  </r>
  <r>
    <n v="2441"/>
    <x v="0"/>
    <x v="0"/>
  </r>
  <r>
    <n v="6546"/>
    <x v="1"/>
    <x v="0"/>
  </r>
  <r>
    <n v="5459"/>
    <x v="0"/>
    <x v="0"/>
  </r>
  <r>
    <n v="7051"/>
    <x v="1"/>
    <x v="0"/>
  </r>
  <r>
    <n v="6671"/>
    <x v="1"/>
    <x v="0"/>
  </r>
  <r>
    <n v="6013"/>
    <x v="0"/>
    <x v="0"/>
  </r>
  <r>
    <n v="9996"/>
    <x v="1"/>
    <x v="0"/>
  </r>
  <r>
    <n v="4851"/>
    <x v="1"/>
    <x v="0"/>
  </r>
  <r>
    <n v="2498"/>
    <x v="1"/>
    <x v="0"/>
  </r>
  <r>
    <n v="6208"/>
    <x v="1"/>
    <x v="0"/>
  </r>
  <r>
    <n v="7171"/>
    <x v="0"/>
    <x v="0"/>
  </r>
  <r>
    <n v="7667"/>
    <x v="0"/>
    <x v="0"/>
  </r>
  <r>
    <n v="4912"/>
    <x v="1"/>
    <x v="0"/>
  </r>
  <r>
    <n v="7975"/>
    <x v="0"/>
    <x v="0"/>
  </r>
  <r>
    <n v="6804"/>
    <x v="1"/>
    <x v="0"/>
  </r>
  <r>
    <n v="3877"/>
    <x v="0"/>
    <x v="0"/>
  </r>
  <r>
    <n v="8768"/>
    <x v="0"/>
    <x v="0"/>
  </r>
  <r>
    <n v="1420"/>
    <x v="0"/>
    <x v="0"/>
  </r>
  <r>
    <n v="2306"/>
    <x v="0"/>
    <x v="0"/>
  </r>
  <r>
    <n v="2079"/>
    <x v="1"/>
    <x v="0"/>
  </r>
  <r>
    <n v="3554"/>
    <x v="0"/>
    <x v="0"/>
  </r>
  <r>
    <n v="7616"/>
    <x v="1"/>
    <x v="0"/>
  </r>
  <r>
    <n v="5650"/>
    <x v="0"/>
    <x v="0"/>
  </r>
  <r>
    <n v="9385"/>
    <x v="1"/>
    <x v="0"/>
  </r>
  <r>
    <n v="2482"/>
    <x v="1"/>
    <x v="0"/>
  </r>
  <r>
    <n v="9017"/>
    <x v="1"/>
    <x v="0"/>
  </r>
  <r>
    <n v="7001"/>
    <x v="0"/>
    <x v="0"/>
  </r>
  <r>
    <n v="2942"/>
    <x v="1"/>
    <x v="0"/>
  </r>
  <r>
    <n v="8833"/>
    <x v="1"/>
    <x v="0"/>
  </r>
  <r>
    <n v="8079"/>
    <x v="0"/>
    <x v="0"/>
  </r>
  <r>
    <n v="3797"/>
    <x v="1"/>
    <x v="0"/>
  </r>
  <r>
    <n v="7268"/>
    <x v="1"/>
    <x v="0"/>
  </r>
  <r>
    <n v="9803"/>
    <x v="0"/>
    <x v="0"/>
  </r>
  <r>
    <n v="2165"/>
    <x v="0"/>
    <x v="0"/>
  </r>
  <r>
    <n v="1528"/>
    <x v="0"/>
    <x v="0"/>
  </r>
  <r>
    <n v="5978"/>
    <x v="0"/>
    <x v="0"/>
  </r>
  <r>
    <n v="5967"/>
    <x v="0"/>
    <x v="0"/>
  </r>
  <r>
    <n v="4254"/>
    <x v="1"/>
    <x v="0"/>
  </r>
  <r>
    <n v="2186"/>
    <x v="1"/>
    <x v="0"/>
  </r>
  <r>
    <n v="7644"/>
    <x v="0"/>
    <x v="0"/>
  </r>
  <r>
    <n v="5897"/>
    <x v="0"/>
    <x v="0"/>
  </r>
  <r>
    <n v="7465"/>
    <x v="1"/>
    <x v="0"/>
  </r>
  <r>
    <n v="3724"/>
    <x v="0"/>
    <x v="0"/>
  </r>
  <r>
    <n v="2914"/>
    <x v="0"/>
    <x v="0"/>
  </r>
  <r>
    <n v="4110"/>
    <x v="0"/>
    <x v="0"/>
  </r>
  <r>
    <n v="6944"/>
    <x v="0"/>
    <x v="0"/>
  </r>
  <r>
    <n v="3639"/>
    <x v="0"/>
    <x v="0"/>
  </r>
  <r>
    <n v="8416"/>
    <x v="1"/>
    <x v="0"/>
  </r>
  <r>
    <n v="7753"/>
    <x v="1"/>
    <x v="0"/>
  </r>
  <r>
    <n v="9528"/>
    <x v="1"/>
    <x v="0"/>
  </r>
  <r>
    <n v="2960"/>
    <x v="0"/>
    <x v="0"/>
  </r>
  <r>
    <n v="1090"/>
    <x v="1"/>
    <x v="0"/>
  </r>
  <r>
    <n v="2410"/>
    <x v="0"/>
    <x v="0"/>
  </r>
  <r>
    <n v="1575"/>
    <x v="0"/>
    <x v="0"/>
  </r>
  <r>
    <n v="9259"/>
    <x v="1"/>
    <x v="0"/>
  </r>
  <r>
    <n v="2170"/>
    <x v="1"/>
    <x v="0"/>
  </r>
  <r>
    <n v="2237"/>
    <x v="1"/>
    <x v="0"/>
  </r>
  <r>
    <n v="2697"/>
    <x v="0"/>
    <x v="0"/>
  </r>
  <r>
    <n v="4488"/>
    <x v="0"/>
    <x v="0"/>
  </r>
  <r>
    <n v="5291"/>
    <x v="0"/>
    <x v="0"/>
  </r>
  <r>
    <n v="6287"/>
    <x v="0"/>
    <x v="0"/>
  </r>
  <r>
    <n v="1953"/>
    <x v="1"/>
    <x v="0"/>
  </r>
  <r>
    <n v="3457"/>
    <x v="1"/>
    <x v="0"/>
  </r>
  <r>
    <n v="6504"/>
    <x v="0"/>
    <x v="0"/>
  </r>
  <r>
    <n v="7463"/>
    <x v="0"/>
    <x v="0"/>
  </r>
  <r>
    <n v="3898"/>
    <x v="0"/>
    <x v="0"/>
  </r>
  <r>
    <n v="8481"/>
    <x v="1"/>
    <x v="0"/>
  </r>
  <r>
    <n v="7810"/>
    <x v="1"/>
    <x v="0"/>
  </r>
  <r>
    <n v="6534"/>
    <x v="1"/>
    <x v="0"/>
  </r>
  <r>
    <n v="6025"/>
    <x v="1"/>
    <x v="0"/>
  </r>
  <r>
    <n v="5825"/>
    <x v="0"/>
    <x v="0"/>
  </r>
  <r>
    <n v="1185"/>
    <x v="1"/>
    <x v="0"/>
  </r>
  <r>
    <n v="4392"/>
    <x v="0"/>
    <x v="0"/>
  </r>
  <r>
    <n v="5785"/>
    <x v="0"/>
    <x v="0"/>
  </r>
  <r>
    <n v="4718"/>
    <x v="1"/>
    <x v="0"/>
  </r>
  <r>
    <n v="3992"/>
    <x v="1"/>
    <x v="0"/>
  </r>
  <r>
    <n v="6100"/>
    <x v="0"/>
    <x v="0"/>
  </r>
  <r>
    <n v="8495"/>
    <x v="0"/>
    <x v="0"/>
  </r>
  <r>
    <n v="3083"/>
    <x v="1"/>
    <x v="0"/>
  </r>
  <r>
    <n v="9936"/>
    <x v="1"/>
    <x v="0"/>
  </r>
  <r>
    <n v="2418"/>
    <x v="1"/>
    <x v="0"/>
  </r>
  <r>
    <n v="4089"/>
    <x v="0"/>
    <x v="0"/>
  </r>
  <r>
    <n v="8876"/>
    <x v="1"/>
    <x v="0"/>
  </r>
  <r>
    <n v="3959"/>
    <x v="0"/>
    <x v="0"/>
  </r>
  <r>
    <n v="2011"/>
    <x v="0"/>
    <x v="0"/>
  </r>
  <r>
    <n v="7896"/>
    <x v="1"/>
    <x v="0"/>
  </r>
  <r>
    <n v="5495"/>
    <x v="0"/>
    <x v="0"/>
  </r>
  <r>
    <n v="6219"/>
    <x v="1"/>
    <x v="0"/>
  </r>
  <r>
    <n v="4458"/>
    <x v="1"/>
    <x v="0"/>
  </r>
  <r>
    <n v="4115"/>
    <x v="0"/>
    <x v="0"/>
  </r>
  <r>
    <n v="6586"/>
    <x v="0"/>
    <x v="0"/>
  </r>
  <r>
    <n v="3985"/>
    <x v="0"/>
    <x v="0"/>
  </r>
  <r>
    <n v="8501"/>
    <x v="1"/>
    <x v="0"/>
  </r>
  <r>
    <n v="4048"/>
    <x v="1"/>
    <x v="0"/>
  </r>
  <r>
    <n v="4466"/>
    <x v="0"/>
    <x v="0"/>
  </r>
  <r>
    <n v="5479"/>
    <x v="0"/>
    <x v="0"/>
  </r>
  <r>
    <n v="2480"/>
    <x v="1"/>
    <x v="0"/>
  </r>
  <r>
    <n v="6288"/>
    <x v="0"/>
    <x v="0"/>
  </r>
  <r>
    <n v="9973"/>
    <x v="0"/>
    <x v="0"/>
  </r>
  <r>
    <n v="6078"/>
    <x v="0"/>
    <x v="0"/>
  </r>
  <r>
    <n v="5362"/>
    <x v="1"/>
    <x v="0"/>
  </r>
  <r>
    <n v="1687"/>
    <x v="0"/>
    <x v="0"/>
  </r>
  <r>
    <n v="8986"/>
    <x v="1"/>
    <x v="0"/>
  </r>
  <r>
    <n v="5994"/>
    <x v="0"/>
    <x v="0"/>
  </r>
  <r>
    <n v="6293"/>
    <x v="0"/>
    <x v="0"/>
  </r>
  <r>
    <n v="7558"/>
    <x v="0"/>
    <x v="0"/>
  </r>
  <r>
    <n v="1805"/>
    <x v="0"/>
    <x v="0"/>
  </r>
  <r>
    <n v="1661"/>
    <x v="1"/>
    <x v="0"/>
  </r>
  <r>
    <n v="8960"/>
    <x v="0"/>
    <x v="0"/>
  </r>
  <r>
    <n v="6131"/>
    <x v="0"/>
    <x v="0"/>
  </r>
  <r>
    <n v="4114"/>
    <x v="0"/>
    <x v="0"/>
  </r>
  <r>
    <n v="4833"/>
    <x v="1"/>
    <x v="0"/>
  </r>
  <r>
    <n v="2401"/>
    <x v="1"/>
    <x v="0"/>
  </r>
  <r>
    <n v="1037"/>
    <x v="1"/>
    <x v="0"/>
  </r>
  <r>
    <n v="2675"/>
    <x v="0"/>
    <x v="0"/>
  </r>
  <r>
    <n v="1665"/>
    <x v="1"/>
    <x v="0"/>
  </r>
  <r>
    <n v="5671"/>
    <x v="0"/>
    <x v="0"/>
  </r>
  <r>
    <n v="5153"/>
    <x v="0"/>
    <x v="0"/>
  </r>
  <r>
    <n v="1114"/>
    <x v="0"/>
    <x v="0"/>
  </r>
  <r>
    <n v="6180"/>
    <x v="0"/>
    <x v="0"/>
  </r>
  <r>
    <n v="8237"/>
    <x v="0"/>
    <x v="0"/>
  </r>
  <r>
    <n v="9500"/>
    <x v="1"/>
    <x v="0"/>
  </r>
  <r>
    <n v="7476"/>
    <x v="1"/>
    <x v="0"/>
  </r>
  <r>
    <n v="9908"/>
    <x v="1"/>
    <x v="0"/>
  </r>
  <r>
    <n v="1534"/>
    <x v="1"/>
    <x v="0"/>
  </r>
  <r>
    <n v="4613"/>
    <x v="1"/>
    <x v="0"/>
  </r>
  <r>
    <n v="5063"/>
    <x v="1"/>
    <x v="0"/>
  </r>
  <r>
    <n v="4548"/>
    <x v="1"/>
    <x v="0"/>
  </r>
  <r>
    <n v="7556"/>
    <x v="0"/>
    <x v="0"/>
  </r>
  <r>
    <n v="1846"/>
    <x v="0"/>
    <x v="0"/>
  </r>
  <r>
    <n v="7088"/>
    <x v="0"/>
    <x v="0"/>
  </r>
  <r>
    <n v="1179"/>
    <x v="1"/>
    <x v="0"/>
  </r>
  <r>
    <n v="2190"/>
    <x v="0"/>
    <x v="0"/>
  </r>
  <r>
    <n v="2847"/>
    <x v="1"/>
    <x v="0"/>
  </r>
  <r>
    <n v="6570"/>
    <x v="1"/>
    <x v="0"/>
  </r>
  <r>
    <n v="1149"/>
    <x v="1"/>
    <x v="0"/>
  </r>
  <r>
    <n v="1336"/>
    <x v="0"/>
    <x v="0"/>
  </r>
  <r>
    <n v="6956"/>
    <x v="1"/>
    <x v="0"/>
  </r>
  <r>
    <n v="7015"/>
    <x v="0"/>
    <x v="0"/>
  </r>
  <r>
    <n v="4104"/>
    <x v="0"/>
    <x v="0"/>
  </r>
  <r>
    <n v="9413"/>
    <x v="1"/>
    <x v="0"/>
  </r>
  <r>
    <n v="8300"/>
    <x v="0"/>
    <x v="0"/>
  </r>
  <r>
    <n v="5126"/>
    <x v="1"/>
    <x v="0"/>
  </r>
  <r>
    <n v="1754"/>
    <x v="1"/>
    <x v="0"/>
  </r>
  <r>
    <n v="7089"/>
    <x v="0"/>
    <x v="0"/>
  </r>
  <r>
    <n v="1697"/>
    <x v="1"/>
    <x v="0"/>
  </r>
  <r>
    <n v="4768"/>
    <x v="1"/>
    <x v="0"/>
  </r>
  <r>
    <n v="4205"/>
    <x v="0"/>
    <x v="0"/>
  </r>
  <r>
    <n v="8844"/>
    <x v="1"/>
    <x v="0"/>
  </r>
  <r>
    <n v="1103"/>
    <x v="0"/>
    <x v="0"/>
  </r>
  <r>
    <n v="2180"/>
    <x v="1"/>
    <x v="0"/>
  </r>
  <r>
    <n v="6607"/>
    <x v="1"/>
    <x v="0"/>
  </r>
  <r>
    <n v="7949"/>
    <x v="1"/>
    <x v="0"/>
  </r>
  <r>
    <n v="5337"/>
    <x v="1"/>
    <x v="0"/>
  </r>
  <r>
    <n v="8477"/>
    <x v="1"/>
    <x v="0"/>
  </r>
  <r>
    <n v="7673"/>
    <x v="0"/>
    <x v="0"/>
  </r>
  <r>
    <n v="6113"/>
    <x v="1"/>
    <x v="0"/>
  </r>
  <r>
    <n v="7457"/>
    <x v="1"/>
    <x v="0"/>
  </r>
  <r>
    <n v="6639"/>
    <x v="1"/>
    <x v="0"/>
  </r>
  <r>
    <n v="5220"/>
    <x v="1"/>
    <x v="0"/>
  </r>
  <r>
    <n v="6970"/>
    <x v="1"/>
    <x v="0"/>
  </r>
  <r>
    <n v="6705"/>
    <x v="1"/>
    <x v="0"/>
  </r>
  <r>
    <n v="2477"/>
    <x v="0"/>
    <x v="0"/>
  </r>
  <r>
    <n v="6236"/>
    <x v="0"/>
    <x v="0"/>
  </r>
  <r>
    <n v="4079"/>
    <x v="1"/>
    <x v="0"/>
  </r>
  <r>
    <n v="7927"/>
    <x v="1"/>
    <x v="0"/>
  </r>
  <r>
    <n v="5059"/>
    <x v="0"/>
    <x v="0"/>
  </r>
  <r>
    <n v="4210"/>
    <x v="0"/>
    <x v="0"/>
  </r>
  <r>
    <n v="5054"/>
    <x v="0"/>
    <x v="0"/>
  </r>
  <r>
    <n v="5836"/>
    <x v="1"/>
    <x v="0"/>
  </r>
  <r>
    <n v="8612"/>
    <x v="0"/>
    <x v="0"/>
  </r>
  <r>
    <n v="7445"/>
    <x v="0"/>
    <x v="0"/>
  </r>
  <r>
    <n v="6135"/>
    <x v="1"/>
    <x v="0"/>
  </r>
  <r>
    <n v="3168"/>
    <x v="1"/>
    <x v="0"/>
  </r>
  <r>
    <n v="2981"/>
    <x v="1"/>
    <x v="0"/>
  </r>
  <r>
    <n v="7739"/>
    <x v="0"/>
    <x v="0"/>
  </r>
  <r>
    <n v="5905"/>
    <x v="0"/>
    <x v="0"/>
  </r>
  <r>
    <n v="1443"/>
    <x v="0"/>
    <x v="0"/>
  </r>
  <r>
    <n v="6181"/>
    <x v="1"/>
    <x v="0"/>
  </r>
  <r>
    <n v="8406"/>
    <x v="1"/>
    <x v="0"/>
  </r>
  <r>
    <n v="5389"/>
    <x v="1"/>
    <x v="0"/>
  </r>
  <r>
    <n v="4586"/>
    <x v="0"/>
    <x v="0"/>
  </r>
  <r>
    <n v="4020"/>
    <x v="0"/>
    <x v="0"/>
  </r>
  <r>
    <n v="1635"/>
    <x v="1"/>
    <x v="0"/>
  </r>
  <r>
    <n v="9257"/>
    <x v="0"/>
    <x v="0"/>
  </r>
  <r>
    <n v="6380"/>
    <x v="0"/>
    <x v="0"/>
  </r>
  <r>
    <n v="6385"/>
    <x v="0"/>
    <x v="0"/>
  </r>
  <r>
    <n v="6858"/>
    <x v="0"/>
    <x v="0"/>
  </r>
  <r>
    <n v="8875"/>
    <x v="0"/>
    <x v="0"/>
  </r>
  <r>
    <n v="3334"/>
    <x v="1"/>
    <x v="0"/>
  </r>
  <r>
    <n v="5850"/>
    <x v="0"/>
    <x v="0"/>
  </r>
  <r>
    <n v="8593"/>
    <x v="0"/>
    <x v="0"/>
  </r>
  <r>
    <n v="6278"/>
    <x v="0"/>
    <x v="0"/>
  </r>
  <r>
    <n v="1388"/>
    <x v="0"/>
    <x v="0"/>
  </r>
  <r>
    <n v="2521"/>
    <x v="0"/>
    <x v="0"/>
  </r>
  <r>
    <n v="1269"/>
    <x v="0"/>
    <x v="0"/>
  </r>
  <r>
    <n v="9959"/>
    <x v="0"/>
    <x v="0"/>
  </r>
  <r>
    <n v="7549"/>
    <x v="1"/>
    <x v="0"/>
  </r>
  <r>
    <n v="4747"/>
    <x v="1"/>
    <x v="0"/>
  </r>
  <r>
    <n v="8320"/>
    <x v="1"/>
    <x v="0"/>
  </r>
  <r>
    <n v="1333"/>
    <x v="0"/>
    <x v="0"/>
  </r>
  <r>
    <n v="5254"/>
    <x v="1"/>
    <x v="0"/>
  </r>
  <r>
    <n v="6842"/>
    <x v="1"/>
    <x v="0"/>
  </r>
  <r>
    <n v="9333"/>
    <x v="0"/>
    <x v="0"/>
  </r>
  <r>
    <n v="9122"/>
    <x v="0"/>
    <x v="0"/>
  </r>
  <r>
    <n v="6221"/>
    <x v="0"/>
    <x v="0"/>
  </r>
  <r>
    <n v="9957"/>
    <x v="0"/>
    <x v="0"/>
  </r>
  <r>
    <n v="4680"/>
    <x v="1"/>
    <x v="0"/>
  </r>
  <r>
    <n v="5974"/>
    <x v="0"/>
    <x v="0"/>
  </r>
  <r>
    <n v="6938"/>
    <x v="0"/>
    <x v="0"/>
  </r>
  <r>
    <n v="1175"/>
    <x v="1"/>
    <x v="0"/>
  </r>
  <r>
    <n v="1260"/>
    <x v="1"/>
    <x v="0"/>
  </r>
  <r>
    <n v="4645"/>
    <x v="1"/>
    <x v="0"/>
  </r>
  <r>
    <n v="1637"/>
    <x v="0"/>
    <x v="0"/>
  </r>
  <r>
    <n v="7960"/>
    <x v="1"/>
    <x v="0"/>
  </r>
  <r>
    <n v="9693"/>
    <x v="0"/>
    <x v="0"/>
  </r>
  <r>
    <n v="8743"/>
    <x v="0"/>
    <x v="0"/>
  </r>
  <r>
    <n v="3379"/>
    <x v="0"/>
    <x v="0"/>
  </r>
  <r>
    <n v="7696"/>
    <x v="0"/>
    <x v="0"/>
  </r>
  <r>
    <n v="8552"/>
    <x v="1"/>
    <x v="0"/>
  </r>
  <r>
    <n v="5065"/>
    <x v="1"/>
    <x v="0"/>
  </r>
  <r>
    <n v="6878"/>
    <x v="1"/>
    <x v="0"/>
  </r>
  <r>
    <n v="5681"/>
    <x v="0"/>
    <x v="0"/>
  </r>
  <r>
    <n v="4448"/>
    <x v="0"/>
    <x v="0"/>
  </r>
  <r>
    <n v="5795"/>
    <x v="0"/>
    <x v="0"/>
  </r>
  <r>
    <n v="5320"/>
    <x v="0"/>
    <x v="0"/>
  </r>
  <r>
    <m/>
    <x v="2"/>
    <x v="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n v="49"/>
    <x v="0"/>
  </r>
  <r>
    <x v="1"/>
    <x v="0"/>
    <n v="161"/>
    <x v="1"/>
  </r>
  <r>
    <x v="0"/>
    <x v="1"/>
    <n v="87"/>
    <x v="2"/>
  </r>
  <r>
    <x v="1"/>
    <x v="2"/>
    <n v="321"/>
    <x v="2"/>
  </r>
  <r>
    <x v="1"/>
    <x v="0"/>
    <n v="386"/>
    <x v="2"/>
  </r>
  <r>
    <x v="2"/>
    <x v="3"/>
    <n v="408"/>
    <x v="3"/>
  </r>
  <r>
    <x v="0"/>
    <x v="0"/>
    <n v="475"/>
    <x v="4"/>
  </r>
  <r>
    <x v="3"/>
    <x v="4"/>
    <n v="258"/>
    <x v="0"/>
  </r>
  <r>
    <x v="1"/>
    <x v="5"/>
    <n v="183"/>
    <x v="2"/>
  </r>
  <r>
    <x v="4"/>
    <x v="0"/>
    <n v="164"/>
    <x v="5"/>
  </r>
  <r>
    <x v="4"/>
    <x v="2"/>
    <n v="411"/>
    <x v="4"/>
  </r>
  <r>
    <x v="0"/>
    <x v="1"/>
    <n v="160"/>
    <x v="1"/>
  </r>
  <r>
    <x v="3"/>
    <x v="5"/>
    <n v="348"/>
    <x v="5"/>
  </r>
  <r>
    <x v="2"/>
    <x v="2"/>
    <n v="451"/>
    <x v="4"/>
  </r>
  <r>
    <x v="2"/>
    <x v="6"/>
    <n v="69"/>
    <x v="1"/>
  </r>
  <r>
    <x v="0"/>
    <x v="0"/>
    <n v="166"/>
    <x v="1"/>
  </r>
  <r>
    <x v="1"/>
    <x v="5"/>
    <n v="449"/>
    <x v="3"/>
  </r>
  <r>
    <x v="0"/>
    <x v="5"/>
    <n v="441"/>
    <x v="2"/>
  </r>
  <r>
    <x v="2"/>
    <x v="1"/>
    <n v="224"/>
    <x v="2"/>
  </r>
  <r>
    <x v="3"/>
    <x v="3"/>
    <n v="44"/>
    <x v="5"/>
  </r>
  <r>
    <x v="0"/>
    <x v="0"/>
    <n v="202"/>
    <x v="3"/>
  </r>
  <r>
    <x v="4"/>
    <x v="4"/>
    <n v="39"/>
    <x v="2"/>
  </r>
  <r>
    <x v="0"/>
    <x v="6"/>
    <n v="319"/>
    <x v="2"/>
  </r>
  <r>
    <x v="4"/>
    <x v="1"/>
    <n v="150"/>
    <x v="1"/>
  </r>
  <r>
    <x v="4"/>
    <x v="3"/>
    <n v="496"/>
    <x v="4"/>
  </r>
  <r>
    <x v="2"/>
    <x v="0"/>
    <n v="347"/>
    <x v="1"/>
  </r>
  <r>
    <x v="2"/>
    <x v="0"/>
    <n v="201"/>
    <x v="5"/>
  </r>
  <r>
    <x v="0"/>
    <x v="4"/>
    <n v="415"/>
    <x v="3"/>
  </r>
  <r>
    <x v="0"/>
    <x v="6"/>
    <n v="32"/>
    <x v="4"/>
  </r>
  <r>
    <x v="4"/>
    <x v="2"/>
    <n v="338"/>
    <x v="3"/>
  </r>
  <r>
    <x v="4"/>
    <x v="0"/>
    <n v="52"/>
    <x v="3"/>
  </r>
  <r>
    <x v="1"/>
    <x v="5"/>
    <n v="447"/>
    <x v="0"/>
  </r>
  <r>
    <x v="1"/>
    <x v="5"/>
    <n v="312"/>
    <x v="3"/>
  </r>
  <r>
    <x v="1"/>
    <x v="3"/>
    <n v="406"/>
    <x v="1"/>
  </r>
  <r>
    <x v="2"/>
    <x v="6"/>
    <n v="350"/>
    <x v="2"/>
  </r>
  <r>
    <x v="4"/>
    <x v="0"/>
    <n v="99"/>
    <x v="0"/>
  </r>
  <r>
    <x v="0"/>
    <x v="3"/>
    <n v="53"/>
    <x v="2"/>
  </r>
  <r>
    <x v="1"/>
    <x v="2"/>
    <n v="484"/>
    <x v="1"/>
  </r>
  <r>
    <x v="2"/>
    <x v="4"/>
    <n v="211"/>
    <x v="0"/>
  </r>
  <r>
    <x v="0"/>
    <x v="3"/>
    <n v="248"/>
    <x v="3"/>
  </r>
  <r>
    <x v="0"/>
    <x v="4"/>
    <n v="197"/>
    <x v="2"/>
  </r>
  <r>
    <x v="3"/>
    <x v="0"/>
    <n v="253"/>
    <x v="5"/>
  </r>
  <r>
    <x v="3"/>
    <x v="6"/>
    <n v="352"/>
    <x v="5"/>
  </r>
  <r>
    <x v="2"/>
    <x v="2"/>
    <n v="97"/>
    <x v="3"/>
  </r>
  <r>
    <x v="1"/>
    <x v="4"/>
    <n v="283"/>
    <x v="1"/>
  </r>
  <r>
    <x v="0"/>
    <x v="6"/>
    <n v="307"/>
    <x v="0"/>
  </r>
  <r>
    <x v="3"/>
    <x v="4"/>
    <n v="203"/>
    <x v="3"/>
  </r>
  <r>
    <x v="2"/>
    <x v="1"/>
    <n v="22"/>
    <x v="3"/>
  </r>
  <r>
    <x v="0"/>
    <x v="1"/>
    <n v="382"/>
    <x v="0"/>
  </r>
  <r>
    <x v="3"/>
    <x v="6"/>
    <n v="302"/>
    <x v="2"/>
  </r>
  <r>
    <x v="2"/>
    <x v="2"/>
    <n v="76"/>
    <x v="1"/>
  </r>
  <r>
    <x v="2"/>
    <x v="4"/>
    <n v="125"/>
    <x v="1"/>
  </r>
  <r>
    <x v="0"/>
    <x v="2"/>
    <n v="113"/>
    <x v="1"/>
  </r>
  <r>
    <x v="3"/>
    <x v="1"/>
    <n v="183"/>
    <x v="0"/>
  </r>
  <r>
    <x v="3"/>
    <x v="3"/>
    <n v="272"/>
    <x v="4"/>
  </r>
  <r>
    <x v="2"/>
    <x v="6"/>
    <n v="19"/>
    <x v="4"/>
  </r>
  <r>
    <x v="3"/>
    <x v="3"/>
    <n v="204"/>
    <x v="2"/>
  </r>
  <r>
    <x v="4"/>
    <x v="0"/>
    <n v="345"/>
    <x v="0"/>
  </r>
  <r>
    <x v="2"/>
    <x v="6"/>
    <n v="294"/>
    <x v="0"/>
  </r>
  <r>
    <x v="1"/>
    <x v="1"/>
    <n v="318"/>
    <x v="0"/>
  </r>
  <r>
    <x v="0"/>
    <x v="2"/>
    <n v="396"/>
    <x v="0"/>
  </r>
  <r>
    <x v="1"/>
    <x v="3"/>
    <n v="455"/>
    <x v="1"/>
  </r>
  <r>
    <x v="0"/>
    <x v="0"/>
    <n v="175"/>
    <x v="4"/>
  </r>
  <r>
    <x v="2"/>
    <x v="3"/>
    <n v="36"/>
    <x v="3"/>
  </r>
  <r>
    <x v="4"/>
    <x v="1"/>
    <n v="349"/>
    <x v="2"/>
  </r>
  <r>
    <x v="2"/>
    <x v="3"/>
    <n v="262"/>
    <x v="5"/>
  </r>
  <r>
    <x v="4"/>
    <x v="2"/>
    <n v="378"/>
    <x v="3"/>
  </r>
  <r>
    <x v="0"/>
    <x v="4"/>
    <n v="469"/>
    <x v="5"/>
  </r>
  <r>
    <x v="4"/>
    <x v="1"/>
    <n v="87"/>
    <x v="1"/>
  </r>
  <r>
    <x v="4"/>
    <x v="1"/>
    <n v="471"/>
    <x v="2"/>
  </r>
  <r>
    <x v="4"/>
    <x v="6"/>
    <n v="469"/>
    <x v="0"/>
  </r>
  <r>
    <x v="0"/>
    <x v="5"/>
    <n v="298"/>
    <x v="3"/>
  </r>
  <r>
    <x v="0"/>
    <x v="5"/>
    <n v="331"/>
    <x v="3"/>
  </r>
  <r>
    <x v="0"/>
    <x v="0"/>
    <n v="238"/>
    <x v="1"/>
  </r>
  <r>
    <x v="4"/>
    <x v="5"/>
    <n v="231"/>
    <x v="2"/>
  </r>
  <r>
    <x v="4"/>
    <x v="1"/>
    <n v="457"/>
    <x v="2"/>
  </r>
  <r>
    <x v="4"/>
    <x v="3"/>
    <n v="373"/>
    <x v="3"/>
  </r>
  <r>
    <x v="1"/>
    <x v="0"/>
    <n v="11"/>
    <x v="5"/>
  </r>
  <r>
    <x v="2"/>
    <x v="5"/>
    <n v="425"/>
    <x v="4"/>
  </r>
  <r>
    <x v="4"/>
    <x v="4"/>
    <n v="231"/>
    <x v="5"/>
  </r>
  <r>
    <x v="1"/>
    <x v="0"/>
    <n v="483"/>
    <x v="5"/>
  </r>
  <r>
    <x v="3"/>
    <x v="2"/>
    <n v="55"/>
    <x v="2"/>
  </r>
  <r>
    <x v="1"/>
    <x v="1"/>
    <n v="375"/>
    <x v="0"/>
  </r>
  <r>
    <x v="2"/>
    <x v="1"/>
    <n v="336"/>
    <x v="1"/>
  </r>
  <r>
    <x v="3"/>
    <x v="4"/>
    <n v="196"/>
    <x v="2"/>
  </r>
  <r>
    <x v="2"/>
    <x v="4"/>
    <n v="285"/>
    <x v="3"/>
  </r>
  <r>
    <x v="4"/>
    <x v="0"/>
    <n v="155"/>
    <x v="5"/>
  </r>
  <r>
    <x v="0"/>
    <x v="5"/>
    <n v="275"/>
    <x v="2"/>
  </r>
  <r>
    <x v="3"/>
    <x v="0"/>
    <n v="341"/>
    <x v="1"/>
  </r>
  <r>
    <x v="4"/>
    <x v="0"/>
    <n v="321"/>
    <x v="4"/>
  </r>
  <r>
    <x v="0"/>
    <x v="3"/>
    <n v="456"/>
    <x v="5"/>
  </r>
  <r>
    <x v="4"/>
    <x v="6"/>
    <n v="15"/>
    <x v="0"/>
  </r>
  <r>
    <x v="0"/>
    <x v="2"/>
    <n v="410"/>
    <x v="4"/>
  </r>
  <r>
    <x v="4"/>
    <x v="3"/>
    <n v="29"/>
    <x v="1"/>
  </r>
  <r>
    <x v="4"/>
    <x v="5"/>
    <n v="427"/>
    <x v="3"/>
  </r>
  <r>
    <x v="0"/>
    <x v="3"/>
    <n v="166"/>
    <x v="0"/>
  </r>
  <r>
    <x v="1"/>
    <x v="1"/>
    <n v="192"/>
    <x v="5"/>
  </r>
  <r>
    <x v="4"/>
    <x v="4"/>
    <n v="88"/>
    <x v="4"/>
  </r>
  <r>
    <x v="1"/>
    <x v="3"/>
    <n v="127"/>
    <x v="4"/>
  </r>
  <r>
    <x v="1"/>
    <x v="2"/>
    <n v="327"/>
    <x v="3"/>
  </r>
  <r>
    <x v="0"/>
    <x v="4"/>
    <n v="10"/>
    <x v="4"/>
  </r>
  <r>
    <x v="4"/>
    <x v="3"/>
    <n v="181"/>
    <x v="2"/>
  </r>
  <r>
    <x v="3"/>
    <x v="0"/>
    <n v="238"/>
    <x v="1"/>
  </r>
  <r>
    <x v="4"/>
    <x v="5"/>
    <n v="380"/>
    <x v="0"/>
  </r>
  <r>
    <x v="2"/>
    <x v="5"/>
    <n v="444"/>
    <x v="0"/>
  </r>
  <r>
    <x v="3"/>
    <x v="2"/>
    <n v="83"/>
    <x v="0"/>
  </r>
  <r>
    <x v="2"/>
    <x v="4"/>
    <n v="452"/>
    <x v="3"/>
  </r>
  <r>
    <x v="4"/>
    <x v="4"/>
    <n v="53"/>
    <x v="3"/>
  </r>
  <r>
    <x v="3"/>
    <x v="4"/>
    <n v="89"/>
    <x v="4"/>
  </r>
  <r>
    <x v="3"/>
    <x v="3"/>
    <n v="359"/>
    <x v="3"/>
  </r>
  <r>
    <x v="3"/>
    <x v="4"/>
    <n v="487"/>
    <x v="5"/>
  </r>
  <r>
    <x v="0"/>
    <x v="1"/>
    <n v="337"/>
    <x v="2"/>
  </r>
  <r>
    <x v="1"/>
    <x v="4"/>
    <n v="427"/>
    <x v="2"/>
  </r>
  <r>
    <x v="1"/>
    <x v="5"/>
    <n v="397"/>
    <x v="2"/>
  </r>
  <r>
    <x v="3"/>
    <x v="6"/>
    <n v="200"/>
    <x v="5"/>
  </r>
  <r>
    <x v="2"/>
    <x v="5"/>
    <n v="464"/>
    <x v="3"/>
  </r>
  <r>
    <x v="4"/>
    <x v="2"/>
    <n v="495"/>
    <x v="4"/>
  </r>
  <r>
    <x v="4"/>
    <x v="2"/>
    <n v="286"/>
    <x v="5"/>
  </r>
  <r>
    <x v="3"/>
    <x v="0"/>
    <n v="446"/>
    <x v="3"/>
  </r>
  <r>
    <x v="3"/>
    <x v="6"/>
    <n v="342"/>
    <x v="5"/>
  </r>
  <r>
    <x v="4"/>
    <x v="1"/>
    <n v="396"/>
    <x v="1"/>
  </r>
  <r>
    <x v="3"/>
    <x v="5"/>
    <n v="491"/>
    <x v="3"/>
  </r>
  <r>
    <x v="2"/>
    <x v="4"/>
    <n v="239"/>
    <x v="3"/>
  </r>
  <r>
    <x v="4"/>
    <x v="5"/>
    <n v="106"/>
    <x v="4"/>
  </r>
  <r>
    <x v="1"/>
    <x v="4"/>
    <n v="388"/>
    <x v="1"/>
  </r>
  <r>
    <x v="3"/>
    <x v="3"/>
    <n v="452"/>
    <x v="3"/>
  </r>
  <r>
    <x v="4"/>
    <x v="4"/>
    <n v="368"/>
    <x v="2"/>
  </r>
  <r>
    <x v="1"/>
    <x v="2"/>
    <n v="325"/>
    <x v="2"/>
  </r>
  <r>
    <x v="2"/>
    <x v="6"/>
    <n v="42"/>
    <x v="2"/>
  </r>
  <r>
    <x v="3"/>
    <x v="6"/>
    <n v="344"/>
    <x v="2"/>
  </r>
  <r>
    <x v="2"/>
    <x v="3"/>
    <n v="77"/>
    <x v="5"/>
  </r>
  <r>
    <x v="1"/>
    <x v="4"/>
    <n v="237"/>
    <x v="2"/>
  </r>
  <r>
    <x v="0"/>
    <x v="6"/>
    <n v="480"/>
    <x v="3"/>
  </r>
  <r>
    <x v="3"/>
    <x v="2"/>
    <n v="152"/>
    <x v="2"/>
  </r>
  <r>
    <x v="2"/>
    <x v="1"/>
    <n v="308"/>
    <x v="1"/>
  </r>
  <r>
    <x v="2"/>
    <x v="4"/>
    <n v="14"/>
    <x v="0"/>
  </r>
  <r>
    <x v="0"/>
    <x v="3"/>
    <n v="233"/>
    <x v="0"/>
  </r>
  <r>
    <x v="4"/>
    <x v="5"/>
    <n v="169"/>
    <x v="5"/>
  </r>
  <r>
    <x v="3"/>
    <x v="5"/>
    <n v="358"/>
    <x v="2"/>
  </r>
  <r>
    <x v="1"/>
    <x v="3"/>
    <n v="404"/>
    <x v="1"/>
  </r>
  <r>
    <x v="4"/>
    <x v="2"/>
    <n v="131"/>
    <x v="0"/>
  </r>
  <r>
    <x v="0"/>
    <x v="5"/>
    <n v="32"/>
    <x v="0"/>
  </r>
  <r>
    <x v="0"/>
    <x v="2"/>
    <n v="478"/>
    <x v="3"/>
  </r>
  <r>
    <x v="1"/>
    <x v="2"/>
    <n v="88"/>
    <x v="2"/>
  </r>
  <r>
    <x v="3"/>
    <x v="6"/>
    <n v="395"/>
    <x v="1"/>
  </r>
  <r>
    <x v="1"/>
    <x v="4"/>
    <n v="385"/>
    <x v="5"/>
  </r>
  <r>
    <x v="1"/>
    <x v="6"/>
    <n v="280"/>
    <x v="3"/>
  </r>
  <r>
    <x v="3"/>
    <x v="4"/>
    <n v="164"/>
    <x v="1"/>
  </r>
  <r>
    <x v="0"/>
    <x v="5"/>
    <n v="433"/>
    <x v="3"/>
  </r>
  <r>
    <x v="3"/>
    <x v="6"/>
    <n v="460"/>
    <x v="1"/>
  </r>
  <r>
    <x v="1"/>
    <x v="5"/>
    <n v="374"/>
    <x v="0"/>
  </r>
  <r>
    <x v="3"/>
    <x v="5"/>
    <n v="147"/>
    <x v="0"/>
  </r>
  <r>
    <x v="0"/>
    <x v="2"/>
    <n v="129"/>
    <x v="2"/>
  </r>
  <r>
    <x v="0"/>
    <x v="1"/>
    <n v="217"/>
    <x v="5"/>
  </r>
  <r>
    <x v="4"/>
    <x v="0"/>
    <n v="426"/>
    <x v="1"/>
  </r>
  <r>
    <x v="2"/>
    <x v="1"/>
    <n v="81"/>
    <x v="2"/>
  </r>
  <r>
    <x v="2"/>
    <x v="0"/>
    <n v="296"/>
    <x v="4"/>
  </r>
  <r>
    <x v="0"/>
    <x v="6"/>
    <n v="466"/>
    <x v="2"/>
  </r>
  <r>
    <x v="1"/>
    <x v="1"/>
    <n v="424"/>
    <x v="3"/>
  </r>
  <r>
    <x v="3"/>
    <x v="6"/>
    <n v="233"/>
    <x v="0"/>
  </r>
  <r>
    <x v="3"/>
    <x v="0"/>
    <n v="413"/>
    <x v="5"/>
  </r>
  <r>
    <x v="3"/>
    <x v="4"/>
    <n v="278"/>
    <x v="2"/>
  </r>
  <r>
    <x v="0"/>
    <x v="0"/>
    <n v="351"/>
    <x v="1"/>
  </r>
  <r>
    <x v="2"/>
    <x v="2"/>
    <n v="354"/>
    <x v="4"/>
  </r>
  <r>
    <x v="3"/>
    <x v="3"/>
    <n v="192"/>
    <x v="4"/>
  </r>
  <r>
    <x v="0"/>
    <x v="2"/>
    <n v="176"/>
    <x v="1"/>
  </r>
  <r>
    <x v="1"/>
    <x v="1"/>
    <n v="482"/>
    <x v="2"/>
  </r>
  <r>
    <x v="2"/>
    <x v="2"/>
    <n v="87"/>
    <x v="0"/>
  </r>
  <r>
    <x v="0"/>
    <x v="4"/>
    <n v="163"/>
    <x v="4"/>
  </r>
  <r>
    <x v="3"/>
    <x v="5"/>
    <n v="419"/>
    <x v="1"/>
  </r>
  <r>
    <x v="0"/>
    <x v="3"/>
    <n v="203"/>
    <x v="5"/>
  </r>
  <r>
    <x v="1"/>
    <x v="4"/>
    <n v="405"/>
    <x v="5"/>
  </r>
  <r>
    <x v="3"/>
    <x v="0"/>
    <n v="496"/>
    <x v="5"/>
  </r>
  <r>
    <x v="2"/>
    <x v="5"/>
    <n v="328"/>
    <x v="2"/>
  </r>
  <r>
    <x v="3"/>
    <x v="2"/>
    <n v="85"/>
    <x v="1"/>
  </r>
  <r>
    <x v="0"/>
    <x v="5"/>
    <n v="386"/>
    <x v="0"/>
  </r>
  <r>
    <x v="3"/>
    <x v="1"/>
    <n v="245"/>
    <x v="1"/>
  </r>
  <r>
    <x v="4"/>
    <x v="3"/>
    <n v="97"/>
    <x v="5"/>
  </r>
  <r>
    <x v="4"/>
    <x v="0"/>
    <n v="216"/>
    <x v="2"/>
  </r>
  <r>
    <x v="1"/>
    <x v="6"/>
    <n v="331"/>
    <x v="5"/>
  </r>
  <r>
    <x v="3"/>
    <x v="5"/>
    <n v="451"/>
    <x v="1"/>
  </r>
  <r>
    <x v="1"/>
    <x v="6"/>
    <n v="326"/>
    <x v="0"/>
  </r>
  <r>
    <x v="0"/>
    <x v="6"/>
    <n v="358"/>
    <x v="0"/>
  </r>
  <r>
    <x v="4"/>
    <x v="1"/>
    <n v="91"/>
    <x v="4"/>
  </r>
  <r>
    <x v="0"/>
    <x v="2"/>
    <n v="478"/>
    <x v="3"/>
  </r>
  <r>
    <x v="2"/>
    <x v="6"/>
    <n v="16"/>
    <x v="2"/>
  </r>
  <r>
    <x v="0"/>
    <x v="5"/>
    <n v="44"/>
    <x v="4"/>
  </r>
  <r>
    <x v="2"/>
    <x v="6"/>
    <n v="100"/>
    <x v="2"/>
  </r>
  <r>
    <x v="0"/>
    <x v="2"/>
    <n v="44"/>
    <x v="4"/>
  </r>
  <r>
    <x v="0"/>
    <x v="1"/>
    <n v="37"/>
    <x v="5"/>
  </r>
  <r>
    <x v="1"/>
    <x v="0"/>
    <n v="48"/>
    <x v="5"/>
  </r>
  <r>
    <x v="3"/>
    <x v="1"/>
    <n v="371"/>
    <x v="3"/>
  </r>
  <r>
    <x v="0"/>
    <x v="6"/>
    <n v="176"/>
    <x v="4"/>
  </r>
  <r>
    <x v="1"/>
    <x v="4"/>
    <n v="312"/>
    <x v="3"/>
  </r>
  <r>
    <x v="1"/>
    <x v="3"/>
    <n v="375"/>
    <x v="5"/>
  </r>
  <r>
    <x v="1"/>
    <x v="6"/>
    <n v="134"/>
    <x v="4"/>
  </r>
  <r>
    <x v="0"/>
    <x v="2"/>
    <n v="91"/>
    <x v="3"/>
  </r>
  <r>
    <x v="4"/>
    <x v="4"/>
    <n v="359"/>
    <x v="1"/>
  </r>
  <r>
    <x v="1"/>
    <x v="2"/>
    <n v="172"/>
    <x v="5"/>
  </r>
  <r>
    <x v="2"/>
    <x v="6"/>
    <n v="490"/>
    <x v="1"/>
  </r>
  <r>
    <x v="3"/>
    <x v="4"/>
    <n v="16"/>
    <x v="0"/>
  </r>
  <r>
    <x v="3"/>
    <x v="1"/>
    <n v="291"/>
    <x v="3"/>
  </r>
  <r>
    <x v="3"/>
    <x v="5"/>
    <n v="119"/>
    <x v="0"/>
  </r>
  <r>
    <x v="0"/>
    <x v="0"/>
    <n v="35"/>
    <x v="3"/>
  </r>
  <r>
    <x v="3"/>
    <x v="0"/>
    <n v="88"/>
    <x v="5"/>
  </r>
  <r>
    <x v="3"/>
    <x v="2"/>
    <n v="312"/>
    <x v="2"/>
  </r>
  <r>
    <x v="4"/>
    <x v="1"/>
    <n v="238"/>
    <x v="0"/>
  </r>
  <r>
    <x v="3"/>
    <x v="6"/>
    <n v="132"/>
    <x v="4"/>
  </r>
  <r>
    <x v="4"/>
    <x v="2"/>
    <n v="456"/>
    <x v="1"/>
  </r>
  <r>
    <x v="2"/>
    <x v="5"/>
    <n v="281"/>
    <x v="4"/>
  </r>
  <r>
    <x v="3"/>
    <x v="0"/>
    <n v="281"/>
    <x v="2"/>
  </r>
  <r>
    <x v="1"/>
    <x v="4"/>
    <n v="73"/>
    <x v="1"/>
  </r>
  <r>
    <x v="0"/>
    <x v="6"/>
    <n v="365"/>
    <x v="5"/>
  </r>
  <r>
    <x v="0"/>
    <x v="5"/>
    <n v="61"/>
    <x v="2"/>
  </r>
  <r>
    <x v="4"/>
    <x v="2"/>
    <n v="399"/>
    <x v="5"/>
  </r>
  <r>
    <x v="0"/>
    <x v="6"/>
    <n v="102"/>
    <x v="4"/>
  </r>
  <r>
    <x v="4"/>
    <x v="6"/>
    <n v="88"/>
    <x v="1"/>
  </r>
  <r>
    <x v="3"/>
    <x v="6"/>
    <n v="92"/>
    <x v="4"/>
  </r>
  <r>
    <x v="0"/>
    <x v="6"/>
    <n v="295"/>
    <x v="3"/>
  </r>
  <r>
    <x v="0"/>
    <x v="2"/>
    <n v="139"/>
    <x v="3"/>
  </r>
  <r>
    <x v="4"/>
    <x v="3"/>
    <n v="416"/>
    <x v="5"/>
  </r>
  <r>
    <x v="1"/>
    <x v="0"/>
    <n v="173"/>
    <x v="0"/>
  </r>
  <r>
    <x v="1"/>
    <x v="1"/>
    <n v="75"/>
    <x v="1"/>
  </r>
  <r>
    <x v="3"/>
    <x v="1"/>
    <n v="173"/>
    <x v="3"/>
  </r>
  <r>
    <x v="1"/>
    <x v="1"/>
    <n v="421"/>
    <x v="3"/>
  </r>
  <r>
    <x v="1"/>
    <x v="0"/>
    <n v="29"/>
    <x v="1"/>
  </r>
  <r>
    <x v="2"/>
    <x v="6"/>
    <n v="180"/>
    <x v="0"/>
  </r>
  <r>
    <x v="2"/>
    <x v="1"/>
    <n v="469"/>
    <x v="4"/>
  </r>
  <r>
    <x v="2"/>
    <x v="1"/>
    <n v="381"/>
    <x v="5"/>
  </r>
  <r>
    <x v="4"/>
    <x v="5"/>
    <n v="263"/>
    <x v="5"/>
  </r>
  <r>
    <x v="4"/>
    <x v="1"/>
    <n v="48"/>
    <x v="5"/>
  </r>
  <r>
    <x v="4"/>
    <x v="4"/>
    <n v="447"/>
    <x v="2"/>
  </r>
  <r>
    <x v="4"/>
    <x v="6"/>
    <n v="415"/>
    <x v="5"/>
  </r>
  <r>
    <x v="3"/>
    <x v="6"/>
    <n v="429"/>
    <x v="5"/>
  </r>
  <r>
    <x v="2"/>
    <x v="1"/>
    <n v="26"/>
    <x v="2"/>
  </r>
  <r>
    <x v="0"/>
    <x v="4"/>
    <n v="101"/>
    <x v="2"/>
  </r>
  <r>
    <x v="1"/>
    <x v="1"/>
    <n v="461"/>
    <x v="3"/>
  </r>
  <r>
    <x v="2"/>
    <x v="5"/>
    <n v="246"/>
    <x v="0"/>
  </r>
  <r>
    <x v="1"/>
    <x v="0"/>
    <n v="91"/>
    <x v="2"/>
  </r>
  <r>
    <x v="1"/>
    <x v="1"/>
    <n v="152"/>
    <x v="5"/>
  </r>
  <r>
    <x v="0"/>
    <x v="2"/>
    <n v="283"/>
    <x v="0"/>
  </r>
  <r>
    <x v="4"/>
    <x v="3"/>
    <n v="61"/>
    <x v="3"/>
  </r>
  <r>
    <x v="1"/>
    <x v="6"/>
    <n v="410"/>
    <x v="1"/>
  </r>
  <r>
    <x v="4"/>
    <x v="3"/>
    <n v="88"/>
    <x v="1"/>
  </r>
  <r>
    <x v="3"/>
    <x v="4"/>
    <n v="322"/>
    <x v="5"/>
  </r>
  <r>
    <x v="1"/>
    <x v="1"/>
    <n v="217"/>
    <x v="2"/>
  </r>
  <r>
    <x v="0"/>
    <x v="0"/>
    <n v="180"/>
    <x v="4"/>
  </r>
  <r>
    <x v="2"/>
    <x v="5"/>
    <n v="11"/>
    <x v="3"/>
  </r>
  <r>
    <x v="1"/>
    <x v="1"/>
    <n v="455"/>
    <x v="5"/>
  </r>
  <r>
    <x v="3"/>
    <x v="6"/>
    <n v="487"/>
    <x v="4"/>
  </r>
  <r>
    <x v="3"/>
    <x v="4"/>
    <n v="459"/>
    <x v="3"/>
  </r>
  <r>
    <x v="2"/>
    <x v="1"/>
    <n v="74"/>
    <x v="2"/>
  </r>
  <r>
    <x v="0"/>
    <x v="5"/>
    <n v="54"/>
    <x v="2"/>
  </r>
  <r>
    <x v="3"/>
    <x v="4"/>
    <n v="292"/>
    <x v="0"/>
  </r>
  <r>
    <x v="1"/>
    <x v="6"/>
    <n v="23"/>
    <x v="1"/>
  </r>
  <r>
    <x v="0"/>
    <x v="6"/>
    <n v="147"/>
    <x v="1"/>
  </r>
  <r>
    <x v="1"/>
    <x v="1"/>
    <n v="221"/>
    <x v="5"/>
  </r>
  <r>
    <x v="1"/>
    <x v="2"/>
    <n v="40"/>
    <x v="2"/>
  </r>
  <r>
    <x v="1"/>
    <x v="4"/>
    <n v="365"/>
    <x v="0"/>
  </r>
  <r>
    <x v="4"/>
    <x v="3"/>
    <n v="360"/>
    <x v="3"/>
  </r>
  <r>
    <x v="1"/>
    <x v="1"/>
    <n v="127"/>
    <x v="3"/>
  </r>
  <r>
    <x v="4"/>
    <x v="1"/>
    <n v="30"/>
    <x v="2"/>
  </r>
  <r>
    <x v="3"/>
    <x v="0"/>
    <n v="222"/>
    <x v="0"/>
  </r>
  <r>
    <x v="0"/>
    <x v="6"/>
    <n v="168"/>
    <x v="5"/>
  </r>
  <r>
    <x v="4"/>
    <x v="3"/>
    <n v="317"/>
    <x v="4"/>
  </r>
  <r>
    <x v="1"/>
    <x v="2"/>
    <n v="285"/>
    <x v="2"/>
  </r>
  <r>
    <x v="1"/>
    <x v="3"/>
    <n v="420"/>
    <x v="1"/>
  </r>
  <r>
    <x v="1"/>
    <x v="6"/>
    <n v="100"/>
    <x v="0"/>
  </r>
  <r>
    <x v="1"/>
    <x v="5"/>
    <n v="426"/>
    <x v="0"/>
  </r>
  <r>
    <x v="1"/>
    <x v="3"/>
    <n v="263"/>
    <x v="4"/>
  </r>
  <r>
    <x v="3"/>
    <x v="0"/>
    <n v="162"/>
    <x v="0"/>
  </r>
  <r>
    <x v="3"/>
    <x v="1"/>
    <n v="19"/>
    <x v="1"/>
  </r>
  <r>
    <x v="4"/>
    <x v="5"/>
    <n v="358"/>
    <x v="1"/>
  </r>
  <r>
    <x v="3"/>
    <x v="1"/>
    <n v="183"/>
    <x v="4"/>
  </r>
  <r>
    <x v="0"/>
    <x v="0"/>
    <n v="63"/>
    <x v="3"/>
  </r>
  <r>
    <x v="3"/>
    <x v="6"/>
    <n v="446"/>
    <x v="4"/>
  </r>
  <r>
    <x v="0"/>
    <x v="6"/>
    <n v="352"/>
    <x v="4"/>
  </r>
  <r>
    <x v="4"/>
    <x v="0"/>
    <n v="209"/>
    <x v="1"/>
  </r>
  <r>
    <x v="2"/>
    <x v="3"/>
    <n v="311"/>
    <x v="2"/>
  </r>
  <r>
    <x v="3"/>
    <x v="3"/>
    <n v="293"/>
    <x v="3"/>
  </r>
  <r>
    <x v="1"/>
    <x v="0"/>
    <n v="119"/>
    <x v="2"/>
  </r>
  <r>
    <x v="0"/>
    <x v="2"/>
    <n v="329"/>
    <x v="0"/>
  </r>
  <r>
    <x v="2"/>
    <x v="2"/>
    <n v="141"/>
    <x v="2"/>
  </r>
  <r>
    <x v="1"/>
    <x v="4"/>
    <n v="15"/>
    <x v="3"/>
  </r>
  <r>
    <x v="1"/>
    <x v="4"/>
    <n v="30"/>
    <x v="1"/>
  </r>
  <r>
    <x v="3"/>
    <x v="4"/>
    <n v="145"/>
    <x v="5"/>
  </r>
  <r>
    <x v="2"/>
    <x v="4"/>
    <n v="250"/>
    <x v="2"/>
  </r>
  <r>
    <x v="3"/>
    <x v="5"/>
    <n v="243"/>
    <x v="3"/>
  </r>
  <r>
    <x v="2"/>
    <x v="2"/>
    <n v="392"/>
    <x v="4"/>
  </r>
  <r>
    <x v="3"/>
    <x v="5"/>
    <n v="389"/>
    <x v="4"/>
  </r>
  <r>
    <x v="1"/>
    <x v="3"/>
    <n v="414"/>
    <x v="1"/>
  </r>
  <r>
    <x v="0"/>
    <x v="0"/>
    <n v="415"/>
    <x v="1"/>
  </r>
  <r>
    <x v="0"/>
    <x v="2"/>
    <n v="494"/>
    <x v="3"/>
  </r>
  <r>
    <x v="2"/>
    <x v="2"/>
    <n v="109"/>
    <x v="1"/>
  </r>
  <r>
    <x v="4"/>
    <x v="3"/>
    <n v="200"/>
    <x v="2"/>
  </r>
  <r>
    <x v="3"/>
    <x v="2"/>
    <n v="134"/>
    <x v="1"/>
  </r>
  <r>
    <x v="1"/>
    <x v="2"/>
    <n v="250"/>
    <x v="4"/>
  </r>
  <r>
    <x v="4"/>
    <x v="0"/>
    <n v="305"/>
    <x v="2"/>
  </r>
  <r>
    <x v="4"/>
    <x v="1"/>
    <n v="256"/>
    <x v="3"/>
  </r>
  <r>
    <x v="3"/>
    <x v="1"/>
    <n v="214"/>
    <x v="0"/>
  </r>
  <r>
    <x v="4"/>
    <x v="5"/>
    <n v="272"/>
    <x v="1"/>
  </r>
  <r>
    <x v="0"/>
    <x v="1"/>
    <n v="144"/>
    <x v="4"/>
  </r>
  <r>
    <x v="4"/>
    <x v="4"/>
    <n v="381"/>
    <x v="4"/>
  </r>
  <r>
    <x v="4"/>
    <x v="5"/>
    <n v="292"/>
    <x v="4"/>
  </r>
  <r>
    <x v="3"/>
    <x v="3"/>
    <n v="358"/>
    <x v="3"/>
  </r>
  <r>
    <x v="4"/>
    <x v="0"/>
    <n v="426"/>
    <x v="5"/>
  </r>
  <r>
    <x v="3"/>
    <x v="4"/>
    <n v="474"/>
    <x v="1"/>
  </r>
  <r>
    <x v="0"/>
    <x v="0"/>
    <n v="286"/>
    <x v="2"/>
  </r>
  <r>
    <x v="1"/>
    <x v="3"/>
    <n v="498"/>
    <x v="4"/>
  </r>
  <r>
    <x v="1"/>
    <x v="2"/>
    <n v="32"/>
    <x v="3"/>
  </r>
  <r>
    <x v="3"/>
    <x v="0"/>
    <n v="84"/>
    <x v="2"/>
  </r>
  <r>
    <x v="3"/>
    <x v="1"/>
    <n v="210"/>
    <x v="0"/>
  </r>
  <r>
    <x v="2"/>
    <x v="3"/>
    <n v="231"/>
    <x v="1"/>
  </r>
  <r>
    <x v="2"/>
    <x v="1"/>
    <n v="246"/>
    <x v="4"/>
  </r>
  <r>
    <x v="2"/>
    <x v="0"/>
    <n v="174"/>
    <x v="4"/>
  </r>
  <r>
    <x v="4"/>
    <x v="5"/>
    <n v="298"/>
    <x v="0"/>
  </r>
  <r>
    <x v="1"/>
    <x v="0"/>
    <n v="344"/>
    <x v="1"/>
  </r>
  <r>
    <x v="1"/>
    <x v="4"/>
    <n v="264"/>
    <x v="4"/>
  </r>
  <r>
    <x v="1"/>
    <x v="4"/>
    <n v="380"/>
    <x v="5"/>
  </r>
  <r>
    <x v="4"/>
    <x v="4"/>
    <n v="160"/>
    <x v="1"/>
  </r>
  <r>
    <x v="3"/>
    <x v="5"/>
    <n v="55"/>
    <x v="5"/>
  </r>
  <r>
    <x v="4"/>
    <x v="3"/>
    <n v="70"/>
    <x v="2"/>
  </r>
  <r>
    <x v="3"/>
    <x v="1"/>
    <n v="256"/>
    <x v="4"/>
  </r>
  <r>
    <x v="3"/>
    <x v="6"/>
    <n v="436"/>
    <x v="1"/>
  </r>
  <r>
    <x v="2"/>
    <x v="2"/>
    <n v="394"/>
    <x v="1"/>
  </r>
  <r>
    <x v="3"/>
    <x v="3"/>
    <n v="131"/>
    <x v="3"/>
  </r>
  <r>
    <x v="1"/>
    <x v="0"/>
    <n v="98"/>
    <x v="4"/>
  </r>
  <r>
    <x v="4"/>
    <x v="6"/>
    <n v="276"/>
    <x v="4"/>
  </r>
  <r>
    <x v="1"/>
    <x v="4"/>
    <n v="251"/>
    <x v="0"/>
  </r>
  <r>
    <x v="1"/>
    <x v="1"/>
    <n v="233"/>
    <x v="2"/>
  </r>
  <r>
    <x v="2"/>
    <x v="3"/>
    <n v="136"/>
    <x v="0"/>
  </r>
  <r>
    <x v="3"/>
    <x v="6"/>
    <n v="248"/>
    <x v="3"/>
  </r>
  <r>
    <x v="3"/>
    <x v="2"/>
    <n v="180"/>
    <x v="4"/>
  </r>
  <r>
    <x v="3"/>
    <x v="4"/>
    <n v="254"/>
    <x v="2"/>
  </r>
  <r>
    <x v="0"/>
    <x v="5"/>
    <n v="108"/>
    <x v="0"/>
  </r>
  <r>
    <x v="0"/>
    <x v="6"/>
    <n v="183"/>
    <x v="1"/>
  </r>
  <r>
    <x v="1"/>
    <x v="6"/>
    <n v="53"/>
    <x v="4"/>
  </r>
  <r>
    <x v="1"/>
    <x v="2"/>
    <n v="120"/>
    <x v="0"/>
  </r>
  <r>
    <x v="2"/>
    <x v="2"/>
    <n v="118"/>
    <x v="2"/>
  </r>
  <r>
    <x v="4"/>
    <x v="4"/>
    <n v="113"/>
    <x v="4"/>
  </r>
  <r>
    <x v="0"/>
    <x v="4"/>
    <n v="138"/>
    <x v="2"/>
  </r>
  <r>
    <x v="3"/>
    <x v="1"/>
    <n v="178"/>
    <x v="4"/>
  </r>
  <r>
    <x v="3"/>
    <x v="4"/>
    <n v="105"/>
    <x v="5"/>
  </r>
  <r>
    <x v="4"/>
    <x v="6"/>
    <n v="283"/>
    <x v="5"/>
  </r>
  <r>
    <x v="4"/>
    <x v="2"/>
    <n v="154"/>
    <x v="4"/>
  </r>
  <r>
    <x v="1"/>
    <x v="0"/>
    <n v="240"/>
    <x v="0"/>
  </r>
  <r>
    <x v="2"/>
    <x v="6"/>
    <n v="29"/>
    <x v="3"/>
  </r>
  <r>
    <x v="4"/>
    <x v="4"/>
    <n v="202"/>
    <x v="4"/>
  </r>
  <r>
    <x v="2"/>
    <x v="4"/>
    <n v="348"/>
    <x v="3"/>
  </r>
  <r>
    <x v="4"/>
    <x v="6"/>
    <n v="380"/>
    <x v="1"/>
  </r>
  <r>
    <x v="1"/>
    <x v="6"/>
    <n v="254"/>
    <x v="4"/>
  </r>
  <r>
    <x v="3"/>
    <x v="0"/>
    <n v="477"/>
    <x v="4"/>
  </r>
  <r>
    <x v="0"/>
    <x v="0"/>
    <n v="385"/>
    <x v="5"/>
  </r>
  <r>
    <x v="0"/>
    <x v="4"/>
    <n v="336"/>
    <x v="5"/>
  </r>
  <r>
    <x v="1"/>
    <x v="2"/>
    <n v="171"/>
    <x v="3"/>
  </r>
  <r>
    <x v="3"/>
    <x v="1"/>
    <n v="33"/>
    <x v="5"/>
  </r>
  <r>
    <x v="1"/>
    <x v="2"/>
    <n v="193"/>
    <x v="5"/>
  </r>
  <r>
    <x v="1"/>
    <x v="3"/>
    <n v="153"/>
    <x v="5"/>
  </r>
  <r>
    <x v="0"/>
    <x v="6"/>
    <n v="140"/>
    <x v="0"/>
  </r>
  <r>
    <x v="3"/>
    <x v="4"/>
    <n v="196"/>
    <x v="3"/>
  </r>
  <r>
    <x v="3"/>
    <x v="2"/>
    <n v="298"/>
    <x v="3"/>
  </r>
  <r>
    <x v="3"/>
    <x v="6"/>
    <n v="477"/>
    <x v="0"/>
  </r>
  <r>
    <x v="1"/>
    <x v="3"/>
    <n v="308"/>
    <x v="3"/>
  </r>
  <r>
    <x v="4"/>
    <x v="6"/>
    <n v="193"/>
    <x v="4"/>
  </r>
  <r>
    <x v="3"/>
    <x v="0"/>
    <n v="420"/>
    <x v="4"/>
  </r>
  <r>
    <x v="2"/>
    <x v="3"/>
    <n v="128"/>
    <x v="1"/>
  </r>
  <r>
    <x v="0"/>
    <x v="4"/>
    <n v="133"/>
    <x v="4"/>
  </r>
  <r>
    <x v="4"/>
    <x v="2"/>
    <n v="413"/>
    <x v="5"/>
  </r>
  <r>
    <x v="0"/>
    <x v="2"/>
    <n v="28"/>
    <x v="5"/>
  </r>
  <r>
    <x v="4"/>
    <x v="0"/>
    <n v="453"/>
    <x v="2"/>
  </r>
  <r>
    <x v="2"/>
    <x v="0"/>
    <n v="186"/>
    <x v="1"/>
  </r>
  <r>
    <x v="3"/>
    <x v="3"/>
    <n v="287"/>
    <x v="2"/>
  </r>
  <r>
    <x v="4"/>
    <x v="2"/>
    <n v="45"/>
    <x v="2"/>
  </r>
  <r>
    <x v="2"/>
    <x v="2"/>
    <n v="463"/>
    <x v="3"/>
  </r>
  <r>
    <x v="4"/>
    <x v="6"/>
    <n v="241"/>
    <x v="0"/>
  </r>
  <r>
    <x v="4"/>
    <x v="5"/>
    <n v="11"/>
    <x v="1"/>
  </r>
  <r>
    <x v="0"/>
    <x v="2"/>
    <n v="123"/>
    <x v="0"/>
  </r>
  <r>
    <x v="1"/>
    <x v="4"/>
    <n v="411"/>
    <x v="3"/>
  </r>
  <r>
    <x v="1"/>
    <x v="5"/>
    <n v="469"/>
    <x v="5"/>
  </r>
  <r>
    <x v="1"/>
    <x v="0"/>
    <n v="120"/>
    <x v="1"/>
  </r>
  <r>
    <x v="3"/>
    <x v="4"/>
    <n v="348"/>
    <x v="4"/>
  </r>
  <r>
    <x v="2"/>
    <x v="1"/>
    <n v="103"/>
    <x v="5"/>
  </r>
  <r>
    <x v="2"/>
    <x v="3"/>
    <n v="470"/>
    <x v="2"/>
  </r>
  <r>
    <x v="0"/>
    <x v="3"/>
    <n v="241"/>
    <x v="3"/>
  </r>
  <r>
    <x v="1"/>
    <x v="0"/>
    <n v="277"/>
    <x v="5"/>
  </r>
  <r>
    <x v="4"/>
    <x v="6"/>
    <n v="158"/>
    <x v="5"/>
  </r>
  <r>
    <x v="1"/>
    <x v="4"/>
    <n v="23"/>
    <x v="0"/>
  </r>
  <r>
    <x v="1"/>
    <x v="4"/>
    <n v="200"/>
    <x v="5"/>
  </r>
  <r>
    <x v="3"/>
    <x v="5"/>
    <n v="264"/>
    <x v="5"/>
  </r>
  <r>
    <x v="4"/>
    <x v="1"/>
    <n v="309"/>
    <x v="3"/>
  </r>
  <r>
    <x v="2"/>
    <x v="2"/>
    <n v="30"/>
    <x v="0"/>
  </r>
  <r>
    <x v="4"/>
    <x v="0"/>
    <n v="289"/>
    <x v="2"/>
  </r>
  <r>
    <x v="3"/>
    <x v="6"/>
    <n v="432"/>
    <x v="4"/>
  </r>
  <r>
    <x v="0"/>
    <x v="1"/>
    <n v="393"/>
    <x v="5"/>
  </r>
  <r>
    <x v="4"/>
    <x v="4"/>
    <n v="203"/>
    <x v="1"/>
  </r>
  <r>
    <x v="4"/>
    <x v="2"/>
    <n v="43"/>
    <x v="0"/>
  </r>
  <r>
    <x v="0"/>
    <x v="0"/>
    <n v="311"/>
    <x v="0"/>
  </r>
  <r>
    <x v="2"/>
    <x v="0"/>
    <n v="23"/>
    <x v="0"/>
  </r>
  <r>
    <x v="3"/>
    <x v="1"/>
    <n v="370"/>
    <x v="0"/>
  </r>
  <r>
    <x v="3"/>
    <x v="1"/>
    <n v="343"/>
    <x v="1"/>
  </r>
  <r>
    <x v="3"/>
    <x v="1"/>
    <n v="391"/>
    <x v="5"/>
  </r>
  <r>
    <x v="0"/>
    <x v="1"/>
    <n v="405"/>
    <x v="1"/>
  </r>
  <r>
    <x v="0"/>
    <x v="3"/>
    <n v="14"/>
    <x v="5"/>
  </r>
  <r>
    <x v="4"/>
    <x v="6"/>
    <n v="11"/>
    <x v="3"/>
  </r>
  <r>
    <x v="3"/>
    <x v="2"/>
    <n v="335"/>
    <x v="5"/>
  </r>
  <r>
    <x v="2"/>
    <x v="0"/>
    <n v="408"/>
    <x v="3"/>
  </r>
  <r>
    <x v="3"/>
    <x v="3"/>
    <n v="302"/>
    <x v="5"/>
  </r>
  <r>
    <x v="2"/>
    <x v="0"/>
    <n v="329"/>
    <x v="4"/>
  </r>
  <r>
    <x v="3"/>
    <x v="2"/>
    <n v="328"/>
    <x v="1"/>
  </r>
  <r>
    <x v="3"/>
    <x v="2"/>
    <n v="353"/>
    <x v="4"/>
  </r>
  <r>
    <x v="0"/>
    <x v="2"/>
    <n v="386"/>
    <x v="0"/>
  </r>
  <r>
    <x v="0"/>
    <x v="0"/>
    <n v="401"/>
    <x v="2"/>
  </r>
  <r>
    <x v="4"/>
    <x v="2"/>
    <n v="286"/>
    <x v="1"/>
  </r>
  <r>
    <x v="4"/>
    <x v="1"/>
    <n v="20"/>
    <x v="4"/>
  </r>
  <r>
    <x v="0"/>
    <x v="6"/>
    <n v="167"/>
    <x v="2"/>
  </r>
  <r>
    <x v="3"/>
    <x v="2"/>
    <n v="427"/>
    <x v="2"/>
  </r>
  <r>
    <x v="4"/>
    <x v="4"/>
    <n v="13"/>
    <x v="3"/>
  </r>
  <r>
    <x v="3"/>
    <x v="6"/>
    <n v="53"/>
    <x v="1"/>
  </r>
  <r>
    <x v="0"/>
    <x v="3"/>
    <n v="197"/>
    <x v="1"/>
  </r>
  <r>
    <x v="1"/>
    <x v="0"/>
    <n v="429"/>
    <x v="3"/>
  </r>
  <r>
    <x v="4"/>
    <x v="5"/>
    <n v="282"/>
    <x v="3"/>
  </r>
  <r>
    <x v="1"/>
    <x v="4"/>
    <n v="248"/>
    <x v="1"/>
  </r>
  <r>
    <x v="4"/>
    <x v="0"/>
    <n v="406"/>
    <x v="2"/>
  </r>
  <r>
    <x v="2"/>
    <x v="2"/>
    <n v="249"/>
    <x v="1"/>
  </r>
  <r>
    <x v="1"/>
    <x v="4"/>
    <n v="12"/>
    <x v="4"/>
  </r>
  <r>
    <x v="2"/>
    <x v="4"/>
    <n v="57"/>
    <x v="3"/>
  </r>
  <r>
    <x v="3"/>
    <x v="4"/>
    <n v="247"/>
    <x v="2"/>
  </r>
  <r>
    <x v="4"/>
    <x v="4"/>
    <n v="25"/>
    <x v="4"/>
  </r>
  <r>
    <x v="1"/>
    <x v="4"/>
    <n v="425"/>
    <x v="4"/>
  </r>
  <r>
    <x v="4"/>
    <x v="5"/>
    <n v="315"/>
    <x v="1"/>
  </r>
  <r>
    <x v="4"/>
    <x v="2"/>
    <n v="466"/>
    <x v="3"/>
  </r>
  <r>
    <x v="3"/>
    <x v="1"/>
    <n v="207"/>
    <x v="0"/>
  </r>
  <r>
    <x v="4"/>
    <x v="0"/>
    <n v="248"/>
    <x v="2"/>
  </r>
  <r>
    <x v="3"/>
    <x v="0"/>
    <n v="278"/>
    <x v="0"/>
  </r>
  <r>
    <x v="3"/>
    <x v="6"/>
    <n v="315"/>
    <x v="5"/>
  </r>
  <r>
    <x v="4"/>
    <x v="4"/>
    <n v="190"/>
    <x v="1"/>
  </r>
  <r>
    <x v="3"/>
    <x v="5"/>
    <n v="190"/>
    <x v="4"/>
  </r>
  <r>
    <x v="1"/>
    <x v="5"/>
    <n v="408"/>
    <x v="5"/>
  </r>
  <r>
    <x v="2"/>
    <x v="5"/>
    <n v="227"/>
    <x v="3"/>
  </r>
  <r>
    <x v="4"/>
    <x v="3"/>
    <n v="479"/>
    <x v="0"/>
  </r>
  <r>
    <x v="4"/>
    <x v="5"/>
    <n v="415"/>
    <x v="2"/>
  </r>
  <r>
    <x v="4"/>
    <x v="1"/>
    <n v="204"/>
    <x v="0"/>
  </r>
  <r>
    <x v="4"/>
    <x v="5"/>
    <n v="205"/>
    <x v="2"/>
  </r>
  <r>
    <x v="2"/>
    <x v="0"/>
    <n v="64"/>
    <x v="2"/>
  </r>
  <r>
    <x v="0"/>
    <x v="4"/>
    <n v="281"/>
    <x v="1"/>
  </r>
  <r>
    <x v="0"/>
    <x v="6"/>
    <n v="78"/>
    <x v="1"/>
  </r>
  <r>
    <x v="3"/>
    <x v="0"/>
    <n v="343"/>
    <x v="5"/>
  </r>
  <r>
    <x v="1"/>
    <x v="4"/>
    <n v="318"/>
    <x v="2"/>
  </r>
  <r>
    <x v="1"/>
    <x v="6"/>
    <n v="444"/>
    <x v="2"/>
  </r>
  <r>
    <x v="3"/>
    <x v="6"/>
    <n v="171"/>
    <x v="1"/>
  </r>
  <r>
    <x v="4"/>
    <x v="4"/>
    <n v="309"/>
    <x v="4"/>
  </r>
  <r>
    <x v="1"/>
    <x v="3"/>
    <n v="447"/>
    <x v="1"/>
  </r>
  <r>
    <x v="4"/>
    <x v="1"/>
    <n v="120"/>
    <x v="2"/>
  </r>
  <r>
    <x v="0"/>
    <x v="0"/>
    <n v="168"/>
    <x v="3"/>
  </r>
  <r>
    <x v="2"/>
    <x v="4"/>
    <n v="203"/>
    <x v="5"/>
  </r>
  <r>
    <x v="0"/>
    <x v="4"/>
    <n v="436"/>
    <x v="0"/>
  </r>
  <r>
    <x v="3"/>
    <x v="1"/>
    <n v="195"/>
    <x v="5"/>
  </r>
  <r>
    <x v="0"/>
    <x v="2"/>
    <n v="454"/>
    <x v="2"/>
  </r>
  <r>
    <x v="4"/>
    <x v="2"/>
    <n v="187"/>
    <x v="4"/>
  </r>
  <r>
    <x v="2"/>
    <x v="6"/>
    <n v="277"/>
    <x v="3"/>
  </r>
  <r>
    <x v="2"/>
    <x v="2"/>
    <n v="257"/>
    <x v="2"/>
  </r>
  <r>
    <x v="2"/>
    <x v="6"/>
    <n v="12"/>
    <x v="2"/>
  </r>
  <r>
    <x v="0"/>
    <x v="6"/>
    <n v="362"/>
    <x v="1"/>
  </r>
  <r>
    <x v="0"/>
    <x v="5"/>
    <n v="89"/>
    <x v="5"/>
  </r>
  <r>
    <x v="3"/>
    <x v="2"/>
    <n v="123"/>
    <x v="3"/>
  </r>
  <r>
    <x v="4"/>
    <x v="0"/>
    <n v="427"/>
    <x v="4"/>
  </r>
  <r>
    <x v="0"/>
    <x v="6"/>
    <n v="439"/>
    <x v="0"/>
  </r>
  <r>
    <x v="0"/>
    <x v="0"/>
    <n v="396"/>
    <x v="5"/>
  </r>
  <r>
    <x v="1"/>
    <x v="1"/>
    <n v="453"/>
    <x v="4"/>
  </r>
  <r>
    <x v="0"/>
    <x v="0"/>
    <n v="356"/>
    <x v="2"/>
  </r>
  <r>
    <x v="3"/>
    <x v="5"/>
    <n v="192"/>
    <x v="3"/>
  </r>
  <r>
    <x v="0"/>
    <x v="1"/>
    <n v="483"/>
    <x v="2"/>
  </r>
  <r>
    <x v="2"/>
    <x v="0"/>
    <n v="17"/>
    <x v="1"/>
  </r>
  <r>
    <x v="1"/>
    <x v="3"/>
    <n v="272"/>
    <x v="2"/>
  </r>
  <r>
    <x v="2"/>
    <x v="1"/>
    <n v="195"/>
    <x v="1"/>
  </r>
  <r>
    <x v="2"/>
    <x v="6"/>
    <n v="416"/>
    <x v="5"/>
  </r>
  <r>
    <x v="4"/>
    <x v="2"/>
    <n v="459"/>
    <x v="1"/>
  </r>
  <r>
    <x v="1"/>
    <x v="1"/>
    <n v="168"/>
    <x v="0"/>
  </r>
  <r>
    <x v="2"/>
    <x v="3"/>
    <n v="307"/>
    <x v="2"/>
  </r>
  <r>
    <x v="2"/>
    <x v="4"/>
    <n v="270"/>
    <x v="5"/>
  </r>
  <r>
    <x v="3"/>
    <x v="3"/>
    <n v="358"/>
    <x v="4"/>
  </r>
  <r>
    <x v="4"/>
    <x v="5"/>
    <n v="301"/>
    <x v="2"/>
  </r>
  <r>
    <x v="3"/>
    <x v="0"/>
    <n v="277"/>
    <x v="4"/>
  </r>
  <r>
    <x v="3"/>
    <x v="2"/>
    <n v="423"/>
    <x v="4"/>
  </r>
  <r>
    <x v="3"/>
    <x v="6"/>
    <n v="197"/>
    <x v="4"/>
  </r>
  <r>
    <x v="4"/>
    <x v="3"/>
    <n v="100"/>
    <x v="2"/>
  </r>
  <r>
    <x v="2"/>
    <x v="4"/>
    <n v="338"/>
    <x v="5"/>
  </r>
  <r>
    <x v="0"/>
    <x v="6"/>
    <n v="130"/>
    <x v="5"/>
  </r>
  <r>
    <x v="2"/>
    <x v="6"/>
    <n v="383"/>
    <x v="2"/>
  </r>
  <r>
    <x v="3"/>
    <x v="4"/>
    <n v="411"/>
    <x v="5"/>
  </r>
  <r>
    <x v="0"/>
    <x v="4"/>
    <n v="347"/>
    <x v="3"/>
  </r>
  <r>
    <x v="4"/>
    <x v="1"/>
    <n v="302"/>
    <x v="2"/>
  </r>
  <r>
    <x v="0"/>
    <x v="5"/>
    <n v="361"/>
    <x v="3"/>
  </r>
  <r>
    <x v="3"/>
    <x v="6"/>
    <n v="148"/>
    <x v="3"/>
  </r>
  <r>
    <x v="2"/>
    <x v="4"/>
    <n v="162"/>
    <x v="2"/>
  </r>
  <r>
    <x v="2"/>
    <x v="4"/>
    <n v="379"/>
    <x v="2"/>
  </r>
  <r>
    <x v="3"/>
    <x v="1"/>
    <n v="373"/>
    <x v="4"/>
  </r>
  <r>
    <x v="4"/>
    <x v="2"/>
    <n v="354"/>
    <x v="0"/>
  </r>
  <r>
    <x v="1"/>
    <x v="4"/>
    <n v="76"/>
    <x v="5"/>
  </r>
  <r>
    <x v="3"/>
    <x v="0"/>
    <n v="316"/>
    <x v="1"/>
  </r>
  <r>
    <x v="4"/>
    <x v="2"/>
    <n v="331"/>
    <x v="3"/>
  </r>
  <r>
    <x v="1"/>
    <x v="1"/>
    <n v="418"/>
    <x v="4"/>
  </r>
  <r>
    <x v="3"/>
    <x v="6"/>
    <n v="309"/>
    <x v="3"/>
  </r>
  <r>
    <x v="1"/>
    <x v="5"/>
    <n v="252"/>
    <x v="1"/>
  </r>
  <r>
    <x v="2"/>
    <x v="5"/>
    <n v="146"/>
    <x v="1"/>
  </r>
  <r>
    <x v="1"/>
    <x v="1"/>
    <n v="352"/>
    <x v="2"/>
  </r>
  <r>
    <x v="2"/>
    <x v="0"/>
    <n v="43"/>
    <x v="4"/>
  </r>
  <r>
    <x v="0"/>
    <x v="2"/>
    <n v="440"/>
    <x v="1"/>
  </r>
  <r>
    <x v="4"/>
    <x v="3"/>
    <n v="376"/>
    <x v="3"/>
  </r>
  <r>
    <x v="0"/>
    <x v="5"/>
    <n v="137"/>
    <x v="3"/>
  </r>
  <r>
    <x v="4"/>
    <x v="0"/>
    <n v="301"/>
    <x v="5"/>
  </r>
  <r>
    <x v="1"/>
    <x v="1"/>
    <n v="410"/>
    <x v="2"/>
  </r>
  <r>
    <x v="2"/>
    <x v="4"/>
    <n v="298"/>
    <x v="3"/>
  </r>
  <r>
    <x v="3"/>
    <x v="3"/>
    <n v="54"/>
    <x v="4"/>
  </r>
  <r>
    <x v="4"/>
    <x v="2"/>
    <n v="486"/>
    <x v="5"/>
  </r>
  <r>
    <x v="2"/>
    <x v="1"/>
    <n v="38"/>
    <x v="1"/>
  </r>
  <r>
    <x v="0"/>
    <x v="1"/>
    <n v="442"/>
    <x v="1"/>
  </r>
  <r>
    <x v="3"/>
    <x v="4"/>
    <n v="474"/>
    <x v="2"/>
  </r>
  <r>
    <x v="1"/>
    <x v="2"/>
    <n v="96"/>
    <x v="4"/>
  </r>
  <r>
    <x v="1"/>
    <x v="3"/>
    <n v="160"/>
    <x v="0"/>
  </r>
  <r>
    <x v="3"/>
    <x v="5"/>
    <n v="451"/>
    <x v="1"/>
  </r>
  <r>
    <x v="3"/>
    <x v="1"/>
    <n v="184"/>
    <x v="2"/>
  </r>
  <r>
    <x v="1"/>
    <x v="4"/>
    <n v="50"/>
    <x v="2"/>
  </r>
  <r>
    <x v="3"/>
    <x v="5"/>
    <n v="299"/>
    <x v="1"/>
  </r>
  <r>
    <x v="4"/>
    <x v="4"/>
    <n v="495"/>
    <x v="5"/>
  </r>
  <r>
    <x v="3"/>
    <x v="0"/>
    <n v="132"/>
    <x v="5"/>
  </r>
  <r>
    <x v="3"/>
    <x v="5"/>
    <n v="395"/>
    <x v="3"/>
  </r>
  <r>
    <x v="0"/>
    <x v="2"/>
    <n v="34"/>
    <x v="2"/>
  </r>
  <r>
    <x v="0"/>
    <x v="4"/>
    <n v="348"/>
    <x v="5"/>
  </r>
  <r>
    <x v="3"/>
    <x v="2"/>
    <n v="247"/>
    <x v="3"/>
  </r>
  <r>
    <x v="2"/>
    <x v="6"/>
    <n v="216"/>
    <x v="4"/>
  </r>
  <r>
    <x v="3"/>
    <x v="4"/>
    <n v="299"/>
    <x v="4"/>
  </r>
  <r>
    <x v="0"/>
    <x v="0"/>
    <n v="315"/>
    <x v="3"/>
  </r>
  <r>
    <x v="0"/>
    <x v="3"/>
    <n v="35"/>
    <x v="2"/>
  </r>
  <r>
    <x v="1"/>
    <x v="4"/>
    <n v="359"/>
    <x v="4"/>
  </r>
  <r>
    <x v="2"/>
    <x v="4"/>
    <n v="361"/>
    <x v="5"/>
  </r>
  <r>
    <x v="1"/>
    <x v="5"/>
    <n v="273"/>
    <x v="4"/>
  </r>
  <r>
    <x v="3"/>
    <x v="4"/>
    <n v="47"/>
    <x v="4"/>
  </r>
  <r>
    <x v="1"/>
    <x v="6"/>
    <n v="477"/>
    <x v="4"/>
  </r>
  <r>
    <x v="1"/>
    <x v="3"/>
    <n v="418"/>
    <x v="0"/>
  </r>
  <r>
    <x v="3"/>
    <x v="2"/>
    <n v="274"/>
    <x v="0"/>
  </r>
  <r>
    <x v="0"/>
    <x v="4"/>
    <n v="102"/>
    <x v="4"/>
  </r>
  <r>
    <x v="4"/>
    <x v="5"/>
    <n v="164"/>
    <x v="1"/>
  </r>
  <r>
    <x v="3"/>
    <x v="5"/>
    <n v="478"/>
    <x v="0"/>
  </r>
  <r>
    <x v="0"/>
    <x v="6"/>
    <n v="100"/>
    <x v="4"/>
  </r>
  <r>
    <x v="0"/>
    <x v="0"/>
    <n v="264"/>
    <x v="1"/>
  </r>
  <r>
    <x v="4"/>
    <x v="4"/>
    <n v="208"/>
    <x v="5"/>
  </r>
  <r>
    <x v="1"/>
    <x v="6"/>
    <n v="56"/>
    <x v="3"/>
  </r>
  <r>
    <x v="4"/>
    <x v="6"/>
    <n v="207"/>
    <x v="1"/>
  </r>
  <r>
    <x v="2"/>
    <x v="4"/>
    <n v="187"/>
    <x v="1"/>
  </r>
  <r>
    <x v="1"/>
    <x v="3"/>
    <n v="62"/>
    <x v="2"/>
  </r>
  <r>
    <x v="3"/>
    <x v="0"/>
    <n v="182"/>
    <x v="2"/>
  </r>
  <r>
    <x v="1"/>
    <x v="1"/>
    <n v="468"/>
    <x v="4"/>
  </r>
  <r>
    <x v="2"/>
    <x v="2"/>
    <n v="389"/>
    <x v="4"/>
  </r>
  <r>
    <x v="0"/>
    <x v="3"/>
    <n v="155"/>
    <x v="3"/>
  </r>
  <r>
    <x v="4"/>
    <x v="5"/>
    <n v="331"/>
    <x v="2"/>
  </r>
  <r>
    <x v="0"/>
    <x v="6"/>
    <n v="131"/>
    <x v="1"/>
  </r>
  <r>
    <x v="1"/>
    <x v="2"/>
    <n v="376"/>
    <x v="1"/>
  </r>
  <r>
    <x v="3"/>
    <x v="4"/>
    <n v="106"/>
    <x v="2"/>
  </r>
  <r>
    <x v="1"/>
    <x v="5"/>
    <n v="445"/>
    <x v="3"/>
  </r>
  <r>
    <x v="2"/>
    <x v="2"/>
    <n v="345"/>
    <x v="5"/>
  </r>
  <r>
    <x v="3"/>
    <x v="4"/>
    <n v="432"/>
    <x v="5"/>
  </r>
  <r>
    <x v="4"/>
    <x v="0"/>
    <n v="362"/>
    <x v="3"/>
  </r>
  <r>
    <x v="0"/>
    <x v="0"/>
    <n v="174"/>
    <x v="2"/>
  </r>
  <r>
    <x v="2"/>
    <x v="5"/>
    <n v="490"/>
    <x v="5"/>
  </r>
  <r>
    <x v="0"/>
    <x v="2"/>
    <n v="32"/>
    <x v="3"/>
  </r>
  <r>
    <x v="2"/>
    <x v="3"/>
    <n v="48"/>
    <x v="4"/>
  </r>
  <r>
    <x v="3"/>
    <x v="1"/>
    <n v="141"/>
    <x v="0"/>
  </r>
  <r>
    <x v="1"/>
    <x v="6"/>
    <n v="368"/>
    <x v="1"/>
  </r>
  <r>
    <x v="0"/>
    <x v="2"/>
    <n v="227"/>
    <x v="3"/>
  </r>
  <r>
    <x v="2"/>
    <x v="6"/>
    <n v="484"/>
    <x v="5"/>
  </r>
  <r>
    <x v="2"/>
    <x v="5"/>
    <n v="14"/>
    <x v="5"/>
  </r>
  <r>
    <x v="0"/>
    <x v="2"/>
    <n v="328"/>
    <x v="5"/>
  </r>
  <r>
    <x v="4"/>
    <x v="1"/>
    <n v="279"/>
    <x v="2"/>
  </r>
  <r>
    <x v="2"/>
    <x v="6"/>
    <n v="158"/>
    <x v="4"/>
  </r>
  <r>
    <x v="2"/>
    <x v="6"/>
    <n v="422"/>
    <x v="4"/>
  </r>
  <r>
    <x v="3"/>
    <x v="2"/>
    <n v="235"/>
    <x v="0"/>
  </r>
  <r>
    <x v="2"/>
    <x v="4"/>
    <n v="331"/>
    <x v="2"/>
  </r>
  <r>
    <x v="0"/>
    <x v="6"/>
    <n v="148"/>
    <x v="4"/>
  </r>
  <r>
    <x v="1"/>
    <x v="1"/>
    <n v="198"/>
    <x v="5"/>
  </r>
  <r>
    <x v="1"/>
    <x v="6"/>
    <n v="81"/>
    <x v="4"/>
  </r>
  <r>
    <x v="1"/>
    <x v="5"/>
    <n v="131"/>
    <x v="3"/>
  </r>
  <r>
    <x v="4"/>
    <x v="0"/>
    <n v="210"/>
    <x v="2"/>
  </r>
  <r>
    <x v="0"/>
    <x v="3"/>
    <n v="301"/>
    <x v="3"/>
  </r>
  <r>
    <x v="3"/>
    <x v="6"/>
    <n v="466"/>
    <x v="5"/>
  </r>
  <r>
    <x v="4"/>
    <x v="3"/>
    <n v="336"/>
    <x v="4"/>
  </r>
  <r>
    <x v="4"/>
    <x v="0"/>
    <n v="280"/>
    <x v="2"/>
  </r>
  <r>
    <x v="4"/>
    <x v="4"/>
    <n v="495"/>
    <x v="4"/>
  </r>
  <r>
    <x v="2"/>
    <x v="3"/>
    <n v="144"/>
    <x v="0"/>
  </r>
  <r>
    <x v="1"/>
    <x v="0"/>
    <n v="165"/>
    <x v="3"/>
  </r>
  <r>
    <x v="3"/>
    <x v="5"/>
    <n v="479"/>
    <x v="5"/>
  </r>
  <r>
    <x v="3"/>
    <x v="2"/>
    <n v="285"/>
    <x v="0"/>
  </r>
  <r>
    <x v="4"/>
    <x v="3"/>
    <n v="93"/>
    <x v="4"/>
  </r>
  <r>
    <x v="1"/>
    <x v="4"/>
    <n v="299"/>
    <x v="5"/>
  </r>
  <r>
    <x v="3"/>
    <x v="3"/>
    <n v="10"/>
    <x v="4"/>
  </r>
  <r>
    <x v="2"/>
    <x v="3"/>
    <n v="82"/>
    <x v="5"/>
  </r>
  <r>
    <x v="3"/>
    <x v="4"/>
    <n v="27"/>
    <x v="5"/>
  </r>
  <r>
    <x v="0"/>
    <x v="6"/>
    <n v="105"/>
    <x v="3"/>
  </r>
  <r>
    <x v="4"/>
    <x v="2"/>
    <n v="330"/>
    <x v="4"/>
  </r>
  <r>
    <x v="0"/>
    <x v="6"/>
    <n v="462"/>
    <x v="1"/>
  </r>
  <r>
    <x v="2"/>
    <x v="5"/>
    <n v="250"/>
    <x v="0"/>
  </r>
  <r>
    <x v="3"/>
    <x v="3"/>
    <n v="30"/>
    <x v="2"/>
  </r>
  <r>
    <x v="0"/>
    <x v="0"/>
    <n v="364"/>
    <x v="2"/>
  </r>
  <r>
    <x v="0"/>
    <x v="5"/>
    <n v="404"/>
    <x v="2"/>
  </r>
  <r>
    <x v="4"/>
    <x v="6"/>
    <n v="499"/>
    <x v="5"/>
  </r>
  <r>
    <x v="1"/>
    <x v="5"/>
    <n v="480"/>
    <x v="2"/>
  </r>
  <r>
    <x v="4"/>
    <x v="0"/>
    <n v="417"/>
    <x v="0"/>
  </r>
  <r>
    <x v="0"/>
    <x v="2"/>
    <n v="215"/>
    <x v="0"/>
  </r>
  <r>
    <x v="4"/>
    <x v="2"/>
    <n v="234"/>
    <x v="5"/>
  </r>
  <r>
    <x v="4"/>
    <x v="6"/>
    <n v="103"/>
    <x v="4"/>
  </r>
  <r>
    <x v="2"/>
    <x v="0"/>
    <n v="191"/>
    <x v="0"/>
  </r>
  <r>
    <x v="1"/>
    <x v="1"/>
    <n v="82"/>
    <x v="1"/>
  </r>
  <r>
    <x v="2"/>
    <x v="3"/>
    <n v="468"/>
    <x v="3"/>
  </r>
  <r>
    <x v="4"/>
    <x v="2"/>
    <n v="366"/>
    <x v="0"/>
  </r>
  <r>
    <x v="3"/>
    <x v="5"/>
    <n v="53"/>
    <x v="4"/>
  </r>
  <r>
    <x v="1"/>
    <x v="6"/>
    <n v="102"/>
    <x v="5"/>
  </r>
  <r>
    <x v="1"/>
    <x v="5"/>
    <n v="259"/>
    <x v="1"/>
  </r>
  <r>
    <x v="0"/>
    <x v="1"/>
    <n v="81"/>
    <x v="4"/>
  </r>
  <r>
    <x v="4"/>
    <x v="1"/>
    <n v="135"/>
    <x v="5"/>
  </r>
  <r>
    <x v="0"/>
    <x v="6"/>
    <n v="465"/>
    <x v="2"/>
  </r>
  <r>
    <x v="4"/>
    <x v="3"/>
    <n v="163"/>
    <x v="4"/>
  </r>
  <r>
    <x v="2"/>
    <x v="3"/>
    <n v="321"/>
    <x v="1"/>
  </r>
  <r>
    <x v="2"/>
    <x v="2"/>
    <n v="212"/>
    <x v="5"/>
  </r>
  <r>
    <x v="1"/>
    <x v="5"/>
    <n v="453"/>
    <x v="4"/>
  </r>
  <r>
    <x v="3"/>
    <x v="1"/>
    <n v="34"/>
    <x v="1"/>
  </r>
  <r>
    <x v="0"/>
    <x v="0"/>
    <n v="197"/>
    <x v="5"/>
  </r>
  <r>
    <x v="4"/>
    <x v="3"/>
    <n v="361"/>
    <x v="1"/>
  </r>
  <r>
    <x v="2"/>
    <x v="6"/>
    <n v="166"/>
    <x v="5"/>
  </r>
  <r>
    <x v="2"/>
    <x v="2"/>
    <n v="168"/>
    <x v="3"/>
  </r>
  <r>
    <x v="1"/>
    <x v="1"/>
    <n v="336"/>
    <x v="2"/>
  </r>
  <r>
    <x v="4"/>
    <x v="6"/>
    <n v="212"/>
    <x v="2"/>
  </r>
  <r>
    <x v="0"/>
    <x v="0"/>
    <n v="185"/>
    <x v="2"/>
  </r>
  <r>
    <x v="3"/>
    <x v="0"/>
    <n v="124"/>
    <x v="0"/>
  </r>
  <r>
    <x v="3"/>
    <x v="4"/>
    <n v="256"/>
    <x v="2"/>
  </r>
  <r>
    <x v="4"/>
    <x v="2"/>
    <n v="58"/>
    <x v="4"/>
  </r>
  <r>
    <x v="1"/>
    <x v="0"/>
    <n v="135"/>
    <x v="0"/>
  </r>
  <r>
    <x v="1"/>
    <x v="2"/>
    <n v="163"/>
    <x v="2"/>
  </r>
  <r>
    <x v="2"/>
    <x v="1"/>
    <n v="120"/>
    <x v="4"/>
  </r>
  <r>
    <x v="4"/>
    <x v="6"/>
    <n v="439"/>
    <x v="0"/>
  </r>
  <r>
    <x v="2"/>
    <x v="2"/>
    <n v="223"/>
    <x v="0"/>
  </r>
  <r>
    <x v="3"/>
    <x v="1"/>
    <n v="485"/>
    <x v="3"/>
  </r>
  <r>
    <x v="1"/>
    <x v="0"/>
    <n v="474"/>
    <x v="0"/>
  </r>
  <r>
    <x v="4"/>
    <x v="0"/>
    <n v="259"/>
    <x v="2"/>
  </r>
  <r>
    <x v="3"/>
    <x v="0"/>
    <n v="53"/>
    <x v="3"/>
  </r>
  <r>
    <x v="2"/>
    <x v="4"/>
    <n v="221"/>
    <x v="4"/>
  </r>
  <r>
    <x v="0"/>
    <x v="5"/>
    <n v="46"/>
    <x v="0"/>
  </r>
  <r>
    <x v="2"/>
    <x v="2"/>
    <n v="253"/>
    <x v="0"/>
  </r>
  <r>
    <x v="3"/>
    <x v="6"/>
    <n v="478"/>
    <x v="0"/>
  </r>
  <r>
    <x v="3"/>
    <x v="5"/>
    <n v="145"/>
    <x v="5"/>
  </r>
  <r>
    <x v="1"/>
    <x v="4"/>
    <n v="366"/>
    <x v="5"/>
  </r>
  <r>
    <x v="3"/>
    <x v="0"/>
    <n v="301"/>
    <x v="4"/>
  </r>
  <r>
    <x v="0"/>
    <x v="2"/>
    <n v="26"/>
    <x v="2"/>
  </r>
  <r>
    <x v="0"/>
    <x v="0"/>
    <n v="208"/>
    <x v="4"/>
  </r>
  <r>
    <x v="0"/>
    <x v="1"/>
    <n v="109"/>
    <x v="0"/>
  </r>
  <r>
    <x v="0"/>
    <x v="4"/>
    <n v="451"/>
    <x v="4"/>
  </r>
  <r>
    <x v="0"/>
    <x v="3"/>
    <n v="33"/>
    <x v="0"/>
  </r>
  <r>
    <x v="2"/>
    <x v="4"/>
    <n v="467"/>
    <x v="5"/>
  </r>
  <r>
    <x v="2"/>
    <x v="5"/>
    <n v="123"/>
    <x v="1"/>
  </r>
  <r>
    <x v="3"/>
    <x v="3"/>
    <n v="139"/>
    <x v="3"/>
  </r>
  <r>
    <x v="2"/>
    <x v="5"/>
    <n v="103"/>
    <x v="1"/>
  </r>
  <r>
    <x v="4"/>
    <x v="6"/>
    <n v="207"/>
    <x v="0"/>
  </r>
  <r>
    <x v="3"/>
    <x v="2"/>
    <n v="267"/>
    <x v="5"/>
  </r>
  <r>
    <x v="0"/>
    <x v="1"/>
    <n v="266"/>
    <x v="2"/>
  </r>
  <r>
    <x v="2"/>
    <x v="1"/>
    <n v="240"/>
    <x v="1"/>
  </r>
  <r>
    <x v="4"/>
    <x v="3"/>
    <n v="315"/>
    <x v="4"/>
  </r>
  <r>
    <x v="4"/>
    <x v="3"/>
    <n v="276"/>
    <x v="1"/>
  </r>
  <r>
    <x v="2"/>
    <x v="1"/>
    <n v="308"/>
    <x v="5"/>
  </r>
  <r>
    <x v="1"/>
    <x v="5"/>
    <n v="297"/>
    <x v="5"/>
  </r>
  <r>
    <x v="1"/>
    <x v="6"/>
    <n v="326"/>
    <x v="4"/>
  </r>
  <r>
    <x v="0"/>
    <x v="6"/>
    <n v="352"/>
    <x v="0"/>
  </r>
  <r>
    <x v="4"/>
    <x v="1"/>
    <n v="180"/>
    <x v="5"/>
  </r>
  <r>
    <x v="2"/>
    <x v="5"/>
    <n v="362"/>
    <x v="0"/>
  </r>
  <r>
    <x v="4"/>
    <x v="5"/>
    <n v="154"/>
    <x v="4"/>
  </r>
  <r>
    <x v="2"/>
    <x v="0"/>
    <n v="287"/>
    <x v="0"/>
  </r>
  <r>
    <x v="0"/>
    <x v="6"/>
    <n v="303"/>
    <x v="4"/>
  </r>
  <r>
    <x v="3"/>
    <x v="4"/>
    <n v="447"/>
    <x v="2"/>
  </r>
  <r>
    <x v="0"/>
    <x v="5"/>
    <n v="480"/>
    <x v="5"/>
  </r>
  <r>
    <x v="4"/>
    <x v="2"/>
    <n v="438"/>
    <x v="5"/>
  </r>
  <r>
    <x v="3"/>
    <x v="5"/>
    <n v="295"/>
    <x v="1"/>
  </r>
  <r>
    <x v="4"/>
    <x v="0"/>
    <n v="479"/>
    <x v="4"/>
  </r>
  <r>
    <x v="4"/>
    <x v="6"/>
    <n v="214"/>
    <x v="5"/>
  </r>
  <r>
    <x v="3"/>
    <x v="0"/>
    <n v="69"/>
    <x v="2"/>
  </r>
  <r>
    <x v="0"/>
    <x v="5"/>
    <n v="344"/>
    <x v="1"/>
  </r>
  <r>
    <x v="4"/>
    <x v="2"/>
    <n v="163"/>
    <x v="2"/>
  </r>
  <r>
    <x v="4"/>
    <x v="1"/>
    <n v="217"/>
    <x v="3"/>
  </r>
  <r>
    <x v="2"/>
    <x v="5"/>
    <n v="177"/>
    <x v="3"/>
  </r>
  <r>
    <x v="4"/>
    <x v="3"/>
    <n v="304"/>
    <x v="5"/>
  </r>
  <r>
    <x v="4"/>
    <x v="6"/>
    <n v="90"/>
    <x v="2"/>
  </r>
  <r>
    <x v="3"/>
    <x v="2"/>
    <n v="108"/>
    <x v="2"/>
  </r>
  <r>
    <x v="2"/>
    <x v="0"/>
    <n v="96"/>
    <x v="5"/>
  </r>
  <r>
    <x v="4"/>
    <x v="5"/>
    <n v="247"/>
    <x v="5"/>
  </r>
  <r>
    <x v="1"/>
    <x v="3"/>
    <n v="245"/>
    <x v="2"/>
  </r>
  <r>
    <x v="0"/>
    <x v="6"/>
    <n v="366"/>
    <x v="3"/>
  </r>
  <r>
    <x v="1"/>
    <x v="3"/>
    <n v="170"/>
    <x v="0"/>
  </r>
  <r>
    <x v="0"/>
    <x v="3"/>
    <n v="447"/>
    <x v="0"/>
  </r>
  <r>
    <x v="2"/>
    <x v="4"/>
    <n v="369"/>
    <x v="0"/>
  </r>
  <r>
    <x v="4"/>
    <x v="5"/>
    <n v="62"/>
    <x v="1"/>
  </r>
  <r>
    <x v="0"/>
    <x v="6"/>
    <n v="294"/>
    <x v="3"/>
  </r>
  <r>
    <x v="0"/>
    <x v="4"/>
    <n v="10"/>
    <x v="3"/>
  </r>
  <r>
    <x v="4"/>
    <x v="4"/>
    <n v="389"/>
    <x v="3"/>
  </r>
  <r>
    <x v="3"/>
    <x v="0"/>
    <n v="55"/>
    <x v="0"/>
  </r>
  <r>
    <x v="0"/>
    <x v="0"/>
    <n v="208"/>
    <x v="0"/>
  </r>
  <r>
    <x v="2"/>
    <x v="1"/>
    <n v="198"/>
    <x v="5"/>
  </r>
  <r>
    <x v="3"/>
    <x v="6"/>
    <n v="280"/>
    <x v="5"/>
  </r>
  <r>
    <x v="0"/>
    <x v="2"/>
    <n v="161"/>
    <x v="4"/>
  </r>
  <r>
    <x v="0"/>
    <x v="3"/>
    <n v="439"/>
    <x v="3"/>
  </r>
  <r>
    <x v="3"/>
    <x v="6"/>
    <n v="339"/>
    <x v="5"/>
  </r>
  <r>
    <x v="1"/>
    <x v="2"/>
    <n v="52"/>
    <x v="3"/>
  </r>
  <r>
    <x v="4"/>
    <x v="6"/>
    <n v="297"/>
    <x v="5"/>
  </r>
  <r>
    <x v="4"/>
    <x v="4"/>
    <n v="40"/>
    <x v="1"/>
  </r>
  <r>
    <x v="4"/>
    <x v="2"/>
    <n v="379"/>
    <x v="3"/>
  </r>
  <r>
    <x v="0"/>
    <x v="6"/>
    <n v="82"/>
    <x v="3"/>
  </r>
  <r>
    <x v="3"/>
    <x v="5"/>
    <n v="192"/>
    <x v="0"/>
  </r>
  <r>
    <x v="3"/>
    <x v="1"/>
    <n v="286"/>
    <x v="1"/>
  </r>
  <r>
    <x v="2"/>
    <x v="6"/>
    <n v="452"/>
    <x v="3"/>
  </r>
  <r>
    <x v="1"/>
    <x v="6"/>
    <n v="417"/>
    <x v="4"/>
  </r>
  <r>
    <x v="1"/>
    <x v="1"/>
    <n v="371"/>
    <x v="0"/>
  </r>
  <r>
    <x v="1"/>
    <x v="2"/>
    <n v="110"/>
    <x v="5"/>
  </r>
  <r>
    <x v="0"/>
    <x v="2"/>
    <n v="274"/>
    <x v="1"/>
  </r>
  <r>
    <x v="1"/>
    <x v="4"/>
    <n v="412"/>
    <x v="0"/>
  </r>
  <r>
    <x v="0"/>
    <x v="4"/>
    <n v="341"/>
    <x v="4"/>
  </r>
  <r>
    <x v="4"/>
    <x v="1"/>
    <n v="388"/>
    <x v="1"/>
  </r>
  <r>
    <x v="1"/>
    <x v="5"/>
    <n v="446"/>
    <x v="4"/>
  </r>
  <r>
    <x v="3"/>
    <x v="1"/>
    <n v="223"/>
    <x v="1"/>
  </r>
  <r>
    <x v="0"/>
    <x v="1"/>
    <n v="417"/>
    <x v="2"/>
  </r>
  <r>
    <x v="4"/>
    <x v="0"/>
    <n v="390"/>
    <x v="0"/>
  </r>
  <r>
    <x v="3"/>
    <x v="2"/>
    <n v="33"/>
    <x v="1"/>
  </r>
  <r>
    <x v="2"/>
    <x v="3"/>
    <n v="302"/>
    <x v="0"/>
  </r>
  <r>
    <x v="0"/>
    <x v="4"/>
    <n v="121"/>
    <x v="0"/>
  </r>
  <r>
    <x v="2"/>
    <x v="2"/>
    <n v="112"/>
    <x v="4"/>
  </r>
  <r>
    <x v="4"/>
    <x v="6"/>
    <n v="375"/>
    <x v="0"/>
  </r>
  <r>
    <x v="1"/>
    <x v="6"/>
    <n v="97"/>
    <x v="4"/>
  </r>
  <r>
    <x v="4"/>
    <x v="5"/>
    <n v="306"/>
    <x v="2"/>
  </r>
  <r>
    <x v="3"/>
    <x v="6"/>
    <n v="136"/>
    <x v="1"/>
  </r>
  <r>
    <x v="3"/>
    <x v="4"/>
    <n v="12"/>
    <x v="0"/>
  </r>
  <r>
    <x v="2"/>
    <x v="5"/>
    <n v="379"/>
    <x v="2"/>
  </r>
  <r>
    <x v="3"/>
    <x v="6"/>
    <n v="205"/>
    <x v="3"/>
  </r>
  <r>
    <x v="2"/>
    <x v="2"/>
    <n v="335"/>
    <x v="0"/>
  </r>
  <r>
    <x v="1"/>
    <x v="5"/>
    <n v="449"/>
    <x v="2"/>
  </r>
  <r>
    <x v="2"/>
    <x v="3"/>
    <n v="453"/>
    <x v="2"/>
  </r>
  <r>
    <x v="2"/>
    <x v="3"/>
    <n v="252"/>
    <x v="0"/>
  </r>
  <r>
    <x v="1"/>
    <x v="0"/>
    <n v="379"/>
    <x v="3"/>
  </r>
  <r>
    <x v="4"/>
    <x v="5"/>
    <n v="280"/>
    <x v="4"/>
  </r>
  <r>
    <x v="4"/>
    <x v="4"/>
    <n v="187"/>
    <x v="3"/>
  </r>
  <r>
    <x v="0"/>
    <x v="2"/>
    <n v="373"/>
    <x v="0"/>
  </r>
  <r>
    <x v="3"/>
    <x v="1"/>
    <n v="482"/>
    <x v="5"/>
  </r>
  <r>
    <x v="1"/>
    <x v="1"/>
    <n v="360"/>
    <x v="2"/>
  </r>
  <r>
    <x v="4"/>
    <x v="2"/>
    <n v="463"/>
    <x v="4"/>
  </r>
  <r>
    <x v="1"/>
    <x v="3"/>
    <n v="13"/>
    <x v="1"/>
  </r>
  <r>
    <x v="0"/>
    <x v="2"/>
    <n v="129"/>
    <x v="5"/>
  </r>
  <r>
    <x v="3"/>
    <x v="1"/>
    <n v="290"/>
    <x v="0"/>
  </r>
  <r>
    <x v="4"/>
    <x v="3"/>
    <n v="50"/>
    <x v="0"/>
  </r>
  <r>
    <x v="1"/>
    <x v="3"/>
    <n v="241"/>
    <x v="2"/>
  </r>
  <r>
    <x v="2"/>
    <x v="6"/>
    <n v="383"/>
    <x v="5"/>
  </r>
  <r>
    <x v="3"/>
    <x v="6"/>
    <n v="384"/>
    <x v="2"/>
  </r>
  <r>
    <x v="4"/>
    <x v="6"/>
    <n v="302"/>
    <x v="4"/>
  </r>
  <r>
    <x v="2"/>
    <x v="0"/>
    <n v="24"/>
    <x v="5"/>
  </r>
  <r>
    <x v="2"/>
    <x v="0"/>
    <n v="416"/>
    <x v="3"/>
  </r>
  <r>
    <x v="1"/>
    <x v="5"/>
    <n v="272"/>
    <x v="4"/>
  </r>
  <r>
    <x v="3"/>
    <x v="5"/>
    <n v="294"/>
    <x v="3"/>
  </r>
  <r>
    <x v="1"/>
    <x v="6"/>
    <n v="18"/>
    <x v="3"/>
  </r>
  <r>
    <x v="2"/>
    <x v="5"/>
    <n v="409"/>
    <x v="5"/>
  </r>
  <r>
    <x v="3"/>
    <x v="0"/>
    <n v="290"/>
    <x v="3"/>
  </r>
  <r>
    <x v="1"/>
    <x v="5"/>
    <n v="102"/>
    <x v="5"/>
  </r>
  <r>
    <x v="0"/>
    <x v="4"/>
    <n v="119"/>
    <x v="4"/>
  </r>
  <r>
    <x v="1"/>
    <x v="1"/>
    <n v="87"/>
    <x v="2"/>
  </r>
  <r>
    <x v="4"/>
    <x v="0"/>
    <n v="273"/>
    <x v="5"/>
  </r>
  <r>
    <x v="3"/>
    <x v="6"/>
    <n v="281"/>
    <x v="1"/>
  </r>
  <r>
    <x v="1"/>
    <x v="6"/>
    <n v="115"/>
    <x v="2"/>
  </r>
  <r>
    <x v="4"/>
    <x v="4"/>
    <n v="483"/>
    <x v="5"/>
  </r>
  <r>
    <x v="1"/>
    <x v="3"/>
    <n v="129"/>
    <x v="2"/>
  </r>
  <r>
    <x v="0"/>
    <x v="1"/>
    <n v="292"/>
    <x v="4"/>
  </r>
  <r>
    <x v="0"/>
    <x v="3"/>
    <n v="307"/>
    <x v="4"/>
  </r>
  <r>
    <x v="0"/>
    <x v="2"/>
    <n v="306"/>
    <x v="0"/>
  </r>
  <r>
    <x v="1"/>
    <x v="4"/>
    <n v="71"/>
    <x v="2"/>
  </r>
  <r>
    <x v="0"/>
    <x v="0"/>
    <n v="253"/>
    <x v="0"/>
  </r>
  <r>
    <x v="3"/>
    <x v="5"/>
    <n v="68"/>
    <x v="5"/>
  </r>
  <r>
    <x v="1"/>
    <x v="5"/>
    <n v="366"/>
    <x v="5"/>
  </r>
  <r>
    <x v="0"/>
    <x v="5"/>
    <n v="166"/>
    <x v="3"/>
  </r>
  <r>
    <x v="1"/>
    <x v="1"/>
    <n v="136"/>
    <x v="2"/>
  </r>
  <r>
    <x v="2"/>
    <x v="2"/>
    <n v="358"/>
    <x v="0"/>
  </r>
  <r>
    <x v="3"/>
    <x v="0"/>
    <n v="399"/>
    <x v="0"/>
  </r>
  <r>
    <x v="3"/>
    <x v="0"/>
    <n v="285"/>
    <x v="1"/>
  </r>
  <r>
    <x v="3"/>
    <x v="5"/>
    <n v="424"/>
    <x v="4"/>
  </r>
  <r>
    <x v="1"/>
    <x v="5"/>
    <n v="467"/>
    <x v="4"/>
  </r>
  <r>
    <x v="0"/>
    <x v="5"/>
    <n v="443"/>
    <x v="0"/>
  </r>
  <r>
    <x v="3"/>
    <x v="2"/>
    <n v="214"/>
    <x v="1"/>
  </r>
  <r>
    <x v="1"/>
    <x v="6"/>
    <n v="437"/>
    <x v="4"/>
  </r>
  <r>
    <x v="4"/>
    <x v="4"/>
    <n v="419"/>
    <x v="1"/>
  </r>
  <r>
    <x v="1"/>
    <x v="4"/>
    <n v="129"/>
    <x v="1"/>
  </r>
  <r>
    <x v="1"/>
    <x v="4"/>
    <n v="75"/>
    <x v="0"/>
  </r>
  <r>
    <x v="4"/>
    <x v="6"/>
    <n v="346"/>
    <x v="5"/>
  </r>
  <r>
    <x v="1"/>
    <x v="1"/>
    <n v="480"/>
    <x v="4"/>
  </r>
  <r>
    <x v="0"/>
    <x v="0"/>
    <n v="188"/>
    <x v="4"/>
  </r>
  <r>
    <x v="1"/>
    <x v="0"/>
    <n v="420"/>
    <x v="5"/>
  </r>
  <r>
    <x v="0"/>
    <x v="5"/>
    <n v="204"/>
    <x v="4"/>
  </r>
  <r>
    <x v="2"/>
    <x v="1"/>
    <n v="355"/>
    <x v="0"/>
  </r>
  <r>
    <x v="4"/>
    <x v="1"/>
    <n v="200"/>
    <x v="4"/>
  </r>
  <r>
    <x v="3"/>
    <x v="3"/>
    <n v="178"/>
    <x v="0"/>
  </r>
  <r>
    <x v="0"/>
    <x v="3"/>
    <n v="337"/>
    <x v="4"/>
  </r>
  <r>
    <x v="2"/>
    <x v="2"/>
    <n v="24"/>
    <x v="0"/>
  </r>
  <r>
    <x v="0"/>
    <x v="2"/>
    <n v="167"/>
    <x v="2"/>
  </r>
  <r>
    <x v="4"/>
    <x v="6"/>
    <n v="289"/>
    <x v="0"/>
  </r>
  <r>
    <x v="0"/>
    <x v="1"/>
    <n v="450"/>
    <x v="0"/>
  </r>
  <r>
    <x v="4"/>
    <x v="0"/>
    <n v="165"/>
    <x v="4"/>
  </r>
  <r>
    <x v="2"/>
    <x v="0"/>
    <n v="391"/>
    <x v="1"/>
  </r>
  <r>
    <x v="1"/>
    <x v="0"/>
    <n v="318"/>
    <x v="2"/>
  </r>
  <r>
    <x v="0"/>
    <x v="4"/>
    <n v="157"/>
    <x v="4"/>
  </r>
  <r>
    <x v="2"/>
    <x v="2"/>
    <n v="25"/>
    <x v="3"/>
  </r>
  <r>
    <x v="1"/>
    <x v="2"/>
    <n v="112"/>
    <x v="4"/>
  </r>
  <r>
    <x v="1"/>
    <x v="4"/>
    <n v="479"/>
    <x v="2"/>
  </r>
  <r>
    <x v="2"/>
    <x v="3"/>
    <n v="233"/>
    <x v="0"/>
  </r>
  <r>
    <x v="0"/>
    <x v="3"/>
    <n v="44"/>
    <x v="5"/>
  </r>
  <r>
    <x v="2"/>
    <x v="1"/>
    <n v="456"/>
    <x v="0"/>
  </r>
  <r>
    <x v="2"/>
    <x v="5"/>
    <n v="486"/>
    <x v="1"/>
  </r>
  <r>
    <x v="2"/>
    <x v="4"/>
    <n v="308"/>
    <x v="3"/>
  </r>
  <r>
    <x v="3"/>
    <x v="1"/>
    <n v="161"/>
    <x v="3"/>
  </r>
  <r>
    <x v="4"/>
    <x v="1"/>
    <n v="316"/>
    <x v="0"/>
  </r>
  <r>
    <x v="3"/>
    <x v="2"/>
    <n v="133"/>
    <x v="1"/>
  </r>
  <r>
    <x v="2"/>
    <x v="2"/>
    <n v="270"/>
    <x v="3"/>
  </r>
  <r>
    <x v="0"/>
    <x v="0"/>
    <n v="85"/>
    <x v="5"/>
  </r>
  <r>
    <x v="2"/>
    <x v="2"/>
    <n v="65"/>
    <x v="0"/>
  </r>
  <r>
    <x v="0"/>
    <x v="0"/>
    <n v="393"/>
    <x v="0"/>
  </r>
  <r>
    <x v="2"/>
    <x v="0"/>
    <n v="181"/>
    <x v="2"/>
  </r>
  <r>
    <x v="0"/>
    <x v="0"/>
    <n v="416"/>
    <x v="5"/>
  </r>
  <r>
    <x v="1"/>
    <x v="1"/>
    <n v="243"/>
    <x v="4"/>
  </r>
  <r>
    <x v="1"/>
    <x v="5"/>
    <n v="381"/>
    <x v="2"/>
  </r>
  <r>
    <x v="3"/>
    <x v="4"/>
    <n v="71"/>
    <x v="2"/>
  </r>
  <r>
    <x v="3"/>
    <x v="6"/>
    <n v="219"/>
    <x v="3"/>
  </r>
  <r>
    <x v="2"/>
    <x v="1"/>
    <n v="335"/>
    <x v="0"/>
  </r>
  <r>
    <x v="0"/>
    <x v="3"/>
    <n v="435"/>
    <x v="1"/>
  </r>
  <r>
    <x v="4"/>
    <x v="0"/>
    <n v="423"/>
    <x v="3"/>
  </r>
  <r>
    <x v="1"/>
    <x v="1"/>
    <n v="304"/>
    <x v="4"/>
  </r>
  <r>
    <x v="2"/>
    <x v="5"/>
    <n v="455"/>
    <x v="4"/>
  </r>
  <r>
    <x v="1"/>
    <x v="1"/>
    <n v="449"/>
    <x v="4"/>
  </r>
  <r>
    <x v="1"/>
    <x v="5"/>
    <n v="39"/>
    <x v="3"/>
  </r>
  <r>
    <x v="1"/>
    <x v="4"/>
    <n v="139"/>
    <x v="4"/>
  </r>
  <r>
    <x v="2"/>
    <x v="1"/>
    <n v="345"/>
    <x v="2"/>
  </r>
  <r>
    <x v="4"/>
    <x v="6"/>
    <n v="500"/>
    <x v="0"/>
  </r>
  <r>
    <x v="4"/>
    <x v="2"/>
    <n v="365"/>
    <x v="1"/>
  </r>
  <r>
    <x v="2"/>
    <x v="1"/>
    <n v="479"/>
    <x v="1"/>
  </r>
  <r>
    <x v="2"/>
    <x v="6"/>
    <n v="63"/>
    <x v="2"/>
  </r>
  <r>
    <x v="0"/>
    <x v="2"/>
    <n v="104"/>
    <x v="1"/>
  </r>
  <r>
    <x v="3"/>
    <x v="4"/>
    <n v="380"/>
    <x v="2"/>
  </r>
  <r>
    <x v="3"/>
    <x v="5"/>
    <n v="500"/>
    <x v="5"/>
  </r>
  <r>
    <x v="0"/>
    <x v="2"/>
    <n v="247"/>
    <x v="3"/>
  </r>
  <r>
    <x v="0"/>
    <x v="0"/>
    <n v="486"/>
    <x v="1"/>
  </r>
  <r>
    <x v="4"/>
    <x v="3"/>
    <n v="220"/>
    <x v="4"/>
  </r>
  <r>
    <x v="4"/>
    <x v="3"/>
    <n v="21"/>
    <x v="0"/>
  </r>
  <r>
    <x v="1"/>
    <x v="5"/>
    <n v="417"/>
    <x v="3"/>
  </r>
  <r>
    <x v="2"/>
    <x v="5"/>
    <n v="191"/>
    <x v="0"/>
  </r>
  <r>
    <x v="4"/>
    <x v="6"/>
    <n v="460"/>
    <x v="1"/>
  </r>
  <r>
    <x v="0"/>
    <x v="0"/>
    <n v="413"/>
    <x v="1"/>
  </r>
  <r>
    <x v="1"/>
    <x v="5"/>
    <n v="484"/>
    <x v="0"/>
  </r>
  <r>
    <x v="3"/>
    <x v="0"/>
    <n v="227"/>
    <x v="5"/>
  </r>
  <r>
    <x v="4"/>
    <x v="1"/>
    <n v="313"/>
    <x v="5"/>
  </r>
  <r>
    <x v="1"/>
    <x v="3"/>
    <n v="491"/>
    <x v="5"/>
  </r>
  <r>
    <x v="3"/>
    <x v="0"/>
    <n v="50"/>
    <x v="1"/>
  </r>
  <r>
    <x v="0"/>
    <x v="3"/>
    <n v="73"/>
    <x v="4"/>
  </r>
  <r>
    <x v="0"/>
    <x v="1"/>
    <n v="139"/>
    <x v="1"/>
  </r>
  <r>
    <x v="2"/>
    <x v="0"/>
    <n v="327"/>
    <x v="5"/>
  </r>
  <r>
    <x v="1"/>
    <x v="2"/>
    <n v="206"/>
    <x v="4"/>
  </r>
  <r>
    <x v="2"/>
    <x v="3"/>
    <n v="23"/>
    <x v="2"/>
  </r>
  <r>
    <x v="4"/>
    <x v="3"/>
    <n v="158"/>
    <x v="0"/>
  </r>
  <r>
    <x v="3"/>
    <x v="6"/>
    <n v="459"/>
    <x v="0"/>
  </r>
  <r>
    <x v="3"/>
    <x v="5"/>
    <n v="30"/>
    <x v="3"/>
  </r>
  <r>
    <x v="2"/>
    <x v="0"/>
    <n v="42"/>
    <x v="4"/>
  </r>
  <r>
    <x v="2"/>
    <x v="5"/>
    <n v="242"/>
    <x v="5"/>
  </r>
  <r>
    <x v="1"/>
    <x v="5"/>
    <n v="25"/>
    <x v="4"/>
  </r>
  <r>
    <x v="4"/>
    <x v="3"/>
    <n v="140"/>
    <x v="5"/>
  </r>
  <r>
    <x v="2"/>
    <x v="2"/>
    <n v="192"/>
    <x v="1"/>
  </r>
  <r>
    <x v="1"/>
    <x v="4"/>
    <n v="267"/>
    <x v="5"/>
  </r>
  <r>
    <x v="1"/>
    <x v="1"/>
    <n v="410"/>
    <x v="5"/>
  </r>
  <r>
    <x v="2"/>
    <x v="5"/>
    <n v="281"/>
    <x v="1"/>
  </r>
  <r>
    <x v="4"/>
    <x v="2"/>
    <n v="478"/>
    <x v="3"/>
  </r>
  <r>
    <x v="2"/>
    <x v="6"/>
    <n v="44"/>
    <x v="0"/>
  </r>
  <r>
    <x v="1"/>
    <x v="1"/>
    <n v="250"/>
    <x v="1"/>
  </r>
  <r>
    <x v="0"/>
    <x v="2"/>
    <n v="225"/>
    <x v="1"/>
  </r>
  <r>
    <x v="0"/>
    <x v="5"/>
    <n v="473"/>
    <x v="2"/>
  </r>
  <r>
    <x v="0"/>
    <x v="5"/>
    <n v="236"/>
    <x v="4"/>
  </r>
  <r>
    <x v="0"/>
    <x v="0"/>
    <n v="349"/>
    <x v="1"/>
  </r>
  <r>
    <x v="4"/>
    <x v="1"/>
    <n v="139"/>
    <x v="0"/>
  </r>
  <r>
    <x v="4"/>
    <x v="2"/>
    <n v="278"/>
    <x v="5"/>
  </r>
  <r>
    <x v="2"/>
    <x v="6"/>
    <n v="242"/>
    <x v="0"/>
  </r>
  <r>
    <x v="2"/>
    <x v="3"/>
    <n v="251"/>
    <x v="4"/>
  </r>
  <r>
    <x v="1"/>
    <x v="1"/>
    <n v="268"/>
    <x v="0"/>
  </r>
  <r>
    <x v="0"/>
    <x v="5"/>
    <n v="322"/>
    <x v="3"/>
  </r>
  <r>
    <x v="1"/>
    <x v="1"/>
    <n v="356"/>
    <x v="2"/>
  </r>
  <r>
    <x v="2"/>
    <x v="6"/>
    <n v="28"/>
    <x v="1"/>
  </r>
  <r>
    <x v="0"/>
    <x v="4"/>
    <n v="43"/>
    <x v="1"/>
  </r>
  <r>
    <x v="0"/>
    <x v="0"/>
    <n v="391"/>
    <x v="5"/>
  </r>
  <r>
    <x v="4"/>
    <x v="1"/>
    <n v="300"/>
    <x v="5"/>
  </r>
  <r>
    <x v="3"/>
    <x v="0"/>
    <n v="75"/>
    <x v="1"/>
  </r>
  <r>
    <x v="2"/>
    <x v="5"/>
    <n v="154"/>
    <x v="1"/>
  </r>
  <r>
    <x v="1"/>
    <x v="0"/>
    <n v="179"/>
    <x v="4"/>
  </r>
  <r>
    <x v="1"/>
    <x v="0"/>
    <n v="147"/>
    <x v="2"/>
  </r>
  <r>
    <x v="0"/>
    <x v="6"/>
    <n v="235"/>
    <x v="5"/>
  </r>
  <r>
    <x v="3"/>
    <x v="5"/>
    <n v="390"/>
    <x v="1"/>
  </r>
  <r>
    <x v="4"/>
    <x v="0"/>
    <n v="116"/>
    <x v="2"/>
  </r>
  <r>
    <x v="0"/>
    <x v="4"/>
    <n v="492"/>
    <x v="2"/>
  </r>
  <r>
    <x v="1"/>
    <x v="5"/>
    <n v="159"/>
    <x v="0"/>
  </r>
  <r>
    <x v="1"/>
    <x v="6"/>
    <n v="279"/>
    <x v="5"/>
  </r>
  <r>
    <x v="0"/>
    <x v="0"/>
    <n v="386"/>
    <x v="0"/>
  </r>
  <r>
    <x v="3"/>
    <x v="4"/>
    <n v="332"/>
    <x v="4"/>
  </r>
  <r>
    <x v="2"/>
    <x v="4"/>
    <n v="176"/>
    <x v="3"/>
  </r>
  <r>
    <x v="0"/>
    <x v="5"/>
    <n v="221"/>
    <x v="0"/>
  </r>
  <r>
    <x v="4"/>
    <x v="0"/>
    <n v="263"/>
    <x v="2"/>
  </r>
  <r>
    <x v="3"/>
    <x v="6"/>
    <n v="222"/>
    <x v="2"/>
  </r>
  <r>
    <x v="4"/>
    <x v="1"/>
    <n v="39"/>
    <x v="5"/>
  </r>
  <r>
    <x v="3"/>
    <x v="0"/>
    <n v="445"/>
    <x v="5"/>
  </r>
  <r>
    <x v="4"/>
    <x v="1"/>
    <n v="164"/>
    <x v="5"/>
  </r>
  <r>
    <x v="4"/>
    <x v="3"/>
    <n v="101"/>
    <x v="2"/>
  </r>
  <r>
    <x v="1"/>
    <x v="5"/>
    <n v="424"/>
    <x v="2"/>
  </r>
  <r>
    <x v="0"/>
    <x v="0"/>
    <n v="182"/>
    <x v="5"/>
  </r>
  <r>
    <x v="0"/>
    <x v="0"/>
    <n v="115"/>
    <x v="0"/>
  </r>
  <r>
    <x v="4"/>
    <x v="1"/>
    <n v="33"/>
    <x v="4"/>
  </r>
  <r>
    <x v="1"/>
    <x v="2"/>
    <n v="259"/>
    <x v="5"/>
  </r>
  <r>
    <x v="3"/>
    <x v="6"/>
    <n v="309"/>
    <x v="5"/>
  </r>
  <r>
    <x v="1"/>
    <x v="0"/>
    <n v="367"/>
    <x v="2"/>
  </r>
  <r>
    <x v="4"/>
    <x v="0"/>
    <n v="472"/>
    <x v="5"/>
  </r>
  <r>
    <x v="3"/>
    <x v="5"/>
    <n v="449"/>
    <x v="5"/>
  </r>
  <r>
    <x v="4"/>
    <x v="0"/>
    <n v="302"/>
    <x v="4"/>
  </r>
  <r>
    <x v="3"/>
    <x v="0"/>
    <n v="70"/>
    <x v="1"/>
  </r>
  <r>
    <x v="4"/>
    <x v="1"/>
    <n v="157"/>
    <x v="3"/>
  </r>
  <r>
    <x v="0"/>
    <x v="2"/>
    <n v="17"/>
    <x v="2"/>
  </r>
  <r>
    <x v="0"/>
    <x v="6"/>
    <n v="173"/>
    <x v="5"/>
  </r>
  <r>
    <x v="0"/>
    <x v="4"/>
    <n v="301"/>
    <x v="0"/>
  </r>
  <r>
    <x v="2"/>
    <x v="6"/>
    <n v="357"/>
    <x v="2"/>
  </r>
  <r>
    <x v="3"/>
    <x v="0"/>
    <n v="48"/>
    <x v="1"/>
  </r>
  <r>
    <x v="4"/>
    <x v="5"/>
    <n v="351"/>
    <x v="3"/>
  </r>
  <r>
    <x v="4"/>
    <x v="2"/>
    <n v="491"/>
    <x v="0"/>
  </r>
  <r>
    <x v="3"/>
    <x v="2"/>
    <n v="164"/>
    <x v="2"/>
  </r>
  <r>
    <x v="0"/>
    <x v="5"/>
    <n v="304"/>
    <x v="2"/>
  </r>
  <r>
    <x v="2"/>
    <x v="0"/>
    <n v="166"/>
    <x v="4"/>
  </r>
  <r>
    <x v="0"/>
    <x v="1"/>
    <n v="225"/>
    <x v="0"/>
  </r>
  <r>
    <x v="0"/>
    <x v="5"/>
    <n v="163"/>
    <x v="0"/>
  </r>
  <r>
    <x v="0"/>
    <x v="0"/>
    <n v="419"/>
    <x v="0"/>
  </r>
  <r>
    <x v="1"/>
    <x v="3"/>
    <n v="293"/>
    <x v="2"/>
  </r>
  <r>
    <x v="3"/>
    <x v="5"/>
    <n v="171"/>
    <x v="1"/>
  </r>
  <r>
    <x v="4"/>
    <x v="5"/>
    <n v="438"/>
    <x v="3"/>
  </r>
  <r>
    <x v="3"/>
    <x v="4"/>
    <n v="247"/>
    <x v="2"/>
  </r>
  <r>
    <x v="0"/>
    <x v="2"/>
    <n v="85"/>
    <x v="3"/>
  </r>
  <r>
    <x v="3"/>
    <x v="1"/>
    <n v="203"/>
    <x v="0"/>
  </r>
  <r>
    <x v="0"/>
    <x v="6"/>
    <n v="219"/>
    <x v="2"/>
  </r>
  <r>
    <x v="1"/>
    <x v="5"/>
    <n v="285"/>
    <x v="2"/>
  </r>
  <r>
    <x v="0"/>
    <x v="0"/>
    <n v="115"/>
    <x v="4"/>
  </r>
  <r>
    <x v="1"/>
    <x v="4"/>
    <n v="322"/>
    <x v="4"/>
  </r>
  <r>
    <x v="3"/>
    <x v="4"/>
    <n v="348"/>
    <x v="3"/>
  </r>
  <r>
    <x v="2"/>
    <x v="6"/>
    <n v="482"/>
    <x v="3"/>
  </r>
  <r>
    <x v="1"/>
    <x v="6"/>
    <n v="384"/>
    <x v="5"/>
  </r>
  <r>
    <x v="4"/>
    <x v="3"/>
    <n v="178"/>
    <x v="3"/>
  </r>
  <r>
    <x v="4"/>
    <x v="0"/>
    <n v="91"/>
    <x v="1"/>
  </r>
  <r>
    <x v="0"/>
    <x v="2"/>
    <n v="175"/>
    <x v="5"/>
  </r>
  <r>
    <x v="0"/>
    <x v="2"/>
    <n v="187"/>
    <x v="5"/>
  </r>
  <r>
    <x v="3"/>
    <x v="5"/>
    <n v="352"/>
    <x v="4"/>
  </r>
  <r>
    <x v="1"/>
    <x v="5"/>
    <n v="448"/>
    <x v="3"/>
  </r>
  <r>
    <x v="3"/>
    <x v="2"/>
    <n v="81"/>
    <x v="2"/>
  </r>
  <r>
    <x v="0"/>
    <x v="4"/>
    <n v="321"/>
    <x v="2"/>
  </r>
  <r>
    <x v="2"/>
    <x v="4"/>
    <n v="114"/>
    <x v="2"/>
  </r>
  <r>
    <x v="2"/>
    <x v="3"/>
    <n v="493"/>
    <x v="0"/>
  </r>
  <r>
    <x v="2"/>
    <x v="5"/>
    <n v="475"/>
    <x v="1"/>
  </r>
  <r>
    <x v="4"/>
    <x v="3"/>
    <n v="287"/>
    <x v="1"/>
  </r>
  <r>
    <x v="1"/>
    <x v="2"/>
    <n v="138"/>
    <x v="5"/>
  </r>
  <r>
    <x v="1"/>
    <x v="6"/>
    <n v="198"/>
    <x v="3"/>
  </r>
  <r>
    <x v="2"/>
    <x v="6"/>
    <n v="164"/>
    <x v="3"/>
  </r>
  <r>
    <x v="3"/>
    <x v="6"/>
    <n v="65"/>
    <x v="1"/>
  </r>
  <r>
    <x v="3"/>
    <x v="0"/>
    <n v="388"/>
    <x v="0"/>
  </r>
  <r>
    <x v="2"/>
    <x v="0"/>
    <n v="412"/>
    <x v="0"/>
  </r>
  <r>
    <x v="4"/>
    <x v="0"/>
    <n v="267"/>
    <x v="4"/>
  </r>
  <r>
    <x v="2"/>
    <x v="0"/>
    <n v="29"/>
    <x v="3"/>
  </r>
  <r>
    <x v="1"/>
    <x v="5"/>
    <n v="454"/>
    <x v="1"/>
  </r>
  <r>
    <x v="2"/>
    <x v="6"/>
    <n v="119"/>
    <x v="1"/>
  </r>
  <r>
    <x v="4"/>
    <x v="2"/>
    <n v="311"/>
    <x v="5"/>
  </r>
  <r>
    <x v="0"/>
    <x v="0"/>
    <n v="122"/>
    <x v="2"/>
  </r>
  <r>
    <x v="3"/>
    <x v="1"/>
    <n v="300"/>
    <x v="1"/>
  </r>
  <r>
    <x v="2"/>
    <x v="1"/>
    <n v="59"/>
    <x v="1"/>
  </r>
  <r>
    <x v="4"/>
    <x v="1"/>
    <n v="34"/>
    <x v="0"/>
  </r>
  <r>
    <x v="1"/>
    <x v="3"/>
    <n v="23"/>
    <x v="1"/>
  </r>
  <r>
    <x v="1"/>
    <x v="6"/>
    <n v="168"/>
    <x v="0"/>
  </r>
  <r>
    <x v="2"/>
    <x v="0"/>
    <n v="306"/>
    <x v="3"/>
  </r>
  <r>
    <x v="4"/>
    <x v="6"/>
    <n v="433"/>
    <x v="3"/>
  </r>
  <r>
    <x v="0"/>
    <x v="0"/>
    <n v="221"/>
    <x v="1"/>
  </r>
  <r>
    <x v="2"/>
    <x v="2"/>
    <n v="236"/>
    <x v="1"/>
  </r>
  <r>
    <x v="2"/>
    <x v="5"/>
    <n v="75"/>
    <x v="0"/>
  </r>
  <r>
    <x v="1"/>
    <x v="5"/>
    <n v="325"/>
    <x v="0"/>
  </r>
  <r>
    <x v="0"/>
    <x v="5"/>
    <n v="217"/>
    <x v="2"/>
  </r>
  <r>
    <x v="0"/>
    <x v="5"/>
    <n v="178"/>
    <x v="5"/>
  </r>
  <r>
    <x v="3"/>
    <x v="2"/>
    <n v="74"/>
    <x v="0"/>
  </r>
  <r>
    <x v="2"/>
    <x v="1"/>
    <n v="373"/>
    <x v="4"/>
  </r>
  <r>
    <x v="2"/>
    <x v="2"/>
    <n v="64"/>
    <x v="2"/>
  </r>
  <r>
    <x v="3"/>
    <x v="3"/>
    <n v="129"/>
    <x v="1"/>
  </r>
  <r>
    <x v="4"/>
    <x v="3"/>
    <n v="297"/>
    <x v="1"/>
  </r>
  <r>
    <x v="3"/>
    <x v="2"/>
    <n v="235"/>
    <x v="1"/>
  </r>
  <r>
    <x v="4"/>
    <x v="2"/>
    <n v="390"/>
    <x v="3"/>
  </r>
  <r>
    <x v="4"/>
    <x v="2"/>
    <n v="362"/>
    <x v="1"/>
  </r>
  <r>
    <x v="0"/>
    <x v="1"/>
    <n v="136"/>
    <x v="0"/>
  </r>
  <r>
    <x v="2"/>
    <x v="3"/>
    <n v="159"/>
    <x v="4"/>
  </r>
  <r>
    <x v="0"/>
    <x v="4"/>
    <n v="99"/>
    <x v="4"/>
  </r>
  <r>
    <x v="1"/>
    <x v="5"/>
    <n v="157"/>
    <x v="3"/>
  </r>
  <r>
    <x v="1"/>
    <x v="0"/>
    <n v="123"/>
    <x v="1"/>
  </r>
  <r>
    <x v="5"/>
    <x v="7"/>
    <m/>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D776DA-AF5B-4031-A281-1526AA082032}" name="PivotTable1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untry">
  <location ref="H44:J52" firstHeaderRow="0"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Fields count="1">
    <field x="-2"/>
  </colFields>
  <colItems count="2">
    <i>
      <x/>
    </i>
    <i i="1">
      <x v="1"/>
    </i>
  </colItems>
  <dataFields count="2">
    <dataField name="Count of User_ID" fld="0" subtotal="count" baseField="0" baseItem="0"/>
    <dataField name="Sum of Monthly_Price" fld="2"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13">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User_ID"/>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culated_Fields!$P:$R">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7B5218-B913-4F48-B9D8-30D001E373EB}"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imary Watch Timecd ">
  <location ref="R23:S2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Watch_Hours" fld="1" subtotal="average" baseField="0" baseItem="0"/>
  </dataFields>
  <chartFormats count="1">
    <chartFormat chart="1"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Watch_Hou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culated_Fields!$P:$Q">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203E04-991A-4F54-B6E4-0F6A2A768D7F}"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untry" colHeaderCaption="Payment Method">
  <location ref="A44:G54" firstHeaderRow="1" firstDataRow="2" firstDataCol="1"/>
  <pivotFields count="3">
    <pivotField dataField="1" showAll="0"/>
    <pivotField axis="axisRow" showAll="0">
      <items count="9">
        <item x="4"/>
        <item x="1"/>
        <item x="6"/>
        <item x="5"/>
        <item x="3"/>
        <item x="2"/>
        <item x="0"/>
        <item x="7"/>
        <item t="default"/>
      </items>
    </pivotField>
    <pivotField axis="axisCol" showAll="0">
      <items count="6">
        <item x="2"/>
        <item x="3"/>
        <item x="1"/>
        <item x="0"/>
        <item x="4"/>
        <item t="default"/>
      </items>
    </pivotField>
  </pivotFields>
  <rowFields count="1">
    <field x="1"/>
  </rowFields>
  <rowItems count="9">
    <i>
      <x/>
    </i>
    <i>
      <x v="1"/>
    </i>
    <i>
      <x v="2"/>
    </i>
    <i>
      <x v="3"/>
    </i>
    <i>
      <x v="4"/>
    </i>
    <i>
      <x v="5"/>
    </i>
    <i>
      <x v="6"/>
    </i>
    <i>
      <x v="7"/>
    </i>
    <i t="grand">
      <x/>
    </i>
  </rowItems>
  <colFields count="1">
    <field x="2"/>
  </colFields>
  <colItems count="6">
    <i>
      <x/>
    </i>
    <i>
      <x v="1"/>
    </i>
    <i>
      <x v="2"/>
    </i>
    <i>
      <x v="3"/>
    </i>
    <i>
      <x v="4"/>
    </i>
    <i t="grand">
      <x/>
    </i>
  </colItems>
  <dataFields count="1">
    <dataField name="Count of User_ID" fld="0" subtotal="count" baseField="1" baseItem="0"/>
  </dataFields>
  <chartFormats count="10">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4" format="9" series="1">
      <pivotArea type="data" outline="0" fieldPosition="0">
        <references count="2">
          <reference field="4294967294" count="1" selected="0">
            <x v="0"/>
          </reference>
          <reference field="2" count="1" selected="0">
            <x v="0"/>
          </reference>
        </references>
      </pivotArea>
    </chartFormat>
    <chartFormat chart="4" format="10" series="1">
      <pivotArea type="data" outline="0" fieldPosition="0">
        <references count="2">
          <reference field="4294967294" count="1" selected="0">
            <x v="0"/>
          </reference>
          <reference field="2" count="1" selected="0">
            <x v="1"/>
          </reference>
        </references>
      </pivotArea>
    </chartFormat>
    <chartFormat chart="4" format="11" series="1">
      <pivotArea type="data" outline="0" fieldPosition="0">
        <references count="2">
          <reference field="4294967294" count="1" selected="0">
            <x v="0"/>
          </reference>
          <reference field="2" count="1" selected="0">
            <x v="2"/>
          </reference>
        </references>
      </pivotArea>
    </chartFormat>
    <chartFormat chart="4" format="12" series="1">
      <pivotArea type="data" outline="0" fieldPosition="0">
        <references count="2">
          <reference field="4294967294" count="1" selected="0">
            <x v="0"/>
          </reference>
          <reference field="2" count="1" selected="0">
            <x v="3"/>
          </reference>
        </references>
      </pivotArea>
    </chartFormat>
    <chartFormat chart="4" format="13"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98B1FF-C7E4-468D-BE6B-F500D400AAA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C34" firstHeaderRow="0" firstDataRow="1" firstDataCol="1"/>
  <pivotFields count="3">
    <pivotField axis="axisRow" showAll="0">
      <items count="3">
        <item x="0"/>
        <item n="Inactive" x="1"/>
        <item t="default"/>
      </items>
    </pivotField>
    <pivotField dataField="1" showAll="0"/>
    <pivotField dataField="1" showAll="0"/>
  </pivotFields>
  <rowFields count="1">
    <field x="0"/>
  </rowFields>
  <rowItems count="3">
    <i>
      <x/>
    </i>
    <i>
      <x v="1"/>
    </i>
    <i t="grand">
      <x/>
    </i>
  </rowItems>
  <colFields count="1">
    <field x="-2"/>
  </colFields>
  <colItems count="2">
    <i>
      <x/>
    </i>
    <i i="1">
      <x v="1"/>
    </i>
  </colItems>
  <dataFields count="2">
    <dataField name="Count of User_ID" fld="2" subtotal="count" baseField="0" baseItem="0"/>
    <dataField name="Average of Loyalty_Points" fld="1" subtotal="average"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1"/>
          </reference>
          <reference field="0" count="1" selected="0">
            <x v="0"/>
          </reference>
        </references>
      </pivotArea>
    </chartFormat>
    <chartFormat chart="0" format="5">
      <pivotArea type="data" outline="0" fieldPosition="0">
        <references count="2">
          <reference field="4294967294" count="1" selected="0">
            <x v="1"/>
          </reference>
          <reference field="0"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series="1">
      <pivotArea type="data" outline="0" fieldPosition="0">
        <references count="1">
          <reference field="4294967294" count="1" selected="0">
            <x v="1"/>
          </reference>
        </references>
      </pivotArea>
    </chartFormat>
    <chartFormat chart="2" format="16">
      <pivotArea type="data" outline="0" fieldPosition="0">
        <references count="2">
          <reference field="4294967294" count="1" selected="0">
            <x v="1"/>
          </reference>
          <reference field="0" count="1" selected="0">
            <x v="0"/>
          </reference>
        </references>
      </pivotArea>
    </chartFormat>
    <chartFormat chart="2" format="17">
      <pivotArea type="data" outline="0" fieldPosition="0">
        <references count="2">
          <reference field="4294967294" count="1" selected="0">
            <x v="1"/>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98F30D-4E83-42C5-A158-40C0F18983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venue_Category">
  <location ref="A1:C4" firstHeaderRow="0" firstDataRow="1" firstDataCol="1"/>
  <pivotFields count="6">
    <pivotField axis="axisRow" showAll="0">
      <items count="4">
        <item x="0"/>
        <item x="1"/>
        <item h="1" x="2"/>
        <item t="default"/>
      </items>
    </pivotField>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3">
    <i>
      <x/>
    </i>
    <i>
      <x v="1"/>
    </i>
    <i t="grand">
      <x/>
    </i>
  </rowItems>
  <colFields count="1">
    <field x="-2"/>
  </colFields>
  <colItems count="2">
    <i>
      <x/>
    </i>
    <i i="1">
      <x v="1"/>
    </i>
  </colItems>
  <dataFields count="2">
    <dataField name="Total Users" fld="2" subtotal="count" baseField="0" baseItem="0"/>
    <dataField name="Total Revenue" fld="1" baseField="0" baseItem="0"/>
  </dataFields>
  <formats count="1">
    <format dxfId="0">
      <pivotArea dataOnly="0"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EF5735-267C-4098-8554-4D5F3360695B}"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
  <location ref="Q7:S14" firstHeaderRow="0" firstDataRow="1" firstDataCol="1"/>
  <pivotFields count="3">
    <pivotField dataField="1" showAll="0"/>
    <pivotField dataField="1" showAll="0"/>
    <pivotField axis="axisRow" showAll="0">
      <items count="7">
        <item x="2"/>
        <item x="1"/>
        <item x="0"/>
        <item x="3"/>
        <item x="4"/>
        <item x="5"/>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Total_Series_Watched" fld="1" baseField="0" baseItem="0"/>
    <dataField name="Sum of Total_Movies_Watched" fld="0"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1012DD-0AC6-4E50-BB53-A487BFB6350A}"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First Device Used">
  <location ref="K22:L28" firstHeaderRow="1" firstDataRow="1" firstDataCol="1"/>
  <pivotFields count="3">
    <pivotField dataField="1" showAll="0"/>
    <pivotField axis="axisRow" showAll="0">
      <items count="7">
        <item x="1"/>
        <item x="3"/>
        <item x="2"/>
        <item x="0"/>
        <item x="4"/>
        <item h="1" x="5"/>
        <item t="default"/>
      </items>
    </pivotField>
    <pivotField dragToRow="0" dragToCol="0" dragToPage="0" showAll="0" defaultSubtotal="0"/>
  </pivotFields>
  <rowFields count="1">
    <field x="1"/>
  </rowFields>
  <rowItems count="6">
    <i>
      <x/>
    </i>
    <i>
      <x v="1"/>
    </i>
    <i>
      <x v="2"/>
    </i>
    <i>
      <x v="3"/>
    </i>
    <i>
      <x v="4"/>
    </i>
    <i t="grand">
      <x/>
    </i>
  </rowItems>
  <colItems count="1">
    <i/>
  </colItems>
  <dataFields count="1">
    <dataField name="Count of User_ID" fld="0" subtotal="count" baseField="1" baseItem="0"/>
  </dataFields>
  <chartFormats count="2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 count="1" selected="0">
            <x v="0"/>
          </reference>
        </references>
      </pivotArea>
    </chartFormat>
    <chartFormat chart="8" format="14">
      <pivotArea type="data" outline="0" fieldPosition="0">
        <references count="2">
          <reference field="4294967294" count="1" selected="0">
            <x v="0"/>
          </reference>
          <reference field="1" count="1" selected="0">
            <x v="1"/>
          </reference>
        </references>
      </pivotArea>
    </chartFormat>
    <chartFormat chart="8" format="15">
      <pivotArea type="data" outline="0" fieldPosition="0">
        <references count="2">
          <reference field="4294967294" count="1" selected="0">
            <x v="0"/>
          </reference>
          <reference field="1" count="1" selected="0">
            <x v="2"/>
          </reference>
        </references>
      </pivotArea>
    </chartFormat>
    <chartFormat chart="8" format="16">
      <pivotArea type="data" outline="0" fieldPosition="0">
        <references count="2">
          <reference field="4294967294" count="1" selected="0">
            <x v="0"/>
          </reference>
          <reference field="1" count="1" selected="0">
            <x v="3"/>
          </reference>
        </references>
      </pivotArea>
    </chartFormat>
    <chartFormat chart="8" format="17">
      <pivotArea type="data" outline="0" fieldPosition="0">
        <references count="2">
          <reference field="4294967294" count="1" selected="0">
            <x v="0"/>
          </reference>
          <reference field="1" count="1" selected="0">
            <x v="4"/>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9" format="9">
      <pivotArea type="data" outline="0" fieldPosition="0">
        <references count="2">
          <reference field="4294967294" count="1" selected="0">
            <x v="0"/>
          </reference>
          <reference field="1" count="1" selected="0">
            <x v="2"/>
          </reference>
        </references>
      </pivotArea>
    </chartFormat>
    <chartFormat chart="9" format="10">
      <pivotArea type="data" outline="0" fieldPosition="0">
        <references count="2">
          <reference field="4294967294" count="1" selected="0">
            <x v="0"/>
          </reference>
          <reference field="1" count="1" selected="0">
            <x v="3"/>
          </reference>
        </references>
      </pivotArea>
    </chartFormat>
    <chartFormat chart="9" format="11">
      <pivotArea type="data" outline="0" fieldPosition="0">
        <references count="2">
          <reference field="4294967294" count="1" selected="0">
            <x v="0"/>
          </reference>
          <reference field="1"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 count="1" selected="0">
            <x v="0"/>
          </reference>
        </references>
      </pivotArea>
    </chartFormat>
    <chartFormat chart="10" format="14">
      <pivotArea type="data" outline="0" fieldPosition="0">
        <references count="2">
          <reference field="4294967294" count="1" selected="0">
            <x v="0"/>
          </reference>
          <reference field="1" count="1" selected="0">
            <x v="1"/>
          </reference>
        </references>
      </pivotArea>
    </chartFormat>
    <chartFormat chart="10" format="15">
      <pivotArea type="data" outline="0" fieldPosition="0">
        <references count="2">
          <reference field="4294967294" count="1" selected="0">
            <x v="0"/>
          </reference>
          <reference field="1" count="1" selected="0">
            <x v="2"/>
          </reference>
        </references>
      </pivotArea>
    </chartFormat>
    <chartFormat chart="10" format="16">
      <pivotArea type="data" outline="0" fieldPosition="0">
        <references count="2">
          <reference field="4294967294" count="1" selected="0">
            <x v="0"/>
          </reference>
          <reference field="1" count="1" selected="0">
            <x v="3"/>
          </reference>
        </references>
      </pivotArea>
    </chartFormat>
    <chartFormat chart="10"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12FA6E-F58E-4154-8F8A-9F248E817FD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_Group" colHeaderCaption="Favorite_Genre">
  <location ref="A21:I28" firstHeaderRow="1" firstDataRow="2" firstDataCol="1"/>
  <pivotFields count="3">
    <pivotField dataField="1" showAll="0"/>
    <pivotField axis="axisCol" showAll="0">
      <items count="9">
        <item x="0"/>
        <item x="5"/>
        <item x="3"/>
        <item x="1"/>
        <item x="4"/>
        <item x="6"/>
        <item x="2"/>
        <item x="7"/>
        <item t="default"/>
      </items>
    </pivotField>
    <pivotField axis="axisRow" showAll="0">
      <items count="7">
        <item x="2"/>
        <item x="1"/>
        <item x="0"/>
        <item x="3"/>
        <item x="4"/>
        <item h="1" x="5"/>
        <item t="default"/>
      </items>
    </pivotField>
  </pivotFields>
  <rowFields count="1">
    <field x="2"/>
  </rowFields>
  <rowItems count="6">
    <i>
      <x/>
    </i>
    <i>
      <x v="1"/>
    </i>
    <i>
      <x v="2"/>
    </i>
    <i>
      <x v="3"/>
    </i>
    <i>
      <x v="4"/>
    </i>
    <i t="grand">
      <x/>
    </i>
  </rowItems>
  <colFields count="1">
    <field x="1"/>
  </colFields>
  <colItems count="8">
    <i>
      <x/>
    </i>
    <i>
      <x v="1"/>
    </i>
    <i>
      <x v="2"/>
    </i>
    <i>
      <x v="3"/>
    </i>
    <i>
      <x v="4"/>
    </i>
    <i>
      <x v="5"/>
    </i>
    <i>
      <x v="6"/>
    </i>
    <i t="grand">
      <x/>
    </i>
  </colItems>
  <dataFields count="1">
    <dataField name="Count of User_ID" fld="0" subtotal="count" baseField="2" baseItem="0"/>
  </dataField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2" format="14" series="1">
      <pivotArea type="data" outline="0" fieldPosition="0">
        <references count="2">
          <reference field="4294967294" count="1" selected="0">
            <x v="0"/>
          </reference>
          <reference field="1" count="1" selected="0">
            <x v="0"/>
          </reference>
        </references>
      </pivotArea>
    </chartFormat>
    <chartFormat chart="2" format="15" series="1">
      <pivotArea type="data" outline="0" fieldPosition="0">
        <references count="2">
          <reference field="4294967294" count="1" selected="0">
            <x v="0"/>
          </reference>
          <reference field="1" count="1" selected="0">
            <x v="1"/>
          </reference>
        </references>
      </pivotArea>
    </chartFormat>
    <chartFormat chart="2" format="16" series="1">
      <pivotArea type="data" outline="0" fieldPosition="0">
        <references count="2">
          <reference field="4294967294" count="1" selected="0">
            <x v="0"/>
          </reference>
          <reference field="1" count="1" selected="0">
            <x v="2"/>
          </reference>
        </references>
      </pivotArea>
    </chartFormat>
    <chartFormat chart="2" format="17" series="1">
      <pivotArea type="data" outline="0" fieldPosition="0">
        <references count="2">
          <reference field="4294967294" count="1" selected="0">
            <x v="0"/>
          </reference>
          <reference field="1" count="1" selected="0">
            <x v="3"/>
          </reference>
        </references>
      </pivotArea>
    </chartFormat>
    <chartFormat chart="2" format="18" series="1">
      <pivotArea type="data" outline="0" fieldPosition="0">
        <references count="2">
          <reference field="4294967294" count="1" selected="0">
            <x v="0"/>
          </reference>
          <reference field="1" count="1" selected="0">
            <x v="4"/>
          </reference>
        </references>
      </pivotArea>
    </chartFormat>
    <chartFormat chart="2" format="19" series="1">
      <pivotArea type="data" outline="0" fieldPosition="0">
        <references count="2">
          <reference field="4294967294" count="1" selected="0">
            <x v="0"/>
          </reference>
          <reference field="1" count="1" selected="0">
            <x v="5"/>
          </reference>
        </references>
      </pivotArea>
    </chartFormat>
    <chartFormat chart="2" format="20"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6EEEE3-5566-48DC-ABB7-315EB28CE180}" name="PivotTable1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as Download the Content" colHeaderCaption="Membership_Status">
  <location ref="P33:R37" firstHeaderRow="1" firstDataRow="2" firstDataCol="1"/>
  <pivotFields count="3">
    <pivotField dataField="1" showAll="0"/>
    <pivotField axis="axisRow" showAll="0">
      <items count="4">
        <item x="0"/>
        <item x="1"/>
        <item h="1" x="2"/>
        <item t="default"/>
      </items>
    </pivotField>
    <pivotField axis="axisCol" showAll="0">
      <items count="3">
        <item x="0"/>
        <item x="1"/>
        <item t="default"/>
      </items>
    </pivotField>
  </pivotFields>
  <rowFields count="1">
    <field x="1"/>
  </rowFields>
  <rowItems count="3">
    <i>
      <x/>
    </i>
    <i>
      <x v="1"/>
    </i>
    <i t="grand">
      <x/>
    </i>
  </rowItems>
  <colFields count="1">
    <field x="2"/>
  </colFields>
  <colItems count="2">
    <i>
      <x/>
    </i>
    <i t="grand">
      <x/>
    </i>
  </colItems>
  <dataFields count="1">
    <dataField name="Count of User_ID" fld="0" subtotal="count" baseField="1" baseItem="0"/>
  </dataFields>
  <chartFormats count="1">
    <chartFormat chart="1" format="0"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91775D-60F4-410D-A18A-0C606F080418}"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commended_Content_Count">
  <location ref="V7:W110" firstHeaderRow="1" firstDataRow="1" firstDataCol="1"/>
  <pivotFields count="2">
    <pivotField axis="axisRow" showAll="0">
      <items count="103">
        <item x="13"/>
        <item x="6"/>
        <item x="99"/>
        <item x="20"/>
        <item x="69"/>
        <item x="78"/>
        <item x="65"/>
        <item x="34"/>
        <item x="39"/>
        <item x="87"/>
        <item x="95"/>
        <item x="17"/>
        <item x="32"/>
        <item x="44"/>
        <item x="31"/>
        <item x="48"/>
        <item x="88"/>
        <item x="71"/>
        <item x="57"/>
        <item x="96"/>
        <item x="66"/>
        <item x="68"/>
        <item x="46"/>
        <item x="73"/>
        <item x="50"/>
        <item x="14"/>
        <item x="8"/>
        <item x="21"/>
        <item x="72"/>
        <item x="94"/>
        <item x="55"/>
        <item x="97"/>
        <item x="7"/>
        <item x="36"/>
        <item x="91"/>
        <item x="93"/>
        <item x="58"/>
        <item x="86"/>
        <item x="11"/>
        <item x="4"/>
        <item x="42"/>
        <item x="81"/>
        <item x="19"/>
        <item x="80"/>
        <item x="52"/>
        <item x="30"/>
        <item x="63"/>
        <item x="3"/>
        <item x="60"/>
        <item x="77"/>
        <item x="16"/>
        <item x="82"/>
        <item x="64"/>
        <item x="56"/>
        <item x="84"/>
        <item x="38"/>
        <item x="2"/>
        <item x="10"/>
        <item x="27"/>
        <item x="76"/>
        <item x="22"/>
        <item x="47"/>
        <item x="12"/>
        <item x="40"/>
        <item x="61"/>
        <item x="15"/>
        <item x="29"/>
        <item x="79"/>
        <item x="53"/>
        <item x="1"/>
        <item x="85"/>
        <item x="5"/>
        <item x="35"/>
        <item x="59"/>
        <item x="98"/>
        <item x="100"/>
        <item x="24"/>
        <item x="70"/>
        <item x="18"/>
        <item x="37"/>
        <item x="54"/>
        <item x="74"/>
        <item x="45"/>
        <item x="75"/>
        <item x="0"/>
        <item x="26"/>
        <item x="89"/>
        <item x="62"/>
        <item x="51"/>
        <item x="83"/>
        <item x="9"/>
        <item x="23"/>
        <item x="92"/>
        <item x="67"/>
        <item x="43"/>
        <item x="49"/>
        <item x="41"/>
        <item x="28"/>
        <item x="25"/>
        <item x="33"/>
        <item x="90"/>
        <item x="101"/>
        <item t="default"/>
      </items>
    </pivotField>
    <pivotField dataField="1" showAll="0"/>
  </pivotFields>
  <rowFields count="1">
    <field x="0"/>
  </rowFields>
  <rowItems count="10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t="grand">
      <x/>
    </i>
  </rowItems>
  <colItems count="1">
    <i/>
  </colItems>
  <dataFields count="1">
    <dataField name="Average of Watch_Hours" fld="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E7AA8C-B762-44EB-8126-E1FCED8AE03D}" name="PivotTable1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Langiage_Preference">
  <location ref="H61:I68" firstHeaderRow="1" firstDataRow="1" firstDataCol="1"/>
  <pivotFields count="4">
    <pivotField showAll="0">
      <items count="7">
        <item x="2"/>
        <item x="1"/>
        <item x="0"/>
        <item x="3"/>
        <item x="4"/>
        <item x="5"/>
        <item t="default"/>
      </items>
    </pivotField>
    <pivotField showAll="0">
      <items count="9">
        <item x="4"/>
        <item x="1"/>
        <item x="6"/>
        <item x="5"/>
        <item x="3"/>
        <item x="2"/>
        <item x="0"/>
        <item x="7"/>
        <item t="default"/>
      </items>
    </pivotField>
    <pivotField dataField="1" showAll="0"/>
    <pivotField axis="axisRow" showAll="0">
      <items count="8">
        <item x="4"/>
        <item x="5"/>
        <item x="1"/>
        <item x="0"/>
        <item x="2"/>
        <item x="3"/>
        <item h="1" x="6"/>
        <item t="default"/>
      </items>
    </pivotField>
  </pivotFields>
  <rowFields count="1">
    <field x="3"/>
  </rowFields>
  <rowItems count="7">
    <i>
      <x/>
    </i>
    <i>
      <x v="1"/>
    </i>
    <i>
      <x v="2"/>
    </i>
    <i>
      <x v="3"/>
    </i>
    <i>
      <x v="4"/>
    </i>
    <i>
      <x v="5"/>
    </i>
    <i t="grand">
      <x/>
    </i>
  </rowItems>
  <colItems count="1">
    <i/>
  </colItems>
  <dataFields count="1">
    <dataField name="Average of Watch_Hours" fld="2" subtotal="average"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8A0746-80A4-4277-B3BC-06C9F1B8AD6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Favorit_Genre">
  <location ref="A8:B17" firstHeaderRow="1" firstDataRow="1" firstDataCol="1" rowPageCount="1" colPageCount="1"/>
  <pivotFields count="3">
    <pivotField axis="axisRow" showAll="0">
      <items count="9">
        <item x="0"/>
        <item x="5"/>
        <item x="3"/>
        <item x="1"/>
        <item x="4"/>
        <item x="6"/>
        <item x="2"/>
        <item x="7"/>
        <item t="default"/>
      </items>
    </pivotField>
    <pivotField dataField="1" showAll="0"/>
    <pivotField axis="axisPage" showAll="0">
      <items count="7">
        <item x="2"/>
        <item x="1"/>
        <item x="0"/>
        <item x="3"/>
        <item x="4"/>
        <item x="5"/>
        <item t="default"/>
      </items>
    </pivotField>
  </pivotFields>
  <rowFields count="1">
    <field x="0"/>
  </rowFields>
  <rowItems count="9">
    <i>
      <x/>
    </i>
    <i>
      <x v="1"/>
    </i>
    <i>
      <x v="2"/>
    </i>
    <i>
      <x v="3"/>
    </i>
    <i>
      <x v="4"/>
    </i>
    <i>
      <x v="5"/>
    </i>
    <i>
      <x v="6"/>
    </i>
    <i>
      <x v="7"/>
    </i>
    <i t="grand">
      <x/>
    </i>
  </rowItems>
  <colItems count="1">
    <i/>
  </colItems>
  <pageFields count="1">
    <pageField fld="2" hier="-1"/>
  </pageFields>
  <dataFields count="1">
    <dataField name="Average of Watch_Hours" fld="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8D74033-88BA-4786-A808-C95FAE594637}" sourceName="Age_Group">
  <pivotTables>
    <pivotTable tabId="3" name="PivotTable18"/>
  </pivotTables>
  <data>
    <tabular pivotCacheId="623990787">
      <items count="6">
        <i x="2" s="1"/>
        <i x="1" s="1"/>
        <i x="0" s="1"/>
        <i x="3"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866807B-4266-4583-997F-B426F51D745A}" sourceName="Country">
  <pivotTables>
    <pivotTable tabId="3" name="PivotTable18"/>
  </pivotTables>
  <data>
    <tabular pivotCacheId="623990787">
      <items count="8">
        <i x="4" s="1"/>
        <i x="1" s="1"/>
        <i x="6" s="1"/>
        <i x="5" s="1"/>
        <i x="3" s="1"/>
        <i x="2" s="1"/>
        <i x="0"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Genre" xr10:uid="{EDC33821-D26F-4CBB-908C-9F29759CB807}" sourceName="Favorite_Genre">
  <pivotTables>
    <pivotTable tabId="3" name="PivotTable2"/>
  </pivotTables>
  <data>
    <tabular pivotCacheId="2062185757">
      <items count="8">
        <i x="0" s="1"/>
        <i x="5" s="1"/>
        <i x="3" s="1"/>
        <i x="1" s="1"/>
        <i x="4" s="1"/>
        <i x="6" s="1"/>
        <i x="2" s="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3A16A7F1-E208-4783-BCF0-169939A7AF0E}" sourceName="Age_Group">
  <pivotTables>
    <pivotTable tabId="3" name="PivotTable8"/>
  </pivotTables>
  <data>
    <tabular pivotCacheId="1611725207">
      <items count="6">
        <i x="2" s="1"/>
        <i x="1" s="1"/>
        <i x="0" s="1"/>
        <i x="3" s="1"/>
        <i x="4"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Status" xr10:uid="{9235D1C4-49B1-42C7-A485-9DE784146B58}" sourceName="Membership_Status">
  <pivotTables>
    <pivotTable tabId="3" name="PivotTable5"/>
  </pivotTables>
  <data>
    <tabular pivotCacheId="1452230082">
      <items count="2">
        <i x="0" s="1"/>
        <i x="1"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5A13F2C3-F643-460C-BCF9-69DA4531BC5E}" sourceName="Country">
  <pivotTables>
    <pivotTable tabId="3" name="PivotTable6"/>
  </pivotTables>
  <data>
    <tabular pivotCacheId="289534221">
      <items count="8">
        <i x="4" s="1"/>
        <i x="1" s="1"/>
        <i x="6" s="1"/>
        <i x="5" s="1"/>
        <i x="3" s="1"/>
        <i x="2" s="1"/>
        <i x="0" s="1"/>
        <i x="7"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Genre1" xr10:uid="{0C5F7685-80DA-4F77-9AFF-E41E2E2FDC7E}" sourceName="Favorite_Genre">
  <pivotTables>
    <pivotTable tabId="3" name="PivotTable4"/>
  </pivotTables>
  <data>
    <tabular pivotCacheId="587552490">
      <items count="8">
        <i x="0" s="1"/>
        <i x="5" s="1"/>
        <i x="3" s="1"/>
        <i x="1" s="1"/>
        <i x="4" s="1"/>
        <i x="6" s="1"/>
        <i x="2" s="1"/>
        <i x="7"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2" xr10:uid="{52B95E80-8647-47A3-A4D0-6E258B803D26}" sourceName="Age_Group">
  <pivotTables>
    <pivotTable tabId="3" name="PivotTable4"/>
  </pivotTables>
  <data>
    <tabular pivotCacheId="587552490">
      <items count="6">
        <i x="2" s="1"/>
        <i x="1" s="1"/>
        <i x="0" s="1"/>
        <i x="3" s="1"/>
        <i x="4"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4EE9D7EA-7AC8-43E4-9FCD-07C2C6830DEB}" cache="Slicer_Age_Group" caption="Age_Group" rowHeight="234950"/>
  <slicer name="Country" xr10:uid="{A0D472F0-B8DD-4791-A64D-B324BB113491}" cache="Slicer_Country" caption="Country" rowHeight="234950"/>
  <slicer name="Favorite_Genre 1" xr10:uid="{F9FB38B3-C8C0-4568-9F04-A8AEF0D420F2}" cache="Slicer_Favorite_Genre1" caption="Favorite_Genre" rowHeight="234950"/>
  <slicer name="Age_Group 2" xr10:uid="{9A53F266-C15C-43B0-B9AE-4F6A78A8970D}" cache="Slicer_Age_Group2" caption="Age_Group"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vorite_Genre" xr10:uid="{2A2C8B2E-B617-4287-98AD-127DB066D304}" cache="Slicer_Favorite_Genre" caption="Favorite_Genre" rowHeight="234950"/>
  <slicer name="Age_Group 1" xr10:uid="{BC712A9E-0334-4524-8429-C5F22CD7AB69}" cache="Slicer_Age_Group1" caption="Age_Group" rowHeight="234950"/>
  <slicer name="Membership_Status" xr10:uid="{1434FF8F-EA0F-4DF0-AA8C-65F55A611F4C}" cache="Slicer_Membership_Status" caption="Membership_Status" rowHeight="234950"/>
  <slicer name="Country 1" xr10:uid="{6E36EA87-E718-4FB3-9154-FF7555DBFB51}" cache="Slicer_Country1" caption="Count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A389B-EA02-4ADB-A76B-B909973E414B}">
  <sheetPr codeName="Sheet1"/>
  <dimension ref="A1:W1001"/>
  <sheetViews>
    <sheetView topLeftCell="L1" workbookViewId="0">
      <selection activeCell="O1" sqref="O1:O1048576"/>
    </sheetView>
  </sheetViews>
  <sheetFormatPr defaultRowHeight="14.4" x14ac:dyDescent="0.3"/>
  <cols>
    <col min="1" max="1" width="7.5546875" bestFit="1" customWidth="1"/>
    <col min="2" max="2" width="10.6640625" bestFit="1" customWidth="1"/>
    <col min="3" max="4" width="10.5546875" bestFit="1" customWidth="1"/>
    <col min="5" max="5" width="12.77734375" bestFit="1" customWidth="1"/>
    <col min="6" max="6" width="12.109375" bestFit="1" customWidth="1"/>
    <col min="7" max="7" width="13.6640625" bestFit="1" customWidth="1"/>
    <col min="8" max="8" width="13.33203125" bestFit="1" customWidth="1"/>
    <col min="9" max="9" width="12.21875" bestFit="1" customWidth="1"/>
    <col min="10" max="10" width="15.77734375" bestFit="1" customWidth="1"/>
    <col min="11" max="11" width="20.6640625" bestFit="1" customWidth="1"/>
    <col min="12" max="12" width="19.5546875" bestFit="1" customWidth="1"/>
    <col min="13" max="13" width="8.33203125" bestFit="1" customWidth="1"/>
    <col min="14" max="14" width="15.6640625" bestFit="1" customWidth="1"/>
    <col min="15" max="15" width="18.77734375" bestFit="1" customWidth="1"/>
    <col min="16" max="16" width="27.109375" bestFit="1" customWidth="1"/>
    <col min="17" max="17" width="19.44140625" bestFit="1" customWidth="1"/>
    <col min="18" max="18" width="23.21875" bestFit="1" customWidth="1"/>
    <col min="19" max="19" width="17.33203125" bestFit="1" customWidth="1"/>
    <col min="20" max="20" width="12.88671875" bestFit="1" customWidth="1"/>
    <col min="21" max="21" width="16.109375" bestFit="1" customWidth="1"/>
    <col min="22" max="22" width="10" bestFit="1" customWidth="1"/>
    <col min="23" max="23" width="18.777343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2518</v>
      </c>
      <c r="B2" t="s">
        <v>23</v>
      </c>
      <c r="C2" s="1">
        <v>45061</v>
      </c>
      <c r="D2" s="1">
        <v>45639</v>
      </c>
      <c r="E2">
        <v>7.99</v>
      </c>
      <c r="F2">
        <v>49</v>
      </c>
      <c r="G2" t="s">
        <v>24</v>
      </c>
      <c r="H2">
        <v>3</v>
      </c>
      <c r="I2">
        <v>6</v>
      </c>
      <c r="J2" t="b">
        <v>1</v>
      </c>
      <c r="K2">
        <v>641</v>
      </c>
      <c r="L2">
        <v>117</v>
      </c>
      <c r="M2" t="s">
        <v>25</v>
      </c>
      <c r="N2" t="s">
        <v>26</v>
      </c>
      <c r="O2" t="s">
        <v>27</v>
      </c>
      <c r="P2">
        <v>84</v>
      </c>
      <c r="Q2">
        <v>3.3</v>
      </c>
      <c r="R2" t="b">
        <v>0</v>
      </c>
      <c r="S2" t="s">
        <v>28</v>
      </c>
      <c r="T2">
        <v>2878</v>
      </c>
      <c r="U2" t="s">
        <v>29</v>
      </c>
      <c r="V2" t="s">
        <v>30</v>
      </c>
      <c r="W2" t="s">
        <v>31</v>
      </c>
    </row>
    <row r="3" spans="1:23" x14ac:dyDescent="0.3">
      <c r="A3">
        <v>6430</v>
      </c>
      <c r="B3" t="s">
        <v>32</v>
      </c>
      <c r="C3" s="1">
        <v>45019</v>
      </c>
      <c r="D3" s="1">
        <v>45641</v>
      </c>
      <c r="E3">
        <v>7.99</v>
      </c>
      <c r="F3">
        <v>161</v>
      </c>
      <c r="G3" t="s">
        <v>33</v>
      </c>
      <c r="H3">
        <v>1</v>
      </c>
      <c r="I3">
        <v>2</v>
      </c>
      <c r="J3" t="b">
        <v>1</v>
      </c>
      <c r="K3">
        <v>192</v>
      </c>
      <c r="L3">
        <v>65</v>
      </c>
      <c r="M3" t="s">
        <v>25</v>
      </c>
      <c r="N3" t="s">
        <v>26</v>
      </c>
      <c r="O3" t="s">
        <v>34</v>
      </c>
      <c r="P3">
        <v>69</v>
      </c>
      <c r="Q3">
        <v>4</v>
      </c>
      <c r="R3" t="b">
        <v>0</v>
      </c>
      <c r="S3" t="s">
        <v>28</v>
      </c>
      <c r="T3">
        <v>2291</v>
      </c>
      <c r="U3" t="s">
        <v>35</v>
      </c>
      <c r="V3" t="s">
        <v>36</v>
      </c>
      <c r="W3" t="s">
        <v>37</v>
      </c>
    </row>
    <row r="4" spans="1:23" x14ac:dyDescent="0.3">
      <c r="A4">
        <v>1798</v>
      </c>
      <c r="B4" t="s">
        <v>38</v>
      </c>
      <c r="C4" s="1">
        <v>45140</v>
      </c>
      <c r="D4" s="1">
        <v>45640</v>
      </c>
      <c r="E4">
        <v>11.99</v>
      </c>
      <c r="F4">
        <v>87</v>
      </c>
      <c r="G4" t="s">
        <v>24</v>
      </c>
      <c r="H4">
        <v>2</v>
      </c>
      <c r="I4">
        <v>5</v>
      </c>
      <c r="J4" t="b">
        <v>0</v>
      </c>
      <c r="K4">
        <v>260</v>
      </c>
      <c r="L4">
        <v>127</v>
      </c>
      <c r="M4" t="s">
        <v>39</v>
      </c>
      <c r="N4" t="s">
        <v>40</v>
      </c>
      <c r="O4" t="s">
        <v>41</v>
      </c>
      <c r="P4">
        <v>56</v>
      </c>
      <c r="Q4">
        <v>3.1</v>
      </c>
      <c r="R4" t="b">
        <v>0</v>
      </c>
      <c r="S4" t="s">
        <v>28</v>
      </c>
      <c r="T4">
        <v>1692</v>
      </c>
      <c r="U4" t="s">
        <v>35</v>
      </c>
      <c r="V4" t="s">
        <v>30</v>
      </c>
      <c r="W4" t="s">
        <v>31</v>
      </c>
    </row>
    <row r="5" spans="1:23" x14ac:dyDescent="0.3">
      <c r="A5">
        <v>5255</v>
      </c>
      <c r="B5" t="s">
        <v>42</v>
      </c>
      <c r="C5" s="1">
        <v>44957</v>
      </c>
      <c r="D5" s="1">
        <v>45628</v>
      </c>
      <c r="E5">
        <v>15.99</v>
      </c>
      <c r="F5">
        <v>321</v>
      </c>
      <c r="G5" t="s">
        <v>43</v>
      </c>
      <c r="H5">
        <v>1</v>
      </c>
      <c r="I5">
        <v>5</v>
      </c>
      <c r="J5" t="b">
        <v>0</v>
      </c>
      <c r="K5">
        <v>61</v>
      </c>
      <c r="L5">
        <v>192</v>
      </c>
      <c r="M5" t="s">
        <v>44</v>
      </c>
      <c r="N5" t="s">
        <v>40</v>
      </c>
      <c r="O5" t="s">
        <v>41</v>
      </c>
      <c r="P5">
        <v>47</v>
      </c>
      <c r="Q5">
        <v>4.5999999999999996</v>
      </c>
      <c r="R5" t="b">
        <v>0</v>
      </c>
      <c r="S5" t="s">
        <v>28</v>
      </c>
      <c r="T5">
        <v>952</v>
      </c>
      <c r="U5" t="s">
        <v>35</v>
      </c>
      <c r="V5" t="s">
        <v>36</v>
      </c>
      <c r="W5" t="s">
        <v>37</v>
      </c>
    </row>
    <row r="6" spans="1:23" x14ac:dyDescent="0.3">
      <c r="A6">
        <v>2854</v>
      </c>
      <c r="B6" t="s">
        <v>45</v>
      </c>
      <c r="C6" s="1">
        <v>45083</v>
      </c>
      <c r="D6" s="1">
        <v>45641</v>
      </c>
      <c r="E6">
        <v>11.99</v>
      </c>
      <c r="F6">
        <v>386</v>
      </c>
      <c r="G6" t="s">
        <v>46</v>
      </c>
      <c r="H6">
        <v>1</v>
      </c>
      <c r="I6">
        <v>4</v>
      </c>
      <c r="J6" t="b">
        <v>1</v>
      </c>
      <c r="K6">
        <v>230</v>
      </c>
      <c r="L6">
        <v>2</v>
      </c>
      <c r="M6" t="s">
        <v>25</v>
      </c>
      <c r="N6" t="s">
        <v>26</v>
      </c>
      <c r="O6" t="s">
        <v>41</v>
      </c>
      <c r="P6">
        <v>39</v>
      </c>
      <c r="Q6">
        <v>3.7</v>
      </c>
      <c r="R6" t="b">
        <v>0</v>
      </c>
      <c r="S6" t="s">
        <v>28</v>
      </c>
      <c r="T6">
        <v>1823</v>
      </c>
      <c r="U6" t="s">
        <v>35</v>
      </c>
      <c r="V6" t="s">
        <v>36</v>
      </c>
      <c r="W6" t="s">
        <v>31</v>
      </c>
    </row>
    <row r="7" spans="1:23" x14ac:dyDescent="0.3">
      <c r="A7">
        <v>6735</v>
      </c>
      <c r="B7" t="s">
        <v>47</v>
      </c>
      <c r="C7" s="1">
        <v>45186</v>
      </c>
      <c r="D7" s="1">
        <v>45615</v>
      </c>
      <c r="E7">
        <v>15.99</v>
      </c>
      <c r="F7">
        <v>408</v>
      </c>
      <c r="G7" t="s">
        <v>46</v>
      </c>
      <c r="H7">
        <v>2</v>
      </c>
      <c r="I7">
        <v>6</v>
      </c>
      <c r="J7" t="b">
        <v>1</v>
      </c>
      <c r="K7">
        <v>837</v>
      </c>
      <c r="L7">
        <v>105</v>
      </c>
      <c r="M7" t="s">
        <v>48</v>
      </c>
      <c r="N7" t="s">
        <v>49</v>
      </c>
      <c r="O7" t="s">
        <v>50</v>
      </c>
      <c r="P7">
        <v>71</v>
      </c>
      <c r="Q7">
        <v>4.3</v>
      </c>
      <c r="R7" t="b">
        <v>1</v>
      </c>
      <c r="S7" t="s">
        <v>28</v>
      </c>
      <c r="T7">
        <v>33</v>
      </c>
      <c r="U7" t="s">
        <v>51</v>
      </c>
      <c r="V7" t="s">
        <v>52</v>
      </c>
      <c r="W7" t="s">
        <v>53</v>
      </c>
    </row>
    <row r="8" spans="1:23" x14ac:dyDescent="0.3">
      <c r="A8">
        <v>2995</v>
      </c>
      <c r="B8" t="s">
        <v>54</v>
      </c>
      <c r="C8" s="1">
        <v>45529</v>
      </c>
      <c r="D8" s="1">
        <v>45636</v>
      </c>
      <c r="E8">
        <v>7.99</v>
      </c>
      <c r="F8">
        <v>475</v>
      </c>
      <c r="G8" t="s">
        <v>55</v>
      </c>
      <c r="H8">
        <v>5</v>
      </c>
      <c r="I8">
        <v>4</v>
      </c>
      <c r="J8" t="b">
        <v>1</v>
      </c>
      <c r="K8">
        <v>510</v>
      </c>
      <c r="L8">
        <v>143</v>
      </c>
      <c r="M8" t="s">
        <v>25</v>
      </c>
      <c r="N8" t="s">
        <v>49</v>
      </c>
      <c r="O8" t="s">
        <v>56</v>
      </c>
      <c r="P8">
        <v>1</v>
      </c>
      <c r="Q8">
        <v>4.5</v>
      </c>
      <c r="R8" t="b">
        <v>0</v>
      </c>
      <c r="S8" t="s">
        <v>28</v>
      </c>
      <c r="T8">
        <v>755</v>
      </c>
      <c r="U8" t="s">
        <v>57</v>
      </c>
      <c r="V8" t="s">
        <v>30</v>
      </c>
      <c r="W8" t="s">
        <v>31</v>
      </c>
    </row>
    <row r="9" spans="1:23" x14ac:dyDescent="0.3">
      <c r="A9">
        <v>5120</v>
      </c>
      <c r="B9" t="s">
        <v>58</v>
      </c>
      <c r="C9" s="1">
        <v>45443</v>
      </c>
      <c r="D9" s="1">
        <v>45640</v>
      </c>
      <c r="E9">
        <v>15.99</v>
      </c>
      <c r="F9">
        <v>258</v>
      </c>
      <c r="G9" t="s">
        <v>24</v>
      </c>
      <c r="H9">
        <v>4</v>
      </c>
      <c r="I9">
        <v>1</v>
      </c>
      <c r="J9" t="b">
        <v>1</v>
      </c>
      <c r="K9">
        <v>907</v>
      </c>
      <c r="L9">
        <v>47</v>
      </c>
      <c r="M9" t="s">
        <v>59</v>
      </c>
      <c r="N9" t="s">
        <v>40</v>
      </c>
      <c r="O9" t="s">
        <v>27</v>
      </c>
      <c r="P9">
        <v>32</v>
      </c>
      <c r="Q9">
        <v>3.7</v>
      </c>
      <c r="R9" t="b">
        <v>1</v>
      </c>
      <c r="S9" t="s">
        <v>28</v>
      </c>
      <c r="T9">
        <v>2866</v>
      </c>
      <c r="U9" t="s">
        <v>29</v>
      </c>
      <c r="V9" t="s">
        <v>60</v>
      </c>
      <c r="W9" t="s">
        <v>31</v>
      </c>
    </row>
    <row r="10" spans="1:23" x14ac:dyDescent="0.3">
      <c r="A10">
        <v>6063</v>
      </c>
      <c r="B10" t="s">
        <v>61</v>
      </c>
      <c r="C10" s="1">
        <v>45094</v>
      </c>
      <c r="D10" s="1">
        <v>45643</v>
      </c>
      <c r="E10">
        <v>15.99</v>
      </c>
      <c r="F10">
        <v>183</v>
      </c>
      <c r="G10" t="s">
        <v>62</v>
      </c>
      <c r="H10">
        <v>5</v>
      </c>
      <c r="I10">
        <v>2</v>
      </c>
      <c r="J10" t="b">
        <v>1</v>
      </c>
      <c r="K10">
        <v>676</v>
      </c>
      <c r="L10">
        <v>61</v>
      </c>
      <c r="M10" t="s">
        <v>63</v>
      </c>
      <c r="N10" t="s">
        <v>64</v>
      </c>
      <c r="O10" t="s">
        <v>41</v>
      </c>
      <c r="P10">
        <v>26</v>
      </c>
      <c r="Q10">
        <v>3.3</v>
      </c>
      <c r="R10" t="b">
        <v>1</v>
      </c>
      <c r="S10" t="s">
        <v>28</v>
      </c>
      <c r="T10">
        <v>336</v>
      </c>
      <c r="U10" t="s">
        <v>65</v>
      </c>
      <c r="V10" t="s">
        <v>36</v>
      </c>
      <c r="W10" t="s">
        <v>31</v>
      </c>
    </row>
    <row r="11" spans="1:23" x14ac:dyDescent="0.3">
      <c r="A11">
        <v>6896</v>
      </c>
      <c r="B11" t="s">
        <v>66</v>
      </c>
      <c r="C11" s="1">
        <v>45262</v>
      </c>
      <c r="D11" s="1">
        <v>45640</v>
      </c>
      <c r="E11">
        <v>7.99</v>
      </c>
      <c r="F11">
        <v>164</v>
      </c>
      <c r="G11" t="s">
        <v>46</v>
      </c>
      <c r="H11">
        <v>5</v>
      </c>
      <c r="I11">
        <v>4</v>
      </c>
      <c r="J11" t="b">
        <v>1</v>
      </c>
      <c r="K11">
        <v>406</v>
      </c>
      <c r="L11">
        <v>79</v>
      </c>
      <c r="M11" t="s">
        <v>25</v>
      </c>
      <c r="N11" t="s">
        <v>49</v>
      </c>
      <c r="O11" t="s">
        <v>67</v>
      </c>
      <c r="P11">
        <v>90</v>
      </c>
      <c r="Q11">
        <v>3.2</v>
      </c>
      <c r="R11" t="b">
        <v>0</v>
      </c>
      <c r="S11" t="s">
        <v>28</v>
      </c>
      <c r="T11">
        <v>3898</v>
      </c>
      <c r="U11" t="s">
        <v>57</v>
      </c>
      <c r="V11" t="s">
        <v>68</v>
      </c>
      <c r="W11" t="s">
        <v>31</v>
      </c>
    </row>
    <row r="12" spans="1:23" x14ac:dyDescent="0.3">
      <c r="A12">
        <v>8447</v>
      </c>
      <c r="B12" t="s">
        <v>69</v>
      </c>
      <c r="C12" s="1">
        <v>45013</v>
      </c>
      <c r="D12" s="1">
        <v>45618</v>
      </c>
      <c r="E12">
        <v>11.99</v>
      </c>
      <c r="F12">
        <v>411</v>
      </c>
      <c r="G12" t="s">
        <v>62</v>
      </c>
      <c r="H12">
        <v>5</v>
      </c>
      <c r="I12">
        <v>4</v>
      </c>
      <c r="J12" t="b">
        <v>1</v>
      </c>
      <c r="K12">
        <v>352</v>
      </c>
      <c r="L12">
        <v>78</v>
      </c>
      <c r="M12" t="s">
        <v>44</v>
      </c>
      <c r="N12" t="s">
        <v>49</v>
      </c>
      <c r="O12" t="s">
        <v>56</v>
      </c>
      <c r="P12">
        <v>47</v>
      </c>
      <c r="Q12">
        <v>3.7</v>
      </c>
      <c r="R12" t="b">
        <v>0</v>
      </c>
      <c r="S12" t="s">
        <v>28</v>
      </c>
      <c r="T12">
        <v>650</v>
      </c>
      <c r="U12" t="s">
        <v>65</v>
      </c>
      <c r="V12" t="s">
        <v>68</v>
      </c>
      <c r="W12" t="s">
        <v>31</v>
      </c>
    </row>
    <row r="13" spans="1:23" x14ac:dyDescent="0.3">
      <c r="A13">
        <v>1433</v>
      </c>
      <c r="B13" t="s">
        <v>70</v>
      </c>
      <c r="C13" s="1">
        <v>45353</v>
      </c>
      <c r="D13" s="1">
        <v>45616</v>
      </c>
      <c r="E13">
        <v>15.99</v>
      </c>
      <c r="F13">
        <v>160</v>
      </c>
      <c r="G13" t="s">
        <v>33</v>
      </c>
      <c r="H13">
        <v>5</v>
      </c>
      <c r="I13">
        <v>6</v>
      </c>
      <c r="J13" t="b">
        <v>1</v>
      </c>
      <c r="K13">
        <v>391</v>
      </c>
      <c r="L13">
        <v>132</v>
      </c>
      <c r="M13" t="s">
        <v>39</v>
      </c>
      <c r="N13" t="s">
        <v>40</v>
      </c>
      <c r="O13" t="s">
        <v>34</v>
      </c>
      <c r="P13">
        <v>57</v>
      </c>
      <c r="Q13">
        <v>3</v>
      </c>
      <c r="R13" t="b">
        <v>0</v>
      </c>
      <c r="S13" t="s">
        <v>28</v>
      </c>
      <c r="T13">
        <v>185</v>
      </c>
      <c r="U13" t="s">
        <v>57</v>
      </c>
      <c r="V13" t="s">
        <v>30</v>
      </c>
      <c r="W13" t="s">
        <v>31</v>
      </c>
    </row>
    <row r="14" spans="1:23" x14ac:dyDescent="0.3">
      <c r="A14">
        <v>4511</v>
      </c>
      <c r="B14" t="s">
        <v>71</v>
      </c>
      <c r="C14" s="1">
        <v>45012</v>
      </c>
      <c r="D14" s="1">
        <v>45621</v>
      </c>
      <c r="E14">
        <v>7.99</v>
      </c>
      <c r="F14">
        <v>348</v>
      </c>
      <c r="G14" t="s">
        <v>33</v>
      </c>
      <c r="H14">
        <v>2</v>
      </c>
      <c r="I14">
        <v>5</v>
      </c>
      <c r="J14" t="b">
        <v>0</v>
      </c>
      <c r="K14">
        <v>501</v>
      </c>
      <c r="L14">
        <v>71</v>
      </c>
      <c r="M14" t="s">
        <v>63</v>
      </c>
      <c r="N14" t="s">
        <v>40</v>
      </c>
      <c r="O14" t="s">
        <v>67</v>
      </c>
      <c r="P14">
        <v>38</v>
      </c>
      <c r="Q14">
        <v>4.3</v>
      </c>
      <c r="R14" t="b">
        <v>0</v>
      </c>
      <c r="S14" t="s">
        <v>28</v>
      </c>
      <c r="T14">
        <v>1547</v>
      </c>
      <c r="U14" t="s">
        <v>29</v>
      </c>
      <c r="V14" t="s">
        <v>60</v>
      </c>
      <c r="W14" t="s">
        <v>31</v>
      </c>
    </row>
    <row r="15" spans="1:23" x14ac:dyDescent="0.3">
      <c r="A15">
        <v>9966</v>
      </c>
      <c r="B15" t="s">
        <v>72</v>
      </c>
      <c r="C15" s="1">
        <v>45550</v>
      </c>
      <c r="D15" s="1">
        <v>45626</v>
      </c>
      <c r="E15">
        <v>7.99</v>
      </c>
      <c r="F15">
        <v>451</v>
      </c>
      <c r="G15" t="s">
        <v>46</v>
      </c>
      <c r="H15">
        <v>3</v>
      </c>
      <c r="I15">
        <v>1</v>
      </c>
      <c r="J15" t="b">
        <v>0</v>
      </c>
      <c r="K15">
        <v>995</v>
      </c>
      <c r="L15">
        <v>164</v>
      </c>
      <c r="M15" t="s">
        <v>44</v>
      </c>
      <c r="N15" t="s">
        <v>64</v>
      </c>
      <c r="O15" t="s">
        <v>56</v>
      </c>
      <c r="P15">
        <v>62</v>
      </c>
      <c r="Q15">
        <v>3</v>
      </c>
      <c r="R15" t="b">
        <v>1</v>
      </c>
      <c r="S15" t="s">
        <v>28</v>
      </c>
      <c r="T15">
        <v>3788</v>
      </c>
      <c r="U15" t="s">
        <v>29</v>
      </c>
      <c r="V15" t="s">
        <v>52</v>
      </c>
      <c r="W15" t="s">
        <v>31</v>
      </c>
    </row>
    <row r="16" spans="1:23" x14ac:dyDescent="0.3">
      <c r="A16">
        <v>7093</v>
      </c>
      <c r="B16" t="s">
        <v>73</v>
      </c>
      <c r="C16" s="1">
        <v>45084</v>
      </c>
      <c r="D16" s="1">
        <v>45637</v>
      </c>
      <c r="E16">
        <v>7.99</v>
      </c>
      <c r="F16">
        <v>69</v>
      </c>
      <c r="G16" t="s">
        <v>46</v>
      </c>
      <c r="H16">
        <v>2</v>
      </c>
      <c r="I16">
        <v>5</v>
      </c>
      <c r="J16" t="b">
        <v>0</v>
      </c>
      <c r="K16">
        <v>222</v>
      </c>
      <c r="L16">
        <v>13</v>
      </c>
      <c r="M16" t="s">
        <v>74</v>
      </c>
      <c r="N16" t="s">
        <v>26</v>
      </c>
      <c r="O16" t="s">
        <v>34</v>
      </c>
      <c r="P16">
        <v>0</v>
      </c>
      <c r="Q16">
        <v>4.7</v>
      </c>
      <c r="R16" t="b">
        <v>1</v>
      </c>
      <c r="S16" t="s">
        <v>28</v>
      </c>
      <c r="T16">
        <v>1051</v>
      </c>
      <c r="U16" t="s">
        <v>35</v>
      </c>
      <c r="V16" t="s">
        <v>52</v>
      </c>
      <c r="W16" t="s">
        <v>75</v>
      </c>
    </row>
    <row r="17" spans="1:23" x14ac:dyDescent="0.3">
      <c r="A17">
        <v>4351</v>
      </c>
      <c r="B17" t="s">
        <v>76</v>
      </c>
      <c r="C17" s="1">
        <v>45430</v>
      </c>
      <c r="D17" s="1">
        <v>45626</v>
      </c>
      <c r="E17">
        <v>11.99</v>
      </c>
      <c r="F17">
        <v>166</v>
      </c>
      <c r="G17" t="s">
        <v>55</v>
      </c>
      <c r="H17">
        <v>1</v>
      </c>
      <c r="I17">
        <v>6</v>
      </c>
      <c r="J17" t="b">
        <v>1</v>
      </c>
      <c r="K17">
        <v>788</v>
      </c>
      <c r="L17">
        <v>31</v>
      </c>
      <c r="M17" t="s">
        <v>25</v>
      </c>
      <c r="N17" t="s">
        <v>26</v>
      </c>
      <c r="O17" t="s">
        <v>34</v>
      </c>
      <c r="P17">
        <v>25</v>
      </c>
      <c r="Q17">
        <v>4.3</v>
      </c>
      <c r="R17" t="b">
        <v>1</v>
      </c>
      <c r="S17" t="s">
        <v>28</v>
      </c>
      <c r="T17">
        <v>633</v>
      </c>
      <c r="U17" t="s">
        <v>51</v>
      </c>
      <c r="V17" t="s">
        <v>30</v>
      </c>
      <c r="W17" t="s">
        <v>75</v>
      </c>
    </row>
    <row r="18" spans="1:23" x14ac:dyDescent="0.3">
      <c r="A18">
        <v>6007</v>
      </c>
      <c r="B18" t="s">
        <v>77</v>
      </c>
      <c r="C18" s="1">
        <v>44971</v>
      </c>
      <c r="D18" s="1">
        <v>45643</v>
      </c>
      <c r="E18">
        <v>7.99</v>
      </c>
      <c r="F18">
        <v>449</v>
      </c>
      <c r="G18" t="s">
        <v>55</v>
      </c>
      <c r="H18">
        <v>2</v>
      </c>
      <c r="I18">
        <v>4</v>
      </c>
      <c r="J18" t="b">
        <v>1</v>
      </c>
      <c r="K18">
        <v>369</v>
      </c>
      <c r="L18">
        <v>25</v>
      </c>
      <c r="M18" t="s">
        <v>63</v>
      </c>
      <c r="N18" t="s">
        <v>40</v>
      </c>
      <c r="O18" t="s">
        <v>50</v>
      </c>
      <c r="P18">
        <v>65</v>
      </c>
      <c r="Q18">
        <v>4.5999999999999996</v>
      </c>
      <c r="R18" t="b">
        <v>0</v>
      </c>
      <c r="S18" t="s">
        <v>28</v>
      </c>
      <c r="T18">
        <v>4133</v>
      </c>
      <c r="U18" t="s">
        <v>29</v>
      </c>
      <c r="V18" t="s">
        <v>36</v>
      </c>
      <c r="W18" t="s">
        <v>37</v>
      </c>
    </row>
    <row r="19" spans="1:23" x14ac:dyDescent="0.3">
      <c r="A19">
        <v>9710</v>
      </c>
      <c r="B19" t="s">
        <v>78</v>
      </c>
      <c r="C19" s="1">
        <v>45079</v>
      </c>
      <c r="D19" s="1">
        <v>45623</v>
      </c>
      <c r="E19">
        <v>7.99</v>
      </c>
      <c r="F19">
        <v>441</v>
      </c>
      <c r="G19" t="s">
        <v>79</v>
      </c>
      <c r="H19">
        <v>1</v>
      </c>
      <c r="I19">
        <v>5</v>
      </c>
      <c r="J19" t="b">
        <v>0</v>
      </c>
      <c r="K19">
        <v>228</v>
      </c>
      <c r="L19">
        <v>39</v>
      </c>
      <c r="M19" t="s">
        <v>63</v>
      </c>
      <c r="N19" t="s">
        <v>26</v>
      </c>
      <c r="O19" t="s">
        <v>41</v>
      </c>
      <c r="P19">
        <v>50</v>
      </c>
      <c r="Q19">
        <v>3.1</v>
      </c>
      <c r="R19" t="b">
        <v>1</v>
      </c>
      <c r="S19" t="s">
        <v>28</v>
      </c>
      <c r="T19">
        <v>1159</v>
      </c>
      <c r="U19" t="s">
        <v>35</v>
      </c>
      <c r="V19" t="s">
        <v>30</v>
      </c>
      <c r="W19" t="s">
        <v>53</v>
      </c>
    </row>
    <row r="20" spans="1:23" x14ac:dyDescent="0.3">
      <c r="A20">
        <v>9034</v>
      </c>
      <c r="B20" t="s">
        <v>80</v>
      </c>
      <c r="C20" s="1">
        <v>45189</v>
      </c>
      <c r="D20" s="1">
        <v>45644</v>
      </c>
      <c r="E20">
        <v>15.99</v>
      </c>
      <c r="F20">
        <v>224</v>
      </c>
      <c r="G20" t="s">
        <v>62</v>
      </c>
      <c r="H20">
        <v>1</v>
      </c>
      <c r="I20">
        <v>5</v>
      </c>
      <c r="J20" t="b">
        <v>1</v>
      </c>
      <c r="K20">
        <v>827</v>
      </c>
      <c r="L20">
        <v>138</v>
      </c>
      <c r="M20" t="s">
        <v>39</v>
      </c>
      <c r="N20" t="s">
        <v>40</v>
      </c>
      <c r="O20" t="s">
        <v>41</v>
      </c>
      <c r="P20">
        <v>11</v>
      </c>
      <c r="Q20">
        <v>4.5</v>
      </c>
      <c r="R20" t="b">
        <v>1</v>
      </c>
      <c r="S20" t="s">
        <v>28</v>
      </c>
      <c r="T20">
        <v>4673</v>
      </c>
      <c r="U20" t="s">
        <v>65</v>
      </c>
      <c r="V20" t="s">
        <v>52</v>
      </c>
      <c r="W20" t="s">
        <v>75</v>
      </c>
    </row>
    <row r="21" spans="1:23" x14ac:dyDescent="0.3">
      <c r="A21">
        <v>6197</v>
      </c>
      <c r="B21" t="s">
        <v>81</v>
      </c>
      <c r="C21" s="1">
        <v>45110</v>
      </c>
      <c r="D21" s="1">
        <v>45624</v>
      </c>
      <c r="E21">
        <v>15.99</v>
      </c>
      <c r="F21">
        <v>44</v>
      </c>
      <c r="G21" t="s">
        <v>24</v>
      </c>
      <c r="H21">
        <v>2</v>
      </c>
      <c r="I21">
        <v>4</v>
      </c>
      <c r="J21" t="b">
        <v>0</v>
      </c>
      <c r="K21">
        <v>983</v>
      </c>
      <c r="L21">
        <v>145</v>
      </c>
      <c r="M21" t="s">
        <v>48</v>
      </c>
      <c r="N21" t="s">
        <v>26</v>
      </c>
      <c r="O21" t="s">
        <v>67</v>
      </c>
      <c r="P21">
        <v>78</v>
      </c>
      <c r="Q21">
        <v>3</v>
      </c>
      <c r="R21" t="b">
        <v>0</v>
      </c>
      <c r="S21" t="s">
        <v>28</v>
      </c>
      <c r="T21">
        <v>4200</v>
      </c>
      <c r="U21" t="s">
        <v>57</v>
      </c>
      <c r="V21" t="s">
        <v>60</v>
      </c>
      <c r="W21" t="s">
        <v>37</v>
      </c>
    </row>
    <row r="22" spans="1:23" x14ac:dyDescent="0.3">
      <c r="A22">
        <v>2820</v>
      </c>
      <c r="B22" t="s">
        <v>82</v>
      </c>
      <c r="C22" s="1">
        <v>45122</v>
      </c>
      <c r="D22" s="1">
        <v>45627</v>
      </c>
      <c r="E22">
        <v>7.99</v>
      </c>
      <c r="F22">
        <v>202</v>
      </c>
      <c r="G22" t="s">
        <v>33</v>
      </c>
      <c r="H22">
        <v>1</v>
      </c>
      <c r="I22">
        <v>5</v>
      </c>
      <c r="J22" t="b">
        <v>1</v>
      </c>
      <c r="K22">
        <v>109</v>
      </c>
      <c r="L22">
        <v>41</v>
      </c>
      <c r="M22" t="s">
        <v>25</v>
      </c>
      <c r="N22" t="s">
        <v>64</v>
      </c>
      <c r="O22" t="s">
        <v>50</v>
      </c>
      <c r="P22">
        <v>42</v>
      </c>
      <c r="Q22">
        <v>4.5999999999999996</v>
      </c>
      <c r="R22" t="b">
        <v>0</v>
      </c>
      <c r="S22" t="s">
        <v>28</v>
      </c>
      <c r="T22">
        <v>3607</v>
      </c>
      <c r="U22" t="s">
        <v>35</v>
      </c>
      <c r="V22" t="s">
        <v>30</v>
      </c>
      <c r="W22" t="s">
        <v>31</v>
      </c>
    </row>
    <row r="23" spans="1:23" x14ac:dyDescent="0.3">
      <c r="A23">
        <v>1101</v>
      </c>
      <c r="B23" t="s">
        <v>47</v>
      </c>
      <c r="C23" s="1">
        <v>45456</v>
      </c>
      <c r="D23" s="1">
        <v>45619</v>
      </c>
      <c r="E23">
        <v>15.99</v>
      </c>
      <c r="F23">
        <v>39</v>
      </c>
      <c r="G23" t="s">
        <v>55</v>
      </c>
      <c r="H23">
        <v>2</v>
      </c>
      <c r="I23">
        <v>3</v>
      </c>
      <c r="J23" t="b">
        <v>1</v>
      </c>
      <c r="K23">
        <v>181</v>
      </c>
      <c r="L23">
        <v>128</v>
      </c>
      <c r="M23" t="s">
        <v>59</v>
      </c>
      <c r="N23" t="s">
        <v>26</v>
      </c>
      <c r="O23" t="s">
        <v>41</v>
      </c>
      <c r="P23">
        <v>3</v>
      </c>
      <c r="Q23">
        <v>4.5</v>
      </c>
      <c r="R23" t="b">
        <v>1</v>
      </c>
      <c r="S23" t="s">
        <v>28</v>
      </c>
      <c r="T23">
        <v>4602</v>
      </c>
      <c r="U23" t="s">
        <v>51</v>
      </c>
      <c r="V23" t="s">
        <v>68</v>
      </c>
      <c r="W23" t="s">
        <v>37</v>
      </c>
    </row>
    <row r="24" spans="1:23" x14ac:dyDescent="0.3">
      <c r="A24">
        <v>1650</v>
      </c>
      <c r="B24" t="s">
        <v>78</v>
      </c>
      <c r="C24" s="1">
        <v>45529</v>
      </c>
      <c r="D24" s="1">
        <v>45619</v>
      </c>
      <c r="E24">
        <v>15.99</v>
      </c>
      <c r="F24">
        <v>319</v>
      </c>
      <c r="G24" t="s">
        <v>79</v>
      </c>
      <c r="H24">
        <v>2</v>
      </c>
      <c r="I24">
        <v>2</v>
      </c>
      <c r="J24" t="b">
        <v>0</v>
      </c>
      <c r="K24">
        <v>842</v>
      </c>
      <c r="L24">
        <v>145</v>
      </c>
      <c r="M24" t="s">
        <v>74</v>
      </c>
      <c r="N24" t="s">
        <v>64</v>
      </c>
      <c r="O24" t="s">
        <v>41</v>
      </c>
      <c r="P24">
        <v>27</v>
      </c>
      <c r="Q24">
        <v>3.6</v>
      </c>
      <c r="R24" t="b">
        <v>1</v>
      </c>
      <c r="S24" t="s">
        <v>28</v>
      </c>
      <c r="T24">
        <v>256</v>
      </c>
      <c r="U24" t="s">
        <v>51</v>
      </c>
      <c r="V24" t="s">
        <v>30</v>
      </c>
      <c r="W24" t="s">
        <v>75</v>
      </c>
    </row>
    <row r="25" spans="1:23" x14ac:dyDescent="0.3">
      <c r="A25">
        <v>4884</v>
      </c>
      <c r="B25" t="s">
        <v>83</v>
      </c>
      <c r="C25" s="1">
        <v>45249</v>
      </c>
      <c r="D25" s="1">
        <v>45621</v>
      </c>
      <c r="E25">
        <v>15.99</v>
      </c>
      <c r="F25">
        <v>150</v>
      </c>
      <c r="G25" t="s">
        <v>43</v>
      </c>
      <c r="H25">
        <v>3</v>
      </c>
      <c r="I25">
        <v>3</v>
      </c>
      <c r="J25" t="b">
        <v>1</v>
      </c>
      <c r="K25">
        <v>40</v>
      </c>
      <c r="L25">
        <v>196</v>
      </c>
      <c r="M25" t="s">
        <v>39</v>
      </c>
      <c r="N25" t="s">
        <v>40</v>
      </c>
      <c r="O25" t="s">
        <v>34</v>
      </c>
      <c r="P25">
        <v>60</v>
      </c>
      <c r="Q25">
        <v>3.7</v>
      </c>
      <c r="R25" t="b">
        <v>0</v>
      </c>
      <c r="S25" t="s">
        <v>28</v>
      </c>
      <c r="T25">
        <v>2406</v>
      </c>
      <c r="U25" t="s">
        <v>57</v>
      </c>
      <c r="V25" t="s">
        <v>68</v>
      </c>
      <c r="W25" t="s">
        <v>37</v>
      </c>
    </row>
    <row r="26" spans="1:23" x14ac:dyDescent="0.3">
      <c r="A26">
        <v>8321</v>
      </c>
      <c r="B26" t="s">
        <v>84</v>
      </c>
      <c r="C26" s="1">
        <v>45191</v>
      </c>
      <c r="D26" s="1">
        <v>45619</v>
      </c>
      <c r="E26">
        <v>11.99</v>
      </c>
      <c r="F26">
        <v>496</v>
      </c>
      <c r="G26" t="s">
        <v>79</v>
      </c>
      <c r="H26">
        <v>3</v>
      </c>
      <c r="I26">
        <v>1</v>
      </c>
      <c r="J26" t="b">
        <v>1</v>
      </c>
      <c r="K26">
        <v>431</v>
      </c>
      <c r="L26">
        <v>41</v>
      </c>
      <c r="M26" t="s">
        <v>48</v>
      </c>
      <c r="N26" t="s">
        <v>49</v>
      </c>
      <c r="O26" t="s">
        <v>56</v>
      </c>
      <c r="P26">
        <v>91</v>
      </c>
      <c r="Q26">
        <v>4</v>
      </c>
      <c r="R26" t="b">
        <v>1</v>
      </c>
      <c r="S26" t="s">
        <v>28</v>
      </c>
      <c r="T26">
        <v>1394</v>
      </c>
      <c r="U26" t="s">
        <v>51</v>
      </c>
      <c r="V26" t="s">
        <v>68</v>
      </c>
      <c r="W26" t="s">
        <v>75</v>
      </c>
    </row>
    <row r="27" spans="1:23" x14ac:dyDescent="0.3">
      <c r="A27">
        <v>2381</v>
      </c>
      <c r="B27" t="s">
        <v>85</v>
      </c>
      <c r="C27" s="1">
        <v>45427</v>
      </c>
      <c r="D27" s="1">
        <v>45641</v>
      </c>
      <c r="E27">
        <v>7.99</v>
      </c>
      <c r="F27">
        <v>347</v>
      </c>
      <c r="G27" t="s">
        <v>55</v>
      </c>
      <c r="H27">
        <v>2</v>
      </c>
      <c r="I27">
        <v>5</v>
      </c>
      <c r="J27" t="b">
        <v>0</v>
      </c>
      <c r="K27">
        <v>415</v>
      </c>
      <c r="L27">
        <v>194</v>
      </c>
      <c r="M27" t="s">
        <v>25</v>
      </c>
      <c r="N27" t="s">
        <v>49</v>
      </c>
      <c r="O27" t="s">
        <v>34</v>
      </c>
      <c r="P27">
        <v>76</v>
      </c>
      <c r="Q27">
        <v>4.3</v>
      </c>
      <c r="R27" t="b">
        <v>1</v>
      </c>
      <c r="S27" t="s">
        <v>28</v>
      </c>
      <c r="T27">
        <v>1856</v>
      </c>
      <c r="U27" t="s">
        <v>35</v>
      </c>
      <c r="V27" t="s">
        <v>52</v>
      </c>
      <c r="W27" t="s">
        <v>75</v>
      </c>
    </row>
    <row r="28" spans="1:23" x14ac:dyDescent="0.3">
      <c r="A28">
        <v>9507</v>
      </c>
      <c r="B28" t="s">
        <v>86</v>
      </c>
      <c r="C28" s="1">
        <v>45096</v>
      </c>
      <c r="D28" s="1">
        <v>45615</v>
      </c>
      <c r="E28">
        <v>11.99</v>
      </c>
      <c r="F28">
        <v>201</v>
      </c>
      <c r="G28" t="s">
        <v>24</v>
      </c>
      <c r="H28">
        <v>1</v>
      </c>
      <c r="I28">
        <v>6</v>
      </c>
      <c r="J28" t="b">
        <v>1</v>
      </c>
      <c r="K28">
        <v>902</v>
      </c>
      <c r="L28">
        <v>86</v>
      </c>
      <c r="M28" t="s">
        <v>25</v>
      </c>
      <c r="N28" t="s">
        <v>64</v>
      </c>
      <c r="O28" t="s">
        <v>67</v>
      </c>
      <c r="P28">
        <v>69</v>
      </c>
      <c r="Q28">
        <v>4.9000000000000004</v>
      </c>
      <c r="R28" t="b">
        <v>1</v>
      </c>
      <c r="S28" t="s">
        <v>28</v>
      </c>
      <c r="T28">
        <v>1665</v>
      </c>
      <c r="U28" t="s">
        <v>51</v>
      </c>
      <c r="V28" t="s">
        <v>52</v>
      </c>
      <c r="W28" t="s">
        <v>75</v>
      </c>
    </row>
    <row r="29" spans="1:23" x14ac:dyDescent="0.3">
      <c r="A29">
        <v>2851</v>
      </c>
      <c r="B29" t="s">
        <v>87</v>
      </c>
      <c r="C29" s="1">
        <v>45434</v>
      </c>
      <c r="D29" s="1">
        <v>45619</v>
      </c>
      <c r="E29">
        <v>15.99</v>
      </c>
      <c r="F29">
        <v>415</v>
      </c>
      <c r="G29" t="s">
        <v>79</v>
      </c>
      <c r="H29">
        <v>3</v>
      </c>
      <c r="I29">
        <v>5</v>
      </c>
      <c r="J29" t="b">
        <v>1</v>
      </c>
      <c r="K29">
        <v>769</v>
      </c>
      <c r="L29">
        <v>144</v>
      </c>
      <c r="M29" t="s">
        <v>59</v>
      </c>
      <c r="N29" t="s">
        <v>64</v>
      </c>
      <c r="O29" t="s">
        <v>50</v>
      </c>
      <c r="P29">
        <v>98</v>
      </c>
      <c r="Q29">
        <v>3.9</v>
      </c>
      <c r="R29" t="b">
        <v>0</v>
      </c>
      <c r="S29" t="s">
        <v>28</v>
      </c>
      <c r="T29">
        <v>2759</v>
      </c>
      <c r="U29" t="s">
        <v>65</v>
      </c>
      <c r="V29" t="s">
        <v>30</v>
      </c>
      <c r="W29" t="s">
        <v>37</v>
      </c>
    </row>
    <row r="30" spans="1:23" x14ac:dyDescent="0.3">
      <c r="A30">
        <v>4083</v>
      </c>
      <c r="B30" t="s">
        <v>88</v>
      </c>
      <c r="C30" s="1">
        <v>45321</v>
      </c>
      <c r="D30" s="1">
        <v>45636</v>
      </c>
      <c r="E30">
        <v>11.99</v>
      </c>
      <c r="F30">
        <v>32</v>
      </c>
      <c r="G30" t="s">
        <v>55</v>
      </c>
      <c r="H30">
        <v>1</v>
      </c>
      <c r="I30">
        <v>4</v>
      </c>
      <c r="J30" t="b">
        <v>1</v>
      </c>
      <c r="K30">
        <v>588</v>
      </c>
      <c r="L30">
        <v>137</v>
      </c>
      <c r="M30" t="s">
        <v>74</v>
      </c>
      <c r="N30" t="s">
        <v>49</v>
      </c>
      <c r="O30" t="s">
        <v>56</v>
      </c>
      <c r="P30">
        <v>85</v>
      </c>
      <c r="Q30">
        <v>3.7</v>
      </c>
      <c r="R30" t="b">
        <v>1</v>
      </c>
      <c r="S30" t="s">
        <v>28</v>
      </c>
      <c r="T30">
        <v>3433</v>
      </c>
      <c r="U30" t="s">
        <v>57</v>
      </c>
      <c r="V30" t="s">
        <v>30</v>
      </c>
      <c r="W30" t="s">
        <v>75</v>
      </c>
    </row>
    <row r="31" spans="1:23" x14ac:dyDescent="0.3">
      <c r="A31">
        <v>4608</v>
      </c>
      <c r="B31" t="s">
        <v>89</v>
      </c>
      <c r="C31" s="1">
        <v>45379</v>
      </c>
      <c r="D31" s="1">
        <v>45624</v>
      </c>
      <c r="E31">
        <v>11.99</v>
      </c>
      <c r="F31">
        <v>338</v>
      </c>
      <c r="G31" t="s">
        <v>62</v>
      </c>
      <c r="H31">
        <v>3</v>
      </c>
      <c r="I31">
        <v>2</v>
      </c>
      <c r="J31" t="b">
        <v>1</v>
      </c>
      <c r="K31">
        <v>528</v>
      </c>
      <c r="L31">
        <v>184</v>
      </c>
      <c r="M31" t="s">
        <v>44</v>
      </c>
      <c r="N31" t="s">
        <v>64</v>
      </c>
      <c r="O31" t="s">
        <v>50</v>
      </c>
      <c r="P31">
        <v>58</v>
      </c>
      <c r="Q31">
        <v>3.7</v>
      </c>
      <c r="R31" t="b">
        <v>1</v>
      </c>
      <c r="S31" t="s">
        <v>28</v>
      </c>
      <c r="T31">
        <v>3966</v>
      </c>
      <c r="U31" t="s">
        <v>35</v>
      </c>
      <c r="V31" t="s">
        <v>68</v>
      </c>
      <c r="W31" t="s">
        <v>31</v>
      </c>
    </row>
    <row r="32" spans="1:23" x14ac:dyDescent="0.3">
      <c r="A32">
        <v>4815</v>
      </c>
      <c r="B32" t="s">
        <v>90</v>
      </c>
      <c r="C32" s="1">
        <v>45475</v>
      </c>
      <c r="D32" s="1">
        <v>45616</v>
      </c>
      <c r="E32">
        <v>7.99</v>
      </c>
      <c r="F32">
        <v>52</v>
      </c>
      <c r="G32" t="s">
        <v>46</v>
      </c>
      <c r="H32">
        <v>5</v>
      </c>
      <c r="I32">
        <v>5</v>
      </c>
      <c r="J32" t="b">
        <v>0</v>
      </c>
      <c r="K32">
        <v>467</v>
      </c>
      <c r="L32">
        <v>23</v>
      </c>
      <c r="M32" t="s">
        <v>25</v>
      </c>
      <c r="N32" t="s">
        <v>26</v>
      </c>
      <c r="O32" t="s">
        <v>50</v>
      </c>
      <c r="P32">
        <v>97</v>
      </c>
      <c r="Q32">
        <v>3.3</v>
      </c>
      <c r="R32" t="b">
        <v>1</v>
      </c>
      <c r="S32" t="s">
        <v>28</v>
      </c>
      <c r="T32">
        <v>4185</v>
      </c>
      <c r="U32" t="s">
        <v>35</v>
      </c>
      <c r="V32" t="s">
        <v>68</v>
      </c>
      <c r="W32" t="s">
        <v>37</v>
      </c>
    </row>
    <row r="33" spans="1:23" x14ac:dyDescent="0.3">
      <c r="A33">
        <v>9597</v>
      </c>
      <c r="B33" t="s">
        <v>91</v>
      </c>
      <c r="C33" s="1">
        <v>45632</v>
      </c>
      <c r="D33" s="1">
        <v>45628</v>
      </c>
      <c r="E33">
        <v>11.99</v>
      </c>
      <c r="F33">
        <v>447</v>
      </c>
      <c r="G33" t="s">
        <v>79</v>
      </c>
      <c r="H33">
        <v>5</v>
      </c>
      <c r="I33">
        <v>5</v>
      </c>
      <c r="J33" t="b">
        <v>0</v>
      </c>
      <c r="K33">
        <v>73</v>
      </c>
      <c r="L33">
        <v>138</v>
      </c>
      <c r="M33" t="s">
        <v>63</v>
      </c>
      <c r="N33" t="s">
        <v>40</v>
      </c>
      <c r="O33" t="s">
        <v>27</v>
      </c>
      <c r="P33">
        <v>84</v>
      </c>
      <c r="Q33">
        <v>4.0999999999999996</v>
      </c>
      <c r="R33" t="b">
        <v>0</v>
      </c>
      <c r="S33" t="s">
        <v>28</v>
      </c>
      <c r="T33">
        <v>784</v>
      </c>
      <c r="U33" t="s">
        <v>29</v>
      </c>
      <c r="V33" t="s">
        <v>36</v>
      </c>
      <c r="W33" t="s">
        <v>75</v>
      </c>
    </row>
    <row r="34" spans="1:23" x14ac:dyDescent="0.3">
      <c r="A34">
        <v>6566</v>
      </c>
      <c r="B34" t="s">
        <v>92</v>
      </c>
      <c r="C34" s="1">
        <v>45099</v>
      </c>
      <c r="D34" s="1">
        <v>45643</v>
      </c>
      <c r="E34">
        <v>11.99</v>
      </c>
      <c r="F34">
        <v>312</v>
      </c>
      <c r="G34" t="s">
        <v>55</v>
      </c>
      <c r="H34">
        <v>5</v>
      </c>
      <c r="I34">
        <v>1</v>
      </c>
      <c r="J34" t="b">
        <v>1</v>
      </c>
      <c r="K34">
        <v>895</v>
      </c>
      <c r="L34">
        <v>154</v>
      </c>
      <c r="M34" t="s">
        <v>63</v>
      </c>
      <c r="N34" t="s">
        <v>40</v>
      </c>
      <c r="O34" t="s">
        <v>50</v>
      </c>
      <c r="P34">
        <v>85</v>
      </c>
      <c r="Q34">
        <v>4.7</v>
      </c>
      <c r="R34" t="b">
        <v>1</v>
      </c>
      <c r="S34" t="s">
        <v>28</v>
      </c>
      <c r="T34">
        <v>3428</v>
      </c>
      <c r="U34" t="s">
        <v>57</v>
      </c>
      <c r="V34" t="s">
        <v>36</v>
      </c>
      <c r="W34" t="s">
        <v>37</v>
      </c>
    </row>
    <row r="35" spans="1:23" x14ac:dyDescent="0.3">
      <c r="A35">
        <v>1419</v>
      </c>
      <c r="B35" t="s">
        <v>93</v>
      </c>
      <c r="C35" s="1">
        <v>45110</v>
      </c>
      <c r="D35" s="1">
        <v>45642</v>
      </c>
      <c r="E35">
        <v>11.99</v>
      </c>
      <c r="F35">
        <v>406</v>
      </c>
      <c r="G35" t="s">
        <v>43</v>
      </c>
      <c r="H35">
        <v>2</v>
      </c>
      <c r="I35">
        <v>6</v>
      </c>
      <c r="J35" t="b">
        <v>0</v>
      </c>
      <c r="K35">
        <v>983</v>
      </c>
      <c r="L35">
        <v>113</v>
      </c>
      <c r="M35" t="s">
        <v>48</v>
      </c>
      <c r="N35" t="s">
        <v>64</v>
      </c>
      <c r="O35" t="s">
        <v>34</v>
      </c>
      <c r="P35">
        <v>78</v>
      </c>
      <c r="Q35">
        <v>3.1</v>
      </c>
      <c r="R35" t="b">
        <v>0</v>
      </c>
      <c r="S35" t="s">
        <v>28</v>
      </c>
      <c r="T35">
        <v>4245</v>
      </c>
      <c r="U35" t="s">
        <v>29</v>
      </c>
      <c r="V35" t="s">
        <v>36</v>
      </c>
      <c r="W35" t="s">
        <v>37</v>
      </c>
    </row>
    <row r="36" spans="1:23" x14ac:dyDescent="0.3">
      <c r="A36">
        <v>9470</v>
      </c>
      <c r="B36" t="s">
        <v>94</v>
      </c>
      <c r="C36" s="1">
        <v>45258</v>
      </c>
      <c r="D36" s="1">
        <v>45641</v>
      </c>
      <c r="E36">
        <v>7.99</v>
      </c>
      <c r="F36">
        <v>350</v>
      </c>
      <c r="G36" t="s">
        <v>55</v>
      </c>
      <c r="H36">
        <v>3</v>
      </c>
      <c r="I36">
        <v>6</v>
      </c>
      <c r="J36" t="b">
        <v>1</v>
      </c>
      <c r="K36">
        <v>801</v>
      </c>
      <c r="L36">
        <v>156</v>
      </c>
      <c r="M36" t="s">
        <v>74</v>
      </c>
      <c r="N36" t="s">
        <v>49</v>
      </c>
      <c r="O36" t="s">
        <v>41</v>
      </c>
      <c r="P36">
        <v>66</v>
      </c>
      <c r="Q36">
        <v>4.5999999999999996</v>
      </c>
      <c r="R36" t="b">
        <v>1</v>
      </c>
      <c r="S36" t="s">
        <v>28</v>
      </c>
      <c r="T36">
        <v>2580</v>
      </c>
      <c r="U36" t="s">
        <v>51</v>
      </c>
      <c r="V36" t="s">
        <v>52</v>
      </c>
      <c r="W36" t="s">
        <v>31</v>
      </c>
    </row>
    <row r="37" spans="1:23" x14ac:dyDescent="0.3">
      <c r="A37">
        <v>4989</v>
      </c>
      <c r="B37" t="s">
        <v>95</v>
      </c>
      <c r="C37" s="1">
        <v>45301</v>
      </c>
      <c r="D37" s="1">
        <v>45636</v>
      </c>
      <c r="E37">
        <v>7.99</v>
      </c>
      <c r="F37">
        <v>99</v>
      </c>
      <c r="G37" t="s">
        <v>62</v>
      </c>
      <c r="H37">
        <v>2</v>
      </c>
      <c r="I37">
        <v>5</v>
      </c>
      <c r="J37" t="b">
        <v>1</v>
      </c>
      <c r="K37">
        <v>96</v>
      </c>
      <c r="L37">
        <v>114</v>
      </c>
      <c r="M37" t="s">
        <v>25</v>
      </c>
      <c r="N37" t="s">
        <v>26</v>
      </c>
      <c r="O37" t="s">
        <v>27</v>
      </c>
      <c r="P37">
        <v>45</v>
      </c>
      <c r="Q37">
        <v>4.3</v>
      </c>
      <c r="R37" t="b">
        <v>0</v>
      </c>
      <c r="S37" t="s">
        <v>28</v>
      </c>
      <c r="T37">
        <v>2779</v>
      </c>
      <c r="U37" t="s">
        <v>51</v>
      </c>
      <c r="V37" t="s">
        <v>68</v>
      </c>
      <c r="W37" t="s">
        <v>53</v>
      </c>
    </row>
    <row r="38" spans="1:23" x14ac:dyDescent="0.3">
      <c r="A38">
        <v>9389</v>
      </c>
      <c r="B38" t="s">
        <v>96</v>
      </c>
      <c r="C38" s="1">
        <v>45568</v>
      </c>
      <c r="D38" s="1">
        <v>45617</v>
      </c>
      <c r="E38">
        <v>15.99</v>
      </c>
      <c r="F38">
        <v>53</v>
      </c>
      <c r="G38" t="s">
        <v>43</v>
      </c>
      <c r="H38">
        <v>1</v>
      </c>
      <c r="I38">
        <v>2</v>
      </c>
      <c r="J38" t="b">
        <v>0</v>
      </c>
      <c r="K38">
        <v>849</v>
      </c>
      <c r="L38">
        <v>98</v>
      </c>
      <c r="M38" t="s">
        <v>48</v>
      </c>
      <c r="N38" t="s">
        <v>49</v>
      </c>
      <c r="O38" t="s">
        <v>41</v>
      </c>
      <c r="P38">
        <v>14</v>
      </c>
      <c r="Q38">
        <v>3.1</v>
      </c>
      <c r="R38" t="b">
        <v>0</v>
      </c>
      <c r="S38" t="s">
        <v>28</v>
      </c>
      <c r="T38">
        <v>2318</v>
      </c>
      <c r="U38" t="s">
        <v>29</v>
      </c>
      <c r="V38" t="s">
        <v>30</v>
      </c>
      <c r="W38" t="s">
        <v>37</v>
      </c>
    </row>
    <row r="39" spans="1:23" x14ac:dyDescent="0.3">
      <c r="A39">
        <v>7728</v>
      </c>
      <c r="B39" t="s">
        <v>97</v>
      </c>
      <c r="C39" s="1">
        <v>45184</v>
      </c>
      <c r="D39" s="1">
        <v>45639</v>
      </c>
      <c r="E39">
        <v>11.99</v>
      </c>
      <c r="F39">
        <v>484</v>
      </c>
      <c r="G39" t="s">
        <v>79</v>
      </c>
      <c r="H39">
        <v>3</v>
      </c>
      <c r="I39">
        <v>6</v>
      </c>
      <c r="J39" t="b">
        <v>0</v>
      </c>
      <c r="K39">
        <v>515</v>
      </c>
      <c r="L39">
        <v>174</v>
      </c>
      <c r="M39" t="s">
        <v>44</v>
      </c>
      <c r="N39" t="s">
        <v>26</v>
      </c>
      <c r="O39" t="s">
        <v>34</v>
      </c>
      <c r="P39">
        <v>12</v>
      </c>
      <c r="Q39">
        <v>4</v>
      </c>
      <c r="R39" t="b">
        <v>1</v>
      </c>
      <c r="S39" t="s">
        <v>28</v>
      </c>
      <c r="T39">
        <v>827</v>
      </c>
      <c r="U39" t="s">
        <v>29</v>
      </c>
      <c r="V39" t="s">
        <v>36</v>
      </c>
      <c r="W39" t="s">
        <v>53</v>
      </c>
    </row>
    <row r="40" spans="1:23" x14ac:dyDescent="0.3">
      <c r="A40">
        <v>7943</v>
      </c>
      <c r="B40" t="s">
        <v>98</v>
      </c>
      <c r="C40" s="1">
        <v>45566</v>
      </c>
      <c r="D40" s="1">
        <v>45627</v>
      </c>
      <c r="E40">
        <v>15.99</v>
      </c>
      <c r="F40">
        <v>211</v>
      </c>
      <c r="G40" t="s">
        <v>46</v>
      </c>
      <c r="H40">
        <v>2</v>
      </c>
      <c r="I40">
        <v>6</v>
      </c>
      <c r="J40" t="b">
        <v>1</v>
      </c>
      <c r="K40">
        <v>657</v>
      </c>
      <c r="L40">
        <v>137</v>
      </c>
      <c r="M40" t="s">
        <v>59</v>
      </c>
      <c r="N40" t="s">
        <v>49</v>
      </c>
      <c r="O40" t="s">
        <v>27</v>
      </c>
      <c r="P40">
        <v>26</v>
      </c>
      <c r="Q40">
        <v>4</v>
      </c>
      <c r="R40" t="b">
        <v>1</v>
      </c>
      <c r="S40" t="s">
        <v>28</v>
      </c>
      <c r="T40">
        <v>2670</v>
      </c>
      <c r="U40" t="s">
        <v>35</v>
      </c>
      <c r="V40" t="s">
        <v>52</v>
      </c>
      <c r="W40" t="s">
        <v>31</v>
      </c>
    </row>
    <row r="41" spans="1:23" x14ac:dyDescent="0.3">
      <c r="A41">
        <v>2490</v>
      </c>
      <c r="B41" t="s">
        <v>99</v>
      </c>
      <c r="C41" s="1">
        <v>45156</v>
      </c>
      <c r="D41" s="1">
        <v>45615</v>
      </c>
      <c r="E41">
        <v>11.99</v>
      </c>
      <c r="F41">
        <v>248</v>
      </c>
      <c r="G41" t="s">
        <v>43</v>
      </c>
      <c r="H41">
        <v>4</v>
      </c>
      <c r="I41">
        <v>1</v>
      </c>
      <c r="J41" t="b">
        <v>1</v>
      </c>
      <c r="K41">
        <v>426</v>
      </c>
      <c r="L41">
        <v>21</v>
      </c>
      <c r="M41" t="s">
        <v>48</v>
      </c>
      <c r="N41" t="s">
        <v>40</v>
      </c>
      <c r="O41" t="s">
        <v>50</v>
      </c>
      <c r="P41">
        <v>99</v>
      </c>
      <c r="Q41">
        <v>4.8</v>
      </c>
      <c r="R41" t="b">
        <v>0</v>
      </c>
      <c r="S41" t="s">
        <v>28</v>
      </c>
      <c r="T41">
        <v>2409</v>
      </c>
      <c r="U41" t="s">
        <v>29</v>
      </c>
      <c r="V41" t="s">
        <v>30</v>
      </c>
      <c r="W41" t="s">
        <v>31</v>
      </c>
    </row>
    <row r="42" spans="1:23" x14ac:dyDescent="0.3">
      <c r="A42">
        <v>5042</v>
      </c>
      <c r="B42" t="s">
        <v>100</v>
      </c>
      <c r="C42" s="1">
        <v>45338</v>
      </c>
      <c r="D42" s="1">
        <v>45619</v>
      </c>
      <c r="E42">
        <v>15.99</v>
      </c>
      <c r="F42">
        <v>197</v>
      </c>
      <c r="G42" t="s">
        <v>79</v>
      </c>
      <c r="H42">
        <v>4</v>
      </c>
      <c r="I42">
        <v>2</v>
      </c>
      <c r="J42" t="b">
        <v>0</v>
      </c>
      <c r="K42">
        <v>309</v>
      </c>
      <c r="L42">
        <v>178</v>
      </c>
      <c r="M42" t="s">
        <v>59</v>
      </c>
      <c r="N42" t="s">
        <v>64</v>
      </c>
      <c r="O42" t="s">
        <v>41</v>
      </c>
      <c r="P42">
        <v>7</v>
      </c>
      <c r="Q42">
        <v>4.3</v>
      </c>
      <c r="R42" t="b">
        <v>0</v>
      </c>
      <c r="S42" t="s">
        <v>28</v>
      </c>
      <c r="T42">
        <v>1577</v>
      </c>
      <c r="U42" t="s">
        <v>51</v>
      </c>
      <c r="V42" t="s">
        <v>30</v>
      </c>
      <c r="W42" t="s">
        <v>37</v>
      </c>
    </row>
    <row r="43" spans="1:23" x14ac:dyDescent="0.3">
      <c r="A43">
        <v>3620</v>
      </c>
      <c r="B43" t="s">
        <v>101</v>
      </c>
      <c r="C43" s="1">
        <v>45511</v>
      </c>
      <c r="D43" s="1">
        <v>45633</v>
      </c>
      <c r="E43">
        <v>15.99</v>
      </c>
      <c r="F43">
        <v>253</v>
      </c>
      <c r="G43" t="s">
        <v>62</v>
      </c>
      <c r="H43">
        <v>5</v>
      </c>
      <c r="I43">
        <v>5</v>
      </c>
      <c r="J43" t="b">
        <v>1</v>
      </c>
      <c r="K43">
        <v>141</v>
      </c>
      <c r="L43">
        <v>199</v>
      </c>
      <c r="M43" t="s">
        <v>25</v>
      </c>
      <c r="N43" t="s">
        <v>40</v>
      </c>
      <c r="O43" t="s">
        <v>67</v>
      </c>
      <c r="P43">
        <v>72</v>
      </c>
      <c r="Q43">
        <v>3.1</v>
      </c>
      <c r="R43" t="b">
        <v>0</v>
      </c>
      <c r="S43" t="s">
        <v>28</v>
      </c>
      <c r="T43">
        <v>4072</v>
      </c>
      <c r="U43" t="s">
        <v>57</v>
      </c>
      <c r="V43" t="s">
        <v>60</v>
      </c>
      <c r="W43" t="s">
        <v>75</v>
      </c>
    </row>
    <row r="44" spans="1:23" x14ac:dyDescent="0.3">
      <c r="A44">
        <v>8976</v>
      </c>
      <c r="B44" t="s">
        <v>102</v>
      </c>
      <c r="C44" s="1">
        <v>45552</v>
      </c>
      <c r="D44" s="1">
        <v>45638</v>
      </c>
      <c r="E44">
        <v>7.99</v>
      </c>
      <c r="F44">
        <v>352</v>
      </c>
      <c r="G44" t="s">
        <v>79</v>
      </c>
      <c r="H44">
        <v>4</v>
      </c>
      <c r="I44">
        <v>3</v>
      </c>
      <c r="J44" t="b">
        <v>1</v>
      </c>
      <c r="K44">
        <v>112</v>
      </c>
      <c r="L44">
        <v>106</v>
      </c>
      <c r="M44" t="s">
        <v>74</v>
      </c>
      <c r="N44" t="s">
        <v>49</v>
      </c>
      <c r="O44" t="s">
        <v>67</v>
      </c>
      <c r="P44">
        <v>33</v>
      </c>
      <c r="Q44">
        <v>4.5999999999999996</v>
      </c>
      <c r="R44" t="b">
        <v>1</v>
      </c>
      <c r="S44" t="s">
        <v>28</v>
      </c>
      <c r="T44">
        <v>3432</v>
      </c>
      <c r="U44" t="s">
        <v>65</v>
      </c>
      <c r="V44" t="s">
        <v>60</v>
      </c>
      <c r="W44" t="s">
        <v>75</v>
      </c>
    </row>
    <row r="45" spans="1:23" x14ac:dyDescent="0.3">
      <c r="A45">
        <v>1570</v>
      </c>
      <c r="B45" t="s">
        <v>99</v>
      </c>
      <c r="C45" s="1">
        <v>45125</v>
      </c>
      <c r="D45" s="1">
        <v>45618</v>
      </c>
      <c r="E45">
        <v>11.99</v>
      </c>
      <c r="F45">
        <v>97</v>
      </c>
      <c r="G45" t="s">
        <v>79</v>
      </c>
      <c r="H45">
        <v>1</v>
      </c>
      <c r="I45">
        <v>2</v>
      </c>
      <c r="J45" t="b">
        <v>0</v>
      </c>
      <c r="K45">
        <v>836</v>
      </c>
      <c r="L45">
        <v>122</v>
      </c>
      <c r="M45" t="s">
        <v>44</v>
      </c>
      <c r="N45" t="s">
        <v>40</v>
      </c>
      <c r="O45" t="s">
        <v>50</v>
      </c>
      <c r="P45">
        <v>65</v>
      </c>
      <c r="Q45">
        <v>4.3</v>
      </c>
      <c r="R45" t="b">
        <v>1</v>
      </c>
      <c r="S45" t="s">
        <v>28</v>
      </c>
      <c r="T45">
        <v>4511</v>
      </c>
      <c r="U45" t="s">
        <v>29</v>
      </c>
      <c r="V45" t="s">
        <v>52</v>
      </c>
      <c r="W45" t="s">
        <v>53</v>
      </c>
    </row>
    <row r="46" spans="1:23" x14ac:dyDescent="0.3">
      <c r="A46">
        <v>7709</v>
      </c>
      <c r="B46" t="s">
        <v>103</v>
      </c>
      <c r="C46" s="1">
        <v>45020</v>
      </c>
      <c r="D46" s="1">
        <v>45627</v>
      </c>
      <c r="E46">
        <v>11.99</v>
      </c>
      <c r="F46">
        <v>283</v>
      </c>
      <c r="G46" t="s">
        <v>43</v>
      </c>
      <c r="H46">
        <v>5</v>
      </c>
      <c r="I46">
        <v>2</v>
      </c>
      <c r="J46" t="b">
        <v>0</v>
      </c>
      <c r="K46">
        <v>785</v>
      </c>
      <c r="L46">
        <v>1</v>
      </c>
      <c r="M46" t="s">
        <v>59</v>
      </c>
      <c r="N46" t="s">
        <v>40</v>
      </c>
      <c r="O46" t="s">
        <v>34</v>
      </c>
      <c r="P46">
        <v>79</v>
      </c>
      <c r="Q46">
        <v>3.4</v>
      </c>
      <c r="R46" t="b">
        <v>1</v>
      </c>
      <c r="S46" t="s">
        <v>28</v>
      </c>
      <c r="T46">
        <v>583</v>
      </c>
      <c r="U46" t="s">
        <v>65</v>
      </c>
      <c r="V46" t="s">
        <v>36</v>
      </c>
      <c r="W46" t="s">
        <v>37</v>
      </c>
    </row>
    <row r="47" spans="1:23" x14ac:dyDescent="0.3">
      <c r="A47">
        <v>9503</v>
      </c>
      <c r="B47" t="s">
        <v>104</v>
      </c>
      <c r="C47" s="1">
        <v>45393</v>
      </c>
      <c r="D47" s="1">
        <v>45631</v>
      </c>
      <c r="E47">
        <v>11.99</v>
      </c>
      <c r="F47">
        <v>307</v>
      </c>
      <c r="G47" t="s">
        <v>46</v>
      </c>
      <c r="H47">
        <v>5</v>
      </c>
      <c r="I47">
        <v>6</v>
      </c>
      <c r="J47" t="b">
        <v>0</v>
      </c>
      <c r="K47">
        <v>857</v>
      </c>
      <c r="L47">
        <v>9</v>
      </c>
      <c r="M47" t="s">
        <v>74</v>
      </c>
      <c r="N47" t="s">
        <v>64</v>
      </c>
      <c r="O47" t="s">
        <v>27</v>
      </c>
      <c r="P47">
        <v>55</v>
      </c>
      <c r="Q47">
        <v>3.2</v>
      </c>
      <c r="R47" t="b">
        <v>1</v>
      </c>
      <c r="S47" t="s">
        <v>28</v>
      </c>
      <c r="T47">
        <v>3626</v>
      </c>
      <c r="U47" t="s">
        <v>57</v>
      </c>
      <c r="V47" t="s">
        <v>30</v>
      </c>
      <c r="W47" t="s">
        <v>31</v>
      </c>
    </row>
    <row r="48" spans="1:23" x14ac:dyDescent="0.3">
      <c r="A48">
        <v>9564</v>
      </c>
      <c r="B48" t="s">
        <v>105</v>
      </c>
      <c r="C48" s="1">
        <v>45042</v>
      </c>
      <c r="D48" s="1">
        <v>45630</v>
      </c>
      <c r="E48">
        <v>15.99</v>
      </c>
      <c r="F48">
        <v>203</v>
      </c>
      <c r="G48" t="s">
        <v>62</v>
      </c>
      <c r="H48">
        <v>5</v>
      </c>
      <c r="I48">
        <v>1</v>
      </c>
      <c r="J48" t="b">
        <v>0</v>
      </c>
      <c r="K48">
        <v>347</v>
      </c>
      <c r="L48">
        <v>18</v>
      </c>
      <c r="M48" t="s">
        <v>59</v>
      </c>
      <c r="N48" t="s">
        <v>64</v>
      </c>
      <c r="O48" t="s">
        <v>50</v>
      </c>
      <c r="P48">
        <v>8</v>
      </c>
      <c r="Q48">
        <v>4.4000000000000004</v>
      </c>
      <c r="R48" t="b">
        <v>1</v>
      </c>
      <c r="S48" t="s">
        <v>28</v>
      </c>
      <c r="T48">
        <v>476</v>
      </c>
      <c r="U48" t="s">
        <v>57</v>
      </c>
      <c r="V48" t="s">
        <v>60</v>
      </c>
      <c r="W48" t="s">
        <v>75</v>
      </c>
    </row>
    <row r="49" spans="1:23" x14ac:dyDescent="0.3">
      <c r="A49">
        <v>8934</v>
      </c>
      <c r="B49" t="s">
        <v>106</v>
      </c>
      <c r="C49" s="1">
        <v>45010</v>
      </c>
      <c r="D49" s="1">
        <v>45631</v>
      </c>
      <c r="E49">
        <v>7.99</v>
      </c>
      <c r="F49">
        <v>22</v>
      </c>
      <c r="G49" t="s">
        <v>33</v>
      </c>
      <c r="H49">
        <v>4</v>
      </c>
      <c r="I49">
        <v>3</v>
      </c>
      <c r="J49" t="b">
        <v>0</v>
      </c>
      <c r="K49">
        <v>707</v>
      </c>
      <c r="L49">
        <v>156</v>
      </c>
      <c r="M49" t="s">
        <v>39</v>
      </c>
      <c r="N49" t="s">
        <v>64</v>
      </c>
      <c r="O49" t="s">
        <v>50</v>
      </c>
      <c r="P49">
        <v>99</v>
      </c>
      <c r="Q49">
        <v>3.3</v>
      </c>
      <c r="R49" t="b">
        <v>0</v>
      </c>
      <c r="S49" t="s">
        <v>28</v>
      </c>
      <c r="T49">
        <v>4114</v>
      </c>
      <c r="U49" t="s">
        <v>35</v>
      </c>
      <c r="V49" t="s">
        <v>52</v>
      </c>
      <c r="W49" t="s">
        <v>37</v>
      </c>
    </row>
    <row r="50" spans="1:23" x14ac:dyDescent="0.3">
      <c r="A50">
        <v>1222</v>
      </c>
      <c r="B50" t="s">
        <v>107</v>
      </c>
      <c r="C50" s="1">
        <v>45170</v>
      </c>
      <c r="D50" s="1">
        <v>45634</v>
      </c>
      <c r="E50">
        <v>15.99</v>
      </c>
      <c r="F50">
        <v>382</v>
      </c>
      <c r="G50" t="s">
        <v>79</v>
      </c>
      <c r="H50">
        <v>2</v>
      </c>
      <c r="I50">
        <v>2</v>
      </c>
      <c r="J50" t="b">
        <v>0</v>
      </c>
      <c r="K50">
        <v>49</v>
      </c>
      <c r="L50">
        <v>45</v>
      </c>
      <c r="M50" t="s">
        <v>39</v>
      </c>
      <c r="N50" t="s">
        <v>26</v>
      </c>
      <c r="O50" t="s">
        <v>27</v>
      </c>
      <c r="P50">
        <v>63</v>
      </c>
      <c r="Q50">
        <v>4</v>
      </c>
      <c r="R50" t="b">
        <v>1</v>
      </c>
      <c r="S50" t="s">
        <v>28</v>
      </c>
      <c r="T50">
        <v>1581</v>
      </c>
      <c r="U50" t="s">
        <v>51</v>
      </c>
      <c r="V50" t="s">
        <v>30</v>
      </c>
      <c r="W50" t="s">
        <v>53</v>
      </c>
    </row>
    <row r="51" spans="1:23" x14ac:dyDescent="0.3">
      <c r="A51">
        <v>5762</v>
      </c>
      <c r="B51" t="s">
        <v>108</v>
      </c>
      <c r="C51" s="1">
        <v>45379</v>
      </c>
      <c r="D51" s="1">
        <v>45628</v>
      </c>
      <c r="E51">
        <v>11.99</v>
      </c>
      <c r="F51">
        <v>302</v>
      </c>
      <c r="G51" t="s">
        <v>62</v>
      </c>
      <c r="H51">
        <v>5</v>
      </c>
      <c r="I51">
        <v>4</v>
      </c>
      <c r="J51" t="b">
        <v>0</v>
      </c>
      <c r="K51">
        <v>801</v>
      </c>
      <c r="L51">
        <v>141</v>
      </c>
      <c r="M51" t="s">
        <v>74</v>
      </c>
      <c r="N51" t="s">
        <v>40</v>
      </c>
      <c r="O51" t="s">
        <v>41</v>
      </c>
      <c r="P51">
        <v>62</v>
      </c>
      <c r="Q51">
        <v>3.5</v>
      </c>
      <c r="R51" t="b">
        <v>1</v>
      </c>
      <c r="S51" t="s">
        <v>28</v>
      </c>
      <c r="T51">
        <v>1293</v>
      </c>
      <c r="U51" t="s">
        <v>57</v>
      </c>
      <c r="V51" t="s">
        <v>60</v>
      </c>
      <c r="W51" t="s">
        <v>53</v>
      </c>
    </row>
    <row r="52" spans="1:23" x14ac:dyDescent="0.3">
      <c r="A52">
        <v>4066</v>
      </c>
      <c r="B52" t="s">
        <v>102</v>
      </c>
      <c r="C52" s="1">
        <v>45011</v>
      </c>
      <c r="D52" s="1">
        <v>45638</v>
      </c>
      <c r="E52">
        <v>11.99</v>
      </c>
      <c r="F52">
        <v>76</v>
      </c>
      <c r="G52" t="s">
        <v>43</v>
      </c>
      <c r="H52">
        <v>2</v>
      </c>
      <c r="I52">
        <v>3</v>
      </c>
      <c r="J52" t="b">
        <v>0</v>
      </c>
      <c r="K52">
        <v>788</v>
      </c>
      <c r="L52">
        <v>55</v>
      </c>
      <c r="M52" t="s">
        <v>44</v>
      </c>
      <c r="N52" t="s">
        <v>49</v>
      </c>
      <c r="O52" t="s">
        <v>34</v>
      </c>
      <c r="P52">
        <v>50</v>
      </c>
      <c r="Q52">
        <v>4.8</v>
      </c>
      <c r="R52" t="b">
        <v>1</v>
      </c>
      <c r="S52" t="s">
        <v>28</v>
      </c>
      <c r="T52">
        <v>1744</v>
      </c>
      <c r="U52" t="s">
        <v>57</v>
      </c>
      <c r="V52" t="s">
        <v>52</v>
      </c>
      <c r="W52" t="s">
        <v>53</v>
      </c>
    </row>
    <row r="53" spans="1:23" x14ac:dyDescent="0.3">
      <c r="A53">
        <v>6469</v>
      </c>
      <c r="B53" t="s">
        <v>78</v>
      </c>
      <c r="C53" s="1">
        <v>45461</v>
      </c>
      <c r="D53" s="1">
        <v>45620</v>
      </c>
      <c r="E53">
        <v>11.99</v>
      </c>
      <c r="F53">
        <v>125</v>
      </c>
      <c r="G53" t="s">
        <v>46</v>
      </c>
      <c r="H53">
        <v>3</v>
      </c>
      <c r="I53">
        <v>6</v>
      </c>
      <c r="J53" t="b">
        <v>1</v>
      </c>
      <c r="K53">
        <v>853</v>
      </c>
      <c r="L53">
        <v>16</v>
      </c>
      <c r="M53" t="s">
        <v>59</v>
      </c>
      <c r="N53" t="s">
        <v>26</v>
      </c>
      <c r="O53" t="s">
        <v>34</v>
      </c>
      <c r="P53">
        <v>65</v>
      </c>
      <c r="Q53">
        <v>4.8</v>
      </c>
      <c r="R53" t="b">
        <v>1</v>
      </c>
      <c r="S53" t="s">
        <v>28</v>
      </c>
      <c r="T53">
        <v>448</v>
      </c>
      <c r="U53" t="s">
        <v>57</v>
      </c>
      <c r="V53" t="s">
        <v>52</v>
      </c>
      <c r="W53" t="s">
        <v>31</v>
      </c>
    </row>
    <row r="54" spans="1:23" x14ac:dyDescent="0.3">
      <c r="A54">
        <v>1364</v>
      </c>
      <c r="B54" t="s">
        <v>109</v>
      </c>
      <c r="C54" s="1">
        <v>45134</v>
      </c>
      <c r="D54" s="1">
        <v>45628</v>
      </c>
      <c r="E54">
        <v>11.99</v>
      </c>
      <c r="F54">
        <v>113</v>
      </c>
      <c r="G54" t="s">
        <v>55</v>
      </c>
      <c r="H54">
        <v>1</v>
      </c>
      <c r="I54">
        <v>1</v>
      </c>
      <c r="J54" t="b">
        <v>0</v>
      </c>
      <c r="K54">
        <v>970</v>
      </c>
      <c r="L54">
        <v>159</v>
      </c>
      <c r="M54" t="s">
        <v>44</v>
      </c>
      <c r="N54" t="s">
        <v>49</v>
      </c>
      <c r="O54" t="s">
        <v>34</v>
      </c>
      <c r="P54">
        <v>96</v>
      </c>
      <c r="Q54">
        <v>4.9000000000000004</v>
      </c>
      <c r="R54" t="b">
        <v>1</v>
      </c>
      <c r="S54" t="s">
        <v>28</v>
      </c>
      <c r="T54">
        <v>3398</v>
      </c>
      <c r="U54" t="s">
        <v>57</v>
      </c>
      <c r="V54" t="s">
        <v>30</v>
      </c>
      <c r="W54" t="s">
        <v>31</v>
      </c>
    </row>
    <row r="55" spans="1:23" x14ac:dyDescent="0.3">
      <c r="A55">
        <v>4197</v>
      </c>
      <c r="B55" t="s">
        <v>102</v>
      </c>
      <c r="C55" s="1">
        <v>45596</v>
      </c>
      <c r="D55" s="1">
        <v>45639</v>
      </c>
      <c r="E55">
        <v>15.99</v>
      </c>
      <c r="F55">
        <v>183</v>
      </c>
      <c r="G55" t="s">
        <v>79</v>
      </c>
      <c r="H55">
        <v>3</v>
      </c>
      <c r="I55">
        <v>5</v>
      </c>
      <c r="J55" t="b">
        <v>0</v>
      </c>
      <c r="K55">
        <v>490</v>
      </c>
      <c r="L55">
        <v>127</v>
      </c>
      <c r="M55" t="s">
        <v>39</v>
      </c>
      <c r="N55" t="s">
        <v>40</v>
      </c>
      <c r="O55" t="s">
        <v>27</v>
      </c>
      <c r="P55">
        <v>40</v>
      </c>
      <c r="Q55">
        <v>4.5999999999999996</v>
      </c>
      <c r="R55" t="b">
        <v>1</v>
      </c>
      <c r="S55" t="s">
        <v>28</v>
      </c>
      <c r="T55">
        <v>4691</v>
      </c>
      <c r="U55" t="s">
        <v>35</v>
      </c>
      <c r="V55" t="s">
        <v>60</v>
      </c>
      <c r="W55" t="s">
        <v>53</v>
      </c>
    </row>
    <row r="56" spans="1:23" x14ac:dyDescent="0.3">
      <c r="A56">
        <v>9700</v>
      </c>
      <c r="B56" t="s">
        <v>110</v>
      </c>
      <c r="C56" s="1">
        <v>44921</v>
      </c>
      <c r="D56" s="1">
        <v>45626</v>
      </c>
      <c r="E56">
        <v>15.99</v>
      </c>
      <c r="F56">
        <v>272</v>
      </c>
      <c r="G56" t="s">
        <v>46</v>
      </c>
      <c r="H56">
        <v>5</v>
      </c>
      <c r="I56">
        <v>1</v>
      </c>
      <c r="J56" t="b">
        <v>0</v>
      </c>
      <c r="K56">
        <v>201</v>
      </c>
      <c r="L56">
        <v>122</v>
      </c>
      <c r="M56" t="s">
        <v>48</v>
      </c>
      <c r="N56" t="s">
        <v>64</v>
      </c>
      <c r="O56" t="s">
        <v>56</v>
      </c>
      <c r="P56">
        <v>94</v>
      </c>
      <c r="Q56">
        <v>4.5999999999999996</v>
      </c>
      <c r="R56" t="b">
        <v>1</v>
      </c>
      <c r="S56" t="s">
        <v>28</v>
      </c>
      <c r="T56">
        <v>4674</v>
      </c>
      <c r="U56" t="s">
        <v>57</v>
      </c>
      <c r="V56" t="s">
        <v>60</v>
      </c>
      <c r="W56" t="s">
        <v>75</v>
      </c>
    </row>
    <row r="57" spans="1:23" x14ac:dyDescent="0.3">
      <c r="A57">
        <v>5644</v>
      </c>
      <c r="B57" t="s">
        <v>92</v>
      </c>
      <c r="C57" s="1">
        <v>45388</v>
      </c>
      <c r="D57" s="1">
        <v>45629</v>
      </c>
      <c r="E57">
        <v>11.99</v>
      </c>
      <c r="F57">
        <v>19</v>
      </c>
      <c r="G57" t="s">
        <v>62</v>
      </c>
      <c r="H57">
        <v>4</v>
      </c>
      <c r="I57">
        <v>2</v>
      </c>
      <c r="J57" t="b">
        <v>1</v>
      </c>
      <c r="K57">
        <v>741</v>
      </c>
      <c r="L57">
        <v>36</v>
      </c>
      <c r="M57" t="s">
        <v>74</v>
      </c>
      <c r="N57" t="s">
        <v>26</v>
      </c>
      <c r="O57" t="s">
        <v>56</v>
      </c>
      <c r="P57">
        <v>13</v>
      </c>
      <c r="Q57">
        <v>4.4000000000000004</v>
      </c>
      <c r="R57" t="b">
        <v>0</v>
      </c>
      <c r="S57" t="s">
        <v>28</v>
      </c>
      <c r="T57">
        <v>3641</v>
      </c>
      <c r="U57" t="s">
        <v>65</v>
      </c>
      <c r="V57" t="s">
        <v>52</v>
      </c>
      <c r="W57" t="s">
        <v>75</v>
      </c>
    </row>
    <row r="58" spans="1:23" x14ac:dyDescent="0.3">
      <c r="A58">
        <v>5420</v>
      </c>
      <c r="B58" t="s">
        <v>111</v>
      </c>
      <c r="C58" s="1">
        <v>44926</v>
      </c>
      <c r="D58" s="1">
        <v>45627</v>
      </c>
      <c r="E58">
        <v>11.99</v>
      </c>
      <c r="F58">
        <v>204</v>
      </c>
      <c r="G58" t="s">
        <v>33</v>
      </c>
      <c r="H58">
        <v>4</v>
      </c>
      <c r="I58">
        <v>6</v>
      </c>
      <c r="J58" t="b">
        <v>0</v>
      </c>
      <c r="K58">
        <v>928</v>
      </c>
      <c r="L58">
        <v>30</v>
      </c>
      <c r="M58" t="s">
        <v>48</v>
      </c>
      <c r="N58" t="s">
        <v>49</v>
      </c>
      <c r="O58" t="s">
        <v>41</v>
      </c>
      <c r="P58">
        <v>58</v>
      </c>
      <c r="Q58">
        <v>4.4000000000000004</v>
      </c>
      <c r="R58" t="b">
        <v>0</v>
      </c>
      <c r="S58" t="s">
        <v>28</v>
      </c>
      <c r="T58">
        <v>1765</v>
      </c>
      <c r="U58" t="s">
        <v>29</v>
      </c>
      <c r="V58" t="s">
        <v>60</v>
      </c>
      <c r="W58" t="s">
        <v>31</v>
      </c>
    </row>
    <row r="59" spans="1:23" x14ac:dyDescent="0.3">
      <c r="A59">
        <v>7560</v>
      </c>
      <c r="B59" t="s">
        <v>112</v>
      </c>
      <c r="C59" s="1">
        <v>44919</v>
      </c>
      <c r="D59" s="1">
        <v>45629</v>
      </c>
      <c r="E59">
        <v>7.99</v>
      </c>
      <c r="F59">
        <v>345</v>
      </c>
      <c r="G59" t="s">
        <v>55</v>
      </c>
      <c r="H59">
        <v>3</v>
      </c>
      <c r="I59">
        <v>3</v>
      </c>
      <c r="J59" t="b">
        <v>0</v>
      </c>
      <c r="K59">
        <v>80</v>
      </c>
      <c r="L59">
        <v>100</v>
      </c>
      <c r="M59" t="s">
        <v>25</v>
      </c>
      <c r="N59" t="s">
        <v>49</v>
      </c>
      <c r="O59" t="s">
        <v>27</v>
      </c>
      <c r="P59">
        <v>40</v>
      </c>
      <c r="Q59">
        <v>4.9000000000000004</v>
      </c>
      <c r="R59" t="b">
        <v>1</v>
      </c>
      <c r="S59" t="s">
        <v>28</v>
      </c>
      <c r="T59">
        <v>3462</v>
      </c>
      <c r="U59" t="s">
        <v>29</v>
      </c>
      <c r="V59" t="s">
        <v>68</v>
      </c>
      <c r="W59" t="s">
        <v>53</v>
      </c>
    </row>
    <row r="60" spans="1:23" x14ac:dyDescent="0.3">
      <c r="A60">
        <v>9644</v>
      </c>
      <c r="B60" t="s">
        <v>82</v>
      </c>
      <c r="C60" s="1">
        <v>45543</v>
      </c>
      <c r="D60" s="1">
        <v>45621</v>
      </c>
      <c r="E60">
        <v>7.99</v>
      </c>
      <c r="F60">
        <v>294</v>
      </c>
      <c r="G60" t="s">
        <v>62</v>
      </c>
      <c r="H60">
        <v>4</v>
      </c>
      <c r="I60">
        <v>1</v>
      </c>
      <c r="J60" t="b">
        <v>1</v>
      </c>
      <c r="K60">
        <v>453</v>
      </c>
      <c r="L60">
        <v>149</v>
      </c>
      <c r="M60" t="s">
        <v>74</v>
      </c>
      <c r="N60" t="s">
        <v>26</v>
      </c>
      <c r="O60" t="s">
        <v>27</v>
      </c>
      <c r="P60">
        <v>82</v>
      </c>
      <c r="Q60">
        <v>3.9</v>
      </c>
      <c r="R60" t="b">
        <v>1</v>
      </c>
      <c r="S60" t="s">
        <v>28</v>
      </c>
      <c r="T60">
        <v>790</v>
      </c>
      <c r="U60" t="s">
        <v>35</v>
      </c>
      <c r="V60" t="s">
        <v>52</v>
      </c>
      <c r="W60" t="s">
        <v>53</v>
      </c>
    </row>
    <row r="61" spans="1:23" x14ac:dyDescent="0.3">
      <c r="A61">
        <v>7239</v>
      </c>
      <c r="B61" t="s">
        <v>113</v>
      </c>
      <c r="C61" s="1">
        <v>45279</v>
      </c>
      <c r="D61" s="1">
        <v>45625</v>
      </c>
      <c r="E61">
        <v>15.99</v>
      </c>
      <c r="F61">
        <v>318</v>
      </c>
      <c r="G61" t="s">
        <v>24</v>
      </c>
      <c r="H61">
        <v>3</v>
      </c>
      <c r="I61">
        <v>2</v>
      </c>
      <c r="J61" t="b">
        <v>1</v>
      </c>
      <c r="K61">
        <v>943</v>
      </c>
      <c r="L61">
        <v>116</v>
      </c>
      <c r="M61" t="s">
        <v>39</v>
      </c>
      <c r="N61" t="s">
        <v>26</v>
      </c>
      <c r="O61" t="s">
        <v>27</v>
      </c>
      <c r="P61">
        <v>22</v>
      </c>
      <c r="Q61">
        <v>4.0999999999999996</v>
      </c>
      <c r="R61" t="b">
        <v>0</v>
      </c>
      <c r="S61" t="s">
        <v>28</v>
      </c>
      <c r="T61">
        <v>4732</v>
      </c>
      <c r="U61" t="s">
        <v>57</v>
      </c>
      <c r="V61" t="s">
        <v>36</v>
      </c>
      <c r="W61" t="s">
        <v>75</v>
      </c>
    </row>
    <row r="62" spans="1:23" x14ac:dyDescent="0.3">
      <c r="A62">
        <v>6415</v>
      </c>
      <c r="B62" t="s">
        <v>114</v>
      </c>
      <c r="C62" s="1">
        <v>45211</v>
      </c>
      <c r="D62" s="1">
        <v>45615</v>
      </c>
      <c r="E62">
        <v>11.99</v>
      </c>
      <c r="F62">
        <v>396</v>
      </c>
      <c r="G62" t="s">
        <v>24</v>
      </c>
      <c r="H62">
        <v>1</v>
      </c>
      <c r="I62">
        <v>2</v>
      </c>
      <c r="J62" t="b">
        <v>0</v>
      </c>
      <c r="K62">
        <v>348</v>
      </c>
      <c r="L62">
        <v>172</v>
      </c>
      <c r="M62" t="s">
        <v>44</v>
      </c>
      <c r="N62" t="s">
        <v>64</v>
      </c>
      <c r="O62" t="s">
        <v>27</v>
      </c>
      <c r="P62">
        <v>61</v>
      </c>
      <c r="Q62">
        <v>3.9</v>
      </c>
      <c r="R62" t="b">
        <v>0</v>
      </c>
      <c r="S62" t="s">
        <v>28</v>
      </c>
      <c r="T62">
        <v>4599</v>
      </c>
      <c r="U62" t="s">
        <v>29</v>
      </c>
      <c r="V62" t="s">
        <v>30</v>
      </c>
      <c r="W62" t="s">
        <v>75</v>
      </c>
    </row>
    <row r="63" spans="1:23" x14ac:dyDescent="0.3">
      <c r="A63">
        <v>9020</v>
      </c>
      <c r="B63" t="s">
        <v>115</v>
      </c>
      <c r="C63" s="1">
        <v>44960</v>
      </c>
      <c r="D63" s="1">
        <v>45629</v>
      </c>
      <c r="E63">
        <v>11.99</v>
      </c>
      <c r="F63">
        <v>455</v>
      </c>
      <c r="G63" t="s">
        <v>55</v>
      </c>
      <c r="H63">
        <v>5</v>
      </c>
      <c r="I63">
        <v>3</v>
      </c>
      <c r="J63" t="b">
        <v>1</v>
      </c>
      <c r="K63">
        <v>112</v>
      </c>
      <c r="L63">
        <v>158</v>
      </c>
      <c r="M63" t="s">
        <v>48</v>
      </c>
      <c r="N63" t="s">
        <v>49</v>
      </c>
      <c r="O63" t="s">
        <v>34</v>
      </c>
      <c r="P63">
        <v>15</v>
      </c>
      <c r="Q63">
        <v>3.9</v>
      </c>
      <c r="R63" t="b">
        <v>1</v>
      </c>
      <c r="S63" t="s">
        <v>28</v>
      </c>
      <c r="T63">
        <v>965</v>
      </c>
      <c r="U63" t="s">
        <v>51</v>
      </c>
      <c r="V63" t="s">
        <v>36</v>
      </c>
      <c r="W63" t="s">
        <v>53</v>
      </c>
    </row>
    <row r="64" spans="1:23" x14ac:dyDescent="0.3">
      <c r="A64">
        <v>2324</v>
      </c>
      <c r="B64" t="s">
        <v>116</v>
      </c>
      <c r="C64" s="1">
        <v>45620</v>
      </c>
      <c r="D64" s="1">
        <v>45637</v>
      </c>
      <c r="E64">
        <v>7.99</v>
      </c>
      <c r="F64">
        <v>175</v>
      </c>
      <c r="G64" t="s">
        <v>62</v>
      </c>
      <c r="H64">
        <v>5</v>
      </c>
      <c r="I64">
        <v>6</v>
      </c>
      <c r="J64" t="b">
        <v>1</v>
      </c>
      <c r="K64">
        <v>606</v>
      </c>
      <c r="L64">
        <v>195</v>
      </c>
      <c r="M64" t="s">
        <v>25</v>
      </c>
      <c r="N64" t="s">
        <v>49</v>
      </c>
      <c r="O64" t="s">
        <v>56</v>
      </c>
      <c r="P64">
        <v>95</v>
      </c>
      <c r="Q64">
        <v>4</v>
      </c>
      <c r="R64" t="b">
        <v>0</v>
      </c>
      <c r="S64" t="s">
        <v>28</v>
      </c>
      <c r="T64">
        <v>1155</v>
      </c>
      <c r="U64" t="s">
        <v>65</v>
      </c>
      <c r="V64" t="s">
        <v>30</v>
      </c>
      <c r="W64" t="s">
        <v>31</v>
      </c>
    </row>
    <row r="65" spans="1:23" x14ac:dyDescent="0.3">
      <c r="A65">
        <v>1354</v>
      </c>
      <c r="B65" t="s">
        <v>117</v>
      </c>
      <c r="C65" s="1">
        <v>45101</v>
      </c>
      <c r="D65" s="1">
        <v>45633</v>
      </c>
      <c r="E65">
        <v>7.99</v>
      </c>
      <c r="F65">
        <v>36</v>
      </c>
      <c r="G65" t="s">
        <v>43</v>
      </c>
      <c r="H65">
        <v>1</v>
      </c>
      <c r="I65">
        <v>6</v>
      </c>
      <c r="J65" t="b">
        <v>0</v>
      </c>
      <c r="K65">
        <v>214</v>
      </c>
      <c r="L65">
        <v>114</v>
      </c>
      <c r="M65" t="s">
        <v>48</v>
      </c>
      <c r="N65" t="s">
        <v>26</v>
      </c>
      <c r="O65" t="s">
        <v>50</v>
      </c>
      <c r="P65">
        <v>39</v>
      </c>
      <c r="Q65">
        <v>4.9000000000000004</v>
      </c>
      <c r="R65" t="b">
        <v>0</v>
      </c>
      <c r="S65" t="s">
        <v>28</v>
      </c>
      <c r="T65">
        <v>1110</v>
      </c>
      <c r="U65" t="s">
        <v>65</v>
      </c>
      <c r="V65" t="s">
        <v>52</v>
      </c>
      <c r="W65" t="s">
        <v>75</v>
      </c>
    </row>
    <row r="66" spans="1:23" x14ac:dyDescent="0.3">
      <c r="A66">
        <v>4019</v>
      </c>
      <c r="B66" t="s">
        <v>118</v>
      </c>
      <c r="C66" s="1">
        <v>45289</v>
      </c>
      <c r="D66" s="1">
        <v>45632</v>
      </c>
      <c r="E66">
        <v>15.99</v>
      </c>
      <c r="F66">
        <v>349</v>
      </c>
      <c r="G66" t="s">
        <v>46</v>
      </c>
      <c r="H66">
        <v>1</v>
      </c>
      <c r="I66">
        <v>6</v>
      </c>
      <c r="J66" t="b">
        <v>1</v>
      </c>
      <c r="K66">
        <v>334</v>
      </c>
      <c r="L66">
        <v>76</v>
      </c>
      <c r="M66" t="s">
        <v>39</v>
      </c>
      <c r="N66" t="s">
        <v>49</v>
      </c>
      <c r="O66" t="s">
        <v>41</v>
      </c>
      <c r="P66">
        <v>32</v>
      </c>
      <c r="Q66">
        <v>3.3</v>
      </c>
      <c r="R66" t="b">
        <v>0</v>
      </c>
      <c r="S66" t="s">
        <v>28</v>
      </c>
      <c r="T66">
        <v>1911</v>
      </c>
      <c r="U66" t="s">
        <v>51</v>
      </c>
      <c r="V66" t="s">
        <v>68</v>
      </c>
      <c r="W66" t="s">
        <v>75</v>
      </c>
    </row>
    <row r="67" spans="1:23" x14ac:dyDescent="0.3">
      <c r="A67">
        <v>6178</v>
      </c>
      <c r="B67" t="s">
        <v>119</v>
      </c>
      <c r="C67" s="1">
        <v>44986</v>
      </c>
      <c r="D67" s="1">
        <v>45635</v>
      </c>
      <c r="E67">
        <v>11.99</v>
      </c>
      <c r="F67">
        <v>262</v>
      </c>
      <c r="G67" t="s">
        <v>46</v>
      </c>
      <c r="H67">
        <v>5</v>
      </c>
      <c r="I67">
        <v>5</v>
      </c>
      <c r="J67" t="b">
        <v>1</v>
      </c>
      <c r="K67">
        <v>849</v>
      </c>
      <c r="L67">
        <v>68</v>
      </c>
      <c r="M67" t="s">
        <v>48</v>
      </c>
      <c r="N67" t="s">
        <v>49</v>
      </c>
      <c r="O67" t="s">
        <v>67</v>
      </c>
      <c r="P67">
        <v>24</v>
      </c>
      <c r="Q67">
        <v>3</v>
      </c>
      <c r="R67" t="b">
        <v>0</v>
      </c>
      <c r="S67" t="s">
        <v>28</v>
      </c>
      <c r="T67">
        <v>1721</v>
      </c>
      <c r="U67" t="s">
        <v>29</v>
      </c>
      <c r="V67" t="s">
        <v>52</v>
      </c>
      <c r="W67" t="s">
        <v>53</v>
      </c>
    </row>
    <row r="68" spans="1:23" x14ac:dyDescent="0.3">
      <c r="A68">
        <v>8673</v>
      </c>
      <c r="B68" t="s">
        <v>97</v>
      </c>
      <c r="C68" s="1">
        <v>45289</v>
      </c>
      <c r="D68" s="1">
        <v>45637</v>
      </c>
      <c r="E68">
        <v>7.99</v>
      </c>
      <c r="F68">
        <v>378</v>
      </c>
      <c r="G68" t="s">
        <v>24</v>
      </c>
      <c r="H68">
        <v>2</v>
      </c>
      <c r="I68">
        <v>3</v>
      </c>
      <c r="J68" t="b">
        <v>0</v>
      </c>
      <c r="K68">
        <v>155</v>
      </c>
      <c r="L68">
        <v>69</v>
      </c>
      <c r="M68" t="s">
        <v>44</v>
      </c>
      <c r="N68" t="s">
        <v>40</v>
      </c>
      <c r="O68" t="s">
        <v>50</v>
      </c>
      <c r="P68">
        <v>11</v>
      </c>
      <c r="Q68">
        <v>3.3</v>
      </c>
      <c r="R68" t="b">
        <v>0</v>
      </c>
      <c r="S68" t="s">
        <v>28</v>
      </c>
      <c r="T68">
        <v>353</v>
      </c>
      <c r="U68" t="s">
        <v>51</v>
      </c>
      <c r="V68" t="s">
        <v>68</v>
      </c>
      <c r="W68" t="s">
        <v>53</v>
      </c>
    </row>
    <row r="69" spans="1:23" x14ac:dyDescent="0.3">
      <c r="A69">
        <v>8250</v>
      </c>
      <c r="B69" t="s">
        <v>120</v>
      </c>
      <c r="C69" s="1">
        <v>45366</v>
      </c>
      <c r="D69" s="1">
        <v>45625</v>
      </c>
      <c r="E69">
        <v>15.99</v>
      </c>
      <c r="F69">
        <v>469</v>
      </c>
      <c r="G69" t="s">
        <v>46</v>
      </c>
      <c r="H69">
        <v>3</v>
      </c>
      <c r="I69">
        <v>5</v>
      </c>
      <c r="J69" t="b">
        <v>1</v>
      </c>
      <c r="K69">
        <v>406</v>
      </c>
      <c r="L69">
        <v>71</v>
      </c>
      <c r="M69" t="s">
        <v>59</v>
      </c>
      <c r="N69" t="s">
        <v>64</v>
      </c>
      <c r="O69" t="s">
        <v>67</v>
      </c>
      <c r="P69">
        <v>88</v>
      </c>
      <c r="Q69">
        <v>4.8</v>
      </c>
      <c r="R69" t="b">
        <v>1</v>
      </c>
      <c r="S69" t="s">
        <v>28</v>
      </c>
      <c r="T69">
        <v>423</v>
      </c>
      <c r="U69" t="s">
        <v>65</v>
      </c>
      <c r="V69" t="s">
        <v>30</v>
      </c>
      <c r="W69" t="s">
        <v>75</v>
      </c>
    </row>
    <row r="70" spans="1:23" x14ac:dyDescent="0.3">
      <c r="A70">
        <v>1609</v>
      </c>
      <c r="B70" t="s">
        <v>121</v>
      </c>
      <c r="C70" s="1">
        <v>45029</v>
      </c>
      <c r="D70" s="1">
        <v>45643</v>
      </c>
      <c r="E70">
        <v>7.99</v>
      </c>
      <c r="F70">
        <v>87</v>
      </c>
      <c r="G70" t="s">
        <v>55</v>
      </c>
      <c r="H70">
        <v>4</v>
      </c>
      <c r="I70">
        <v>4</v>
      </c>
      <c r="J70" t="b">
        <v>0</v>
      </c>
      <c r="K70">
        <v>571</v>
      </c>
      <c r="L70">
        <v>54</v>
      </c>
      <c r="M70" t="s">
        <v>39</v>
      </c>
      <c r="N70" t="s">
        <v>49</v>
      </c>
      <c r="O70" t="s">
        <v>34</v>
      </c>
      <c r="P70">
        <v>57</v>
      </c>
      <c r="Q70">
        <v>4.2</v>
      </c>
      <c r="R70" t="b">
        <v>0</v>
      </c>
      <c r="S70" t="s">
        <v>28</v>
      </c>
      <c r="T70">
        <v>344</v>
      </c>
      <c r="U70" t="s">
        <v>51</v>
      </c>
      <c r="V70" t="s">
        <v>68</v>
      </c>
      <c r="W70" t="s">
        <v>53</v>
      </c>
    </row>
    <row r="71" spans="1:23" x14ac:dyDescent="0.3">
      <c r="A71">
        <v>3806</v>
      </c>
      <c r="B71" t="s">
        <v>122</v>
      </c>
      <c r="C71" s="1">
        <v>44976</v>
      </c>
      <c r="D71" s="1">
        <v>45638</v>
      </c>
      <c r="E71">
        <v>15.99</v>
      </c>
      <c r="F71">
        <v>471</v>
      </c>
      <c r="G71" t="s">
        <v>46</v>
      </c>
      <c r="H71">
        <v>3</v>
      </c>
      <c r="I71">
        <v>6</v>
      </c>
      <c r="J71" t="b">
        <v>1</v>
      </c>
      <c r="K71">
        <v>56</v>
      </c>
      <c r="L71">
        <v>69</v>
      </c>
      <c r="M71" t="s">
        <v>39</v>
      </c>
      <c r="N71" t="s">
        <v>26</v>
      </c>
      <c r="O71" t="s">
        <v>41</v>
      </c>
      <c r="P71">
        <v>44</v>
      </c>
      <c r="Q71">
        <v>3.6</v>
      </c>
      <c r="R71" t="b">
        <v>1</v>
      </c>
      <c r="S71" t="s">
        <v>28</v>
      </c>
      <c r="T71">
        <v>4117</v>
      </c>
      <c r="U71" t="s">
        <v>65</v>
      </c>
      <c r="V71" t="s">
        <v>68</v>
      </c>
      <c r="W71" t="s">
        <v>53</v>
      </c>
    </row>
    <row r="72" spans="1:23" x14ac:dyDescent="0.3">
      <c r="A72">
        <v>7973</v>
      </c>
      <c r="B72" t="s">
        <v>123</v>
      </c>
      <c r="C72" s="1">
        <v>45566</v>
      </c>
      <c r="D72" s="1">
        <v>45629</v>
      </c>
      <c r="E72">
        <v>7.99</v>
      </c>
      <c r="F72">
        <v>469</v>
      </c>
      <c r="G72" t="s">
        <v>79</v>
      </c>
      <c r="H72">
        <v>5</v>
      </c>
      <c r="I72">
        <v>2</v>
      </c>
      <c r="J72" t="b">
        <v>1</v>
      </c>
      <c r="K72">
        <v>748</v>
      </c>
      <c r="L72">
        <v>147</v>
      </c>
      <c r="M72" t="s">
        <v>74</v>
      </c>
      <c r="N72" t="s">
        <v>64</v>
      </c>
      <c r="O72" t="s">
        <v>27</v>
      </c>
      <c r="P72">
        <v>33</v>
      </c>
      <c r="Q72">
        <v>4.5999999999999996</v>
      </c>
      <c r="R72" t="b">
        <v>1</v>
      </c>
      <c r="S72" t="s">
        <v>28</v>
      </c>
      <c r="T72">
        <v>3983</v>
      </c>
      <c r="U72" t="s">
        <v>51</v>
      </c>
      <c r="V72" t="s">
        <v>68</v>
      </c>
      <c r="W72" t="s">
        <v>37</v>
      </c>
    </row>
    <row r="73" spans="1:23" x14ac:dyDescent="0.3">
      <c r="A73">
        <v>7948</v>
      </c>
      <c r="B73" t="s">
        <v>124</v>
      </c>
      <c r="C73" s="1">
        <v>45256</v>
      </c>
      <c r="D73" s="1">
        <v>45619</v>
      </c>
      <c r="E73">
        <v>15.99</v>
      </c>
      <c r="F73">
        <v>298</v>
      </c>
      <c r="G73" t="s">
        <v>43</v>
      </c>
      <c r="H73">
        <v>4</v>
      </c>
      <c r="I73">
        <v>1</v>
      </c>
      <c r="J73" t="b">
        <v>0</v>
      </c>
      <c r="K73">
        <v>603</v>
      </c>
      <c r="L73">
        <v>161</v>
      </c>
      <c r="M73" t="s">
        <v>63</v>
      </c>
      <c r="N73" t="s">
        <v>26</v>
      </c>
      <c r="O73" t="s">
        <v>50</v>
      </c>
      <c r="P73">
        <v>68</v>
      </c>
      <c r="Q73">
        <v>4.4000000000000004</v>
      </c>
      <c r="R73" t="b">
        <v>0</v>
      </c>
      <c r="S73" t="s">
        <v>28</v>
      </c>
      <c r="T73">
        <v>3941</v>
      </c>
      <c r="U73" t="s">
        <v>57</v>
      </c>
      <c r="V73" t="s">
        <v>30</v>
      </c>
      <c r="W73" t="s">
        <v>75</v>
      </c>
    </row>
    <row r="74" spans="1:23" x14ac:dyDescent="0.3">
      <c r="A74">
        <v>3195</v>
      </c>
      <c r="B74" t="s">
        <v>125</v>
      </c>
      <c r="C74" s="1">
        <v>45212</v>
      </c>
      <c r="D74" s="1">
        <v>45643</v>
      </c>
      <c r="E74">
        <v>11.99</v>
      </c>
      <c r="F74">
        <v>331</v>
      </c>
      <c r="G74" t="s">
        <v>24</v>
      </c>
      <c r="H74">
        <v>5</v>
      </c>
      <c r="I74">
        <v>5</v>
      </c>
      <c r="J74" t="b">
        <v>0</v>
      </c>
      <c r="K74">
        <v>990</v>
      </c>
      <c r="L74">
        <v>72</v>
      </c>
      <c r="M74" t="s">
        <v>63</v>
      </c>
      <c r="N74" t="s">
        <v>40</v>
      </c>
      <c r="O74" t="s">
        <v>50</v>
      </c>
      <c r="P74">
        <v>80</v>
      </c>
      <c r="Q74">
        <v>3.7</v>
      </c>
      <c r="R74" t="b">
        <v>0</v>
      </c>
      <c r="S74" t="s">
        <v>28</v>
      </c>
      <c r="T74">
        <v>3085</v>
      </c>
      <c r="U74" t="s">
        <v>29</v>
      </c>
      <c r="V74" t="s">
        <v>30</v>
      </c>
      <c r="W74" t="s">
        <v>53</v>
      </c>
    </row>
    <row r="75" spans="1:23" x14ac:dyDescent="0.3">
      <c r="A75">
        <v>6285</v>
      </c>
      <c r="B75" t="s">
        <v>126</v>
      </c>
      <c r="C75" s="1">
        <v>45138</v>
      </c>
      <c r="D75" s="1">
        <v>45626</v>
      </c>
      <c r="E75">
        <v>11.99</v>
      </c>
      <c r="F75">
        <v>238</v>
      </c>
      <c r="G75" t="s">
        <v>46</v>
      </c>
      <c r="H75">
        <v>3</v>
      </c>
      <c r="I75">
        <v>6</v>
      </c>
      <c r="J75" t="b">
        <v>1</v>
      </c>
      <c r="K75">
        <v>831</v>
      </c>
      <c r="L75">
        <v>101</v>
      </c>
      <c r="M75" t="s">
        <v>25</v>
      </c>
      <c r="N75" t="s">
        <v>26</v>
      </c>
      <c r="O75" t="s">
        <v>34</v>
      </c>
      <c r="P75">
        <v>94</v>
      </c>
      <c r="Q75">
        <v>4.4000000000000004</v>
      </c>
      <c r="R75" t="b">
        <v>1</v>
      </c>
      <c r="S75" t="s">
        <v>28</v>
      </c>
      <c r="T75">
        <v>48</v>
      </c>
      <c r="U75" t="s">
        <v>51</v>
      </c>
      <c r="V75" t="s">
        <v>30</v>
      </c>
      <c r="W75" t="s">
        <v>37</v>
      </c>
    </row>
    <row r="76" spans="1:23" x14ac:dyDescent="0.3">
      <c r="A76">
        <v>4303</v>
      </c>
      <c r="B76" t="s">
        <v>121</v>
      </c>
      <c r="C76" s="1">
        <v>45175</v>
      </c>
      <c r="D76" s="1">
        <v>45643</v>
      </c>
      <c r="E76">
        <v>7.99</v>
      </c>
      <c r="F76">
        <v>231</v>
      </c>
      <c r="G76" t="s">
        <v>62</v>
      </c>
      <c r="H76">
        <v>1</v>
      </c>
      <c r="I76">
        <v>4</v>
      </c>
      <c r="J76" t="b">
        <v>0</v>
      </c>
      <c r="K76">
        <v>420</v>
      </c>
      <c r="L76">
        <v>85</v>
      </c>
      <c r="M76" t="s">
        <v>63</v>
      </c>
      <c r="N76" t="s">
        <v>64</v>
      </c>
      <c r="O76" t="s">
        <v>41</v>
      </c>
      <c r="P76">
        <v>30</v>
      </c>
      <c r="Q76">
        <v>3.5</v>
      </c>
      <c r="R76" t="b">
        <v>0</v>
      </c>
      <c r="S76" t="s">
        <v>28</v>
      </c>
      <c r="T76">
        <v>1520</v>
      </c>
      <c r="U76" t="s">
        <v>51</v>
      </c>
      <c r="V76" t="s">
        <v>68</v>
      </c>
      <c r="W76" t="s">
        <v>37</v>
      </c>
    </row>
    <row r="77" spans="1:23" x14ac:dyDescent="0.3">
      <c r="A77">
        <v>7751</v>
      </c>
      <c r="B77" t="s">
        <v>127</v>
      </c>
      <c r="C77" s="1">
        <v>45481</v>
      </c>
      <c r="D77" s="1">
        <v>45619</v>
      </c>
      <c r="E77">
        <v>11.99</v>
      </c>
      <c r="F77">
        <v>457</v>
      </c>
      <c r="G77" t="s">
        <v>43</v>
      </c>
      <c r="H77">
        <v>2</v>
      </c>
      <c r="I77">
        <v>5</v>
      </c>
      <c r="J77" t="b">
        <v>1</v>
      </c>
      <c r="K77">
        <v>754</v>
      </c>
      <c r="L77">
        <v>98</v>
      </c>
      <c r="M77" t="s">
        <v>39</v>
      </c>
      <c r="N77" t="s">
        <v>26</v>
      </c>
      <c r="O77" t="s">
        <v>41</v>
      </c>
      <c r="P77">
        <v>53</v>
      </c>
      <c r="Q77">
        <v>3.6</v>
      </c>
      <c r="R77" t="b">
        <v>1</v>
      </c>
      <c r="S77" t="s">
        <v>28</v>
      </c>
      <c r="T77">
        <v>935</v>
      </c>
      <c r="U77" t="s">
        <v>29</v>
      </c>
      <c r="V77" t="s">
        <v>68</v>
      </c>
      <c r="W77" t="s">
        <v>37</v>
      </c>
    </row>
    <row r="78" spans="1:23" x14ac:dyDescent="0.3">
      <c r="A78">
        <v>7813</v>
      </c>
      <c r="B78" t="s">
        <v>128</v>
      </c>
      <c r="C78" s="1">
        <v>45493</v>
      </c>
      <c r="D78" s="1">
        <v>45617</v>
      </c>
      <c r="E78">
        <v>15.99</v>
      </c>
      <c r="F78">
        <v>373</v>
      </c>
      <c r="G78" t="s">
        <v>33</v>
      </c>
      <c r="H78">
        <v>4</v>
      </c>
      <c r="I78">
        <v>4</v>
      </c>
      <c r="J78" t="b">
        <v>1</v>
      </c>
      <c r="K78">
        <v>782</v>
      </c>
      <c r="L78">
        <v>7</v>
      </c>
      <c r="M78" t="s">
        <v>48</v>
      </c>
      <c r="N78" t="s">
        <v>64</v>
      </c>
      <c r="O78" t="s">
        <v>50</v>
      </c>
      <c r="P78">
        <v>18</v>
      </c>
      <c r="Q78">
        <v>3.2</v>
      </c>
      <c r="R78" t="b">
        <v>1</v>
      </c>
      <c r="S78" t="s">
        <v>28</v>
      </c>
      <c r="T78">
        <v>4641</v>
      </c>
      <c r="U78" t="s">
        <v>51</v>
      </c>
      <c r="V78" t="s">
        <v>68</v>
      </c>
      <c r="W78" t="s">
        <v>37</v>
      </c>
    </row>
    <row r="79" spans="1:23" x14ac:dyDescent="0.3">
      <c r="A79">
        <v>9028</v>
      </c>
      <c r="B79" t="s">
        <v>129</v>
      </c>
      <c r="C79" s="1">
        <v>45266</v>
      </c>
      <c r="D79" s="1">
        <v>45624</v>
      </c>
      <c r="E79">
        <v>15.99</v>
      </c>
      <c r="F79">
        <v>11</v>
      </c>
      <c r="G79" t="s">
        <v>24</v>
      </c>
      <c r="H79">
        <v>1</v>
      </c>
      <c r="I79">
        <v>4</v>
      </c>
      <c r="J79" t="b">
        <v>0</v>
      </c>
      <c r="K79">
        <v>557</v>
      </c>
      <c r="L79">
        <v>165</v>
      </c>
      <c r="M79" t="s">
        <v>25</v>
      </c>
      <c r="N79" t="s">
        <v>26</v>
      </c>
      <c r="O79" t="s">
        <v>67</v>
      </c>
      <c r="P79">
        <v>11</v>
      </c>
      <c r="Q79">
        <v>4</v>
      </c>
      <c r="R79" t="b">
        <v>1</v>
      </c>
      <c r="S79" t="s">
        <v>28</v>
      </c>
      <c r="T79">
        <v>2941</v>
      </c>
      <c r="U79" t="s">
        <v>29</v>
      </c>
      <c r="V79" t="s">
        <v>36</v>
      </c>
      <c r="W79" t="s">
        <v>31</v>
      </c>
    </row>
    <row r="80" spans="1:23" x14ac:dyDescent="0.3">
      <c r="A80">
        <v>6109</v>
      </c>
      <c r="B80" t="s">
        <v>130</v>
      </c>
      <c r="C80" s="1">
        <v>45224</v>
      </c>
      <c r="D80" s="1">
        <v>45632</v>
      </c>
      <c r="E80">
        <v>15.99</v>
      </c>
      <c r="F80">
        <v>425</v>
      </c>
      <c r="G80" t="s">
        <v>79</v>
      </c>
      <c r="H80">
        <v>2</v>
      </c>
      <c r="I80">
        <v>2</v>
      </c>
      <c r="J80" t="b">
        <v>1</v>
      </c>
      <c r="K80">
        <v>552</v>
      </c>
      <c r="L80">
        <v>27</v>
      </c>
      <c r="M80" t="s">
        <v>63</v>
      </c>
      <c r="N80" t="s">
        <v>64</v>
      </c>
      <c r="O80" t="s">
        <v>56</v>
      </c>
      <c r="P80">
        <v>36</v>
      </c>
      <c r="Q80">
        <v>4</v>
      </c>
      <c r="R80" t="b">
        <v>1</v>
      </c>
      <c r="S80" t="s">
        <v>28</v>
      </c>
      <c r="T80">
        <v>1325</v>
      </c>
      <c r="U80" t="s">
        <v>65</v>
      </c>
      <c r="V80" t="s">
        <v>52</v>
      </c>
      <c r="W80" t="s">
        <v>31</v>
      </c>
    </row>
    <row r="81" spans="1:23" x14ac:dyDescent="0.3">
      <c r="A81">
        <v>2565</v>
      </c>
      <c r="B81" t="s">
        <v>131</v>
      </c>
      <c r="C81" s="1">
        <v>45550</v>
      </c>
      <c r="D81" s="1">
        <v>45644</v>
      </c>
      <c r="E81">
        <v>7.99</v>
      </c>
      <c r="F81">
        <v>231</v>
      </c>
      <c r="G81" t="s">
        <v>62</v>
      </c>
      <c r="H81">
        <v>5</v>
      </c>
      <c r="I81">
        <v>4</v>
      </c>
      <c r="J81" t="b">
        <v>1</v>
      </c>
      <c r="K81">
        <v>356</v>
      </c>
      <c r="L81">
        <v>81</v>
      </c>
      <c r="M81" t="s">
        <v>59</v>
      </c>
      <c r="N81" t="s">
        <v>49</v>
      </c>
      <c r="O81" t="s">
        <v>67</v>
      </c>
      <c r="P81">
        <v>73</v>
      </c>
      <c r="Q81">
        <v>3.4</v>
      </c>
      <c r="R81" t="b">
        <v>0</v>
      </c>
      <c r="S81" t="s">
        <v>28</v>
      </c>
      <c r="T81">
        <v>4465</v>
      </c>
      <c r="U81" t="s">
        <v>65</v>
      </c>
      <c r="V81" t="s">
        <v>68</v>
      </c>
      <c r="W81" t="s">
        <v>31</v>
      </c>
    </row>
    <row r="82" spans="1:23" x14ac:dyDescent="0.3">
      <c r="A82">
        <v>7551</v>
      </c>
      <c r="B82" t="s">
        <v>132</v>
      </c>
      <c r="C82" s="1">
        <v>45291</v>
      </c>
      <c r="D82" s="1">
        <v>45628</v>
      </c>
      <c r="E82">
        <v>15.99</v>
      </c>
      <c r="F82">
        <v>483</v>
      </c>
      <c r="G82" t="s">
        <v>33</v>
      </c>
      <c r="H82">
        <v>2</v>
      </c>
      <c r="I82">
        <v>4</v>
      </c>
      <c r="J82" t="b">
        <v>0</v>
      </c>
      <c r="K82">
        <v>161</v>
      </c>
      <c r="L82">
        <v>110</v>
      </c>
      <c r="M82" t="s">
        <v>25</v>
      </c>
      <c r="N82" t="s">
        <v>64</v>
      </c>
      <c r="O82" t="s">
        <v>67</v>
      </c>
      <c r="P82">
        <v>71</v>
      </c>
      <c r="Q82">
        <v>4.4000000000000004</v>
      </c>
      <c r="R82" t="b">
        <v>1</v>
      </c>
      <c r="S82" t="s">
        <v>28</v>
      </c>
      <c r="T82">
        <v>3517</v>
      </c>
      <c r="U82" t="s">
        <v>29</v>
      </c>
      <c r="V82" t="s">
        <v>36</v>
      </c>
      <c r="W82" t="s">
        <v>37</v>
      </c>
    </row>
    <row r="83" spans="1:23" x14ac:dyDescent="0.3">
      <c r="A83">
        <v>6398</v>
      </c>
      <c r="B83" t="s">
        <v>133</v>
      </c>
      <c r="C83" s="1">
        <v>45158</v>
      </c>
      <c r="D83" s="1">
        <v>45633</v>
      </c>
      <c r="E83">
        <v>7.99</v>
      </c>
      <c r="F83">
        <v>55</v>
      </c>
      <c r="G83" t="s">
        <v>79</v>
      </c>
      <c r="H83">
        <v>3</v>
      </c>
      <c r="I83">
        <v>2</v>
      </c>
      <c r="J83" t="b">
        <v>1</v>
      </c>
      <c r="K83">
        <v>17</v>
      </c>
      <c r="L83">
        <v>40</v>
      </c>
      <c r="M83" t="s">
        <v>44</v>
      </c>
      <c r="N83" t="s">
        <v>26</v>
      </c>
      <c r="O83" t="s">
        <v>41</v>
      </c>
      <c r="P83">
        <v>48</v>
      </c>
      <c r="Q83">
        <v>3.7</v>
      </c>
      <c r="R83" t="b">
        <v>0</v>
      </c>
      <c r="S83" t="s">
        <v>28</v>
      </c>
      <c r="T83">
        <v>1672</v>
      </c>
      <c r="U83" t="s">
        <v>51</v>
      </c>
      <c r="V83" t="s">
        <v>60</v>
      </c>
      <c r="W83" t="s">
        <v>31</v>
      </c>
    </row>
    <row r="84" spans="1:23" x14ac:dyDescent="0.3">
      <c r="A84">
        <v>4982</v>
      </c>
      <c r="B84" t="s">
        <v>134</v>
      </c>
      <c r="C84" s="1">
        <v>45249</v>
      </c>
      <c r="D84" s="1">
        <v>45638</v>
      </c>
      <c r="E84">
        <v>11.99</v>
      </c>
      <c r="F84">
        <v>375</v>
      </c>
      <c r="G84" t="s">
        <v>33</v>
      </c>
      <c r="H84">
        <v>4</v>
      </c>
      <c r="I84">
        <v>3</v>
      </c>
      <c r="J84" t="b">
        <v>0</v>
      </c>
      <c r="K84">
        <v>366</v>
      </c>
      <c r="L84">
        <v>13</v>
      </c>
      <c r="M84" t="s">
        <v>39</v>
      </c>
      <c r="N84" t="s">
        <v>26</v>
      </c>
      <c r="O84" t="s">
        <v>27</v>
      </c>
      <c r="P84">
        <v>73</v>
      </c>
      <c r="Q84">
        <v>4.8</v>
      </c>
      <c r="R84" t="b">
        <v>1</v>
      </c>
      <c r="S84" t="s">
        <v>28</v>
      </c>
      <c r="T84">
        <v>2164</v>
      </c>
      <c r="U84" t="s">
        <v>65</v>
      </c>
      <c r="V84" t="s">
        <v>36</v>
      </c>
      <c r="W84" t="s">
        <v>75</v>
      </c>
    </row>
    <row r="85" spans="1:23" x14ac:dyDescent="0.3">
      <c r="A85">
        <v>8108</v>
      </c>
      <c r="B85" t="s">
        <v>135</v>
      </c>
      <c r="C85" s="1">
        <v>45585</v>
      </c>
      <c r="D85" s="1">
        <v>45626</v>
      </c>
      <c r="E85">
        <v>11.99</v>
      </c>
      <c r="F85">
        <v>336</v>
      </c>
      <c r="G85" t="s">
        <v>62</v>
      </c>
      <c r="H85">
        <v>1</v>
      </c>
      <c r="I85">
        <v>2</v>
      </c>
      <c r="J85" t="b">
        <v>0</v>
      </c>
      <c r="K85">
        <v>758</v>
      </c>
      <c r="L85">
        <v>32</v>
      </c>
      <c r="M85" t="s">
        <v>39</v>
      </c>
      <c r="N85" t="s">
        <v>64</v>
      </c>
      <c r="O85" t="s">
        <v>34</v>
      </c>
      <c r="P85">
        <v>64</v>
      </c>
      <c r="Q85">
        <v>5</v>
      </c>
      <c r="R85" t="b">
        <v>0</v>
      </c>
      <c r="S85" t="s">
        <v>28</v>
      </c>
      <c r="T85">
        <v>3663</v>
      </c>
      <c r="U85" t="s">
        <v>29</v>
      </c>
      <c r="V85" t="s">
        <v>52</v>
      </c>
      <c r="W85" t="s">
        <v>37</v>
      </c>
    </row>
    <row r="86" spans="1:23" x14ac:dyDescent="0.3">
      <c r="A86">
        <v>6779</v>
      </c>
      <c r="B86" t="s">
        <v>136</v>
      </c>
      <c r="C86" s="1">
        <v>45495</v>
      </c>
      <c r="D86" s="1">
        <v>45629</v>
      </c>
      <c r="E86">
        <v>7.99</v>
      </c>
      <c r="F86">
        <v>196</v>
      </c>
      <c r="G86" t="s">
        <v>79</v>
      </c>
      <c r="H86">
        <v>1</v>
      </c>
      <c r="I86">
        <v>6</v>
      </c>
      <c r="J86" t="b">
        <v>1</v>
      </c>
      <c r="K86">
        <v>936</v>
      </c>
      <c r="L86">
        <v>152</v>
      </c>
      <c r="M86" t="s">
        <v>59</v>
      </c>
      <c r="N86" t="s">
        <v>26</v>
      </c>
      <c r="O86" t="s">
        <v>41</v>
      </c>
      <c r="P86">
        <v>3</v>
      </c>
      <c r="Q86">
        <v>3.1</v>
      </c>
      <c r="R86" t="b">
        <v>1</v>
      </c>
      <c r="S86" t="s">
        <v>28</v>
      </c>
      <c r="T86">
        <v>2845</v>
      </c>
      <c r="U86" t="s">
        <v>29</v>
      </c>
      <c r="V86" t="s">
        <v>60</v>
      </c>
      <c r="W86" t="s">
        <v>75</v>
      </c>
    </row>
    <row r="87" spans="1:23" x14ac:dyDescent="0.3">
      <c r="A87">
        <v>1169</v>
      </c>
      <c r="B87" t="s">
        <v>109</v>
      </c>
      <c r="C87" s="1">
        <v>45525</v>
      </c>
      <c r="D87" s="1">
        <v>45629</v>
      </c>
      <c r="E87">
        <v>11.99</v>
      </c>
      <c r="F87">
        <v>285</v>
      </c>
      <c r="G87" t="s">
        <v>33</v>
      </c>
      <c r="H87">
        <v>3</v>
      </c>
      <c r="I87">
        <v>1</v>
      </c>
      <c r="J87" t="b">
        <v>0</v>
      </c>
      <c r="K87">
        <v>13</v>
      </c>
      <c r="L87">
        <v>103</v>
      </c>
      <c r="M87" t="s">
        <v>59</v>
      </c>
      <c r="N87" t="s">
        <v>49</v>
      </c>
      <c r="O87" t="s">
        <v>50</v>
      </c>
      <c r="P87">
        <v>11</v>
      </c>
      <c r="Q87">
        <v>3.7</v>
      </c>
      <c r="R87" t="b">
        <v>0</v>
      </c>
      <c r="S87" t="s">
        <v>28</v>
      </c>
      <c r="T87">
        <v>2390</v>
      </c>
      <c r="U87" t="s">
        <v>57</v>
      </c>
      <c r="V87" t="s">
        <v>52</v>
      </c>
      <c r="W87" t="s">
        <v>53</v>
      </c>
    </row>
    <row r="88" spans="1:23" x14ac:dyDescent="0.3">
      <c r="A88">
        <v>5067</v>
      </c>
      <c r="B88" t="s">
        <v>137</v>
      </c>
      <c r="C88" s="1">
        <v>45535</v>
      </c>
      <c r="D88" s="1">
        <v>45623</v>
      </c>
      <c r="E88">
        <v>7.99</v>
      </c>
      <c r="F88">
        <v>155</v>
      </c>
      <c r="G88" t="s">
        <v>46</v>
      </c>
      <c r="H88">
        <v>5</v>
      </c>
      <c r="I88">
        <v>1</v>
      </c>
      <c r="J88" t="b">
        <v>1</v>
      </c>
      <c r="K88">
        <v>305</v>
      </c>
      <c r="L88">
        <v>77</v>
      </c>
      <c r="M88" t="s">
        <v>25</v>
      </c>
      <c r="N88" t="s">
        <v>64</v>
      </c>
      <c r="O88" t="s">
        <v>67</v>
      </c>
      <c r="P88">
        <v>66</v>
      </c>
      <c r="Q88">
        <v>3.4</v>
      </c>
      <c r="R88" t="b">
        <v>0</v>
      </c>
      <c r="S88" t="s">
        <v>28</v>
      </c>
      <c r="T88">
        <v>234</v>
      </c>
      <c r="U88" t="s">
        <v>29</v>
      </c>
      <c r="V88" t="s">
        <v>68</v>
      </c>
      <c r="W88" t="s">
        <v>75</v>
      </c>
    </row>
    <row r="89" spans="1:23" x14ac:dyDescent="0.3">
      <c r="A89">
        <v>5299</v>
      </c>
      <c r="B89" t="s">
        <v>138</v>
      </c>
      <c r="C89" s="1">
        <v>45046</v>
      </c>
      <c r="D89" s="1">
        <v>45628</v>
      </c>
      <c r="E89">
        <v>7.99</v>
      </c>
      <c r="F89">
        <v>275</v>
      </c>
      <c r="G89" t="s">
        <v>62</v>
      </c>
      <c r="H89">
        <v>2</v>
      </c>
      <c r="I89">
        <v>2</v>
      </c>
      <c r="J89" t="b">
        <v>1</v>
      </c>
      <c r="K89">
        <v>755</v>
      </c>
      <c r="L89">
        <v>166</v>
      </c>
      <c r="M89" t="s">
        <v>63</v>
      </c>
      <c r="N89" t="s">
        <v>40</v>
      </c>
      <c r="O89" t="s">
        <v>41</v>
      </c>
      <c r="P89">
        <v>45</v>
      </c>
      <c r="Q89">
        <v>3.9</v>
      </c>
      <c r="R89" t="b">
        <v>0</v>
      </c>
      <c r="S89" t="s">
        <v>28</v>
      </c>
      <c r="T89">
        <v>3975</v>
      </c>
      <c r="U89" t="s">
        <v>65</v>
      </c>
      <c r="V89" t="s">
        <v>30</v>
      </c>
      <c r="W89" t="s">
        <v>53</v>
      </c>
    </row>
    <row r="90" spans="1:23" x14ac:dyDescent="0.3">
      <c r="A90">
        <v>3978</v>
      </c>
      <c r="B90" t="s">
        <v>102</v>
      </c>
      <c r="C90" s="1">
        <v>45427</v>
      </c>
      <c r="D90" s="1">
        <v>45624</v>
      </c>
      <c r="E90">
        <v>7.99</v>
      </c>
      <c r="F90">
        <v>341</v>
      </c>
      <c r="G90" t="s">
        <v>33</v>
      </c>
      <c r="H90">
        <v>3</v>
      </c>
      <c r="I90">
        <v>4</v>
      </c>
      <c r="J90" t="b">
        <v>0</v>
      </c>
      <c r="K90">
        <v>27</v>
      </c>
      <c r="L90">
        <v>82</v>
      </c>
      <c r="M90" t="s">
        <v>25</v>
      </c>
      <c r="N90" t="s">
        <v>40</v>
      </c>
      <c r="O90" t="s">
        <v>34</v>
      </c>
      <c r="P90">
        <v>98</v>
      </c>
      <c r="Q90">
        <v>3.7</v>
      </c>
      <c r="R90" t="b">
        <v>1</v>
      </c>
      <c r="S90" t="s">
        <v>28</v>
      </c>
      <c r="T90">
        <v>561</v>
      </c>
      <c r="U90" t="s">
        <v>65</v>
      </c>
      <c r="V90" t="s">
        <v>60</v>
      </c>
      <c r="W90" t="s">
        <v>75</v>
      </c>
    </row>
    <row r="91" spans="1:23" x14ac:dyDescent="0.3">
      <c r="A91">
        <v>8634</v>
      </c>
      <c r="B91" t="s">
        <v>139</v>
      </c>
      <c r="C91" s="1">
        <v>45140</v>
      </c>
      <c r="D91" s="1">
        <v>45639</v>
      </c>
      <c r="E91">
        <v>15.99</v>
      </c>
      <c r="F91">
        <v>321</v>
      </c>
      <c r="G91" t="s">
        <v>33</v>
      </c>
      <c r="H91">
        <v>2</v>
      </c>
      <c r="I91">
        <v>2</v>
      </c>
      <c r="J91" t="b">
        <v>0</v>
      </c>
      <c r="K91">
        <v>676</v>
      </c>
      <c r="L91">
        <v>81</v>
      </c>
      <c r="M91" t="s">
        <v>25</v>
      </c>
      <c r="N91" t="s">
        <v>64</v>
      </c>
      <c r="O91" t="s">
        <v>56</v>
      </c>
      <c r="P91">
        <v>65</v>
      </c>
      <c r="Q91">
        <v>4.5999999999999996</v>
      </c>
      <c r="R91" t="b">
        <v>0</v>
      </c>
      <c r="S91" t="s">
        <v>28</v>
      </c>
      <c r="T91">
        <v>4647</v>
      </c>
      <c r="U91" t="s">
        <v>65</v>
      </c>
      <c r="V91" t="s">
        <v>68</v>
      </c>
      <c r="W91" t="s">
        <v>31</v>
      </c>
    </row>
    <row r="92" spans="1:23" x14ac:dyDescent="0.3">
      <c r="A92">
        <v>9635</v>
      </c>
      <c r="B92" t="s">
        <v>140</v>
      </c>
      <c r="C92" s="1">
        <v>45278</v>
      </c>
      <c r="D92" s="1">
        <v>45622</v>
      </c>
      <c r="E92">
        <v>11.99</v>
      </c>
      <c r="F92">
        <v>456</v>
      </c>
      <c r="G92" t="s">
        <v>62</v>
      </c>
      <c r="H92">
        <v>2</v>
      </c>
      <c r="I92">
        <v>5</v>
      </c>
      <c r="J92" t="b">
        <v>0</v>
      </c>
      <c r="K92">
        <v>734</v>
      </c>
      <c r="L92">
        <v>83</v>
      </c>
      <c r="M92" t="s">
        <v>48</v>
      </c>
      <c r="N92" t="s">
        <v>40</v>
      </c>
      <c r="O92" t="s">
        <v>67</v>
      </c>
      <c r="P92">
        <v>87</v>
      </c>
      <c r="Q92">
        <v>3.8</v>
      </c>
      <c r="R92" t="b">
        <v>1</v>
      </c>
      <c r="S92" t="s">
        <v>28</v>
      </c>
      <c r="T92">
        <v>581</v>
      </c>
      <c r="U92" t="s">
        <v>65</v>
      </c>
      <c r="V92" t="s">
        <v>30</v>
      </c>
      <c r="W92" t="s">
        <v>37</v>
      </c>
    </row>
    <row r="93" spans="1:23" x14ac:dyDescent="0.3">
      <c r="A93">
        <v>1776</v>
      </c>
      <c r="B93" t="s">
        <v>141</v>
      </c>
      <c r="C93" s="1">
        <v>45221</v>
      </c>
      <c r="D93" s="1">
        <v>45616</v>
      </c>
      <c r="E93">
        <v>15.99</v>
      </c>
      <c r="F93">
        <v>15</v>
      </c>
      <c r="G93" t="s">
        <v>62</v>
      </c>
      <c r="H93">
        <v>1</v>
      </c>
      <c r="I93">
        <v>4</v>
      </c>
      <c r="J93" t="b">
        <v>0</v>
      </c>
      <c r="K93">
        <v>687</v>
      </c>
      <c r="L93">
        <v>183</v>
      </c>
      <c r="M93" t="s">
        <v>74</v>
      </c>
      <c r="N93" t="s">
        <v>64</v>
      </c>
      <c r="O93" t="s">
        <v>27</v>
      </c>
      <c r="P93">
        <v>46</v>
      </c>
      <c r="Q93">
        <v>4.2</v>
      </c>
      <c r="R93" t="b">
        <v>1</v>
      </c>
      <c r="S93" t="s">
        <v>28</v>
      </c>
      <c r="T93">
        <v>1250</v>
      </c>
      <c r="U93" t="s">
        <v>35</v>
      </c>
      <c r="V93" t="s">
        <v>68</v>
      </c>
      <c r="W93" t="s">
        <v>31</v>
      </c>
    </row>
    <row r="94" spans="1:23" x14ac:dyDescent="0.3">
      <c r="A94">
        <v>9703</v>
      </c>
      <c r="B94" t="s">
        <v>82</v>
      </c>
      <c r="C94" s="1">
        <v>45351</v>
      </c>
      <c r="D94" s="1">
        <v>45638</v>
      </c>
      <c r="E94">
        <v>11.99</v>
      </c>
      <c r="F94">
        <v>410</v>
      </c>
      <c r="G94" t="s">
        <v>43</v>
      </c>
      <c r="H94">
        <v>3</v>
      </c>
      <c r="I94">
        <v>5</v>
      </c>
      <c r="J94" t="b">
        <v>0</v>
      </c>
      <c r="K94">
        <v>826</v>
      </c>
      <c r="L94">
        <v>182</v>
      </c>
      <c r="M94" t="s">
        <v>44</v>
      </c>
      <c r="N94" t="s">
        <v>64</v>
      </c>
      <c r="O94" t="s">
        <v>56</v>
      </c>
      <c r="P94">
        <v>69</v>
      </c>
      <c r="Q94">
        <v>4.2</v>
      </c>
      <c r="R94" t="b">
        <v>0</v>
      </c>
      <c r="S94" t="s">
        <v>28</v>
      </c>
      <c r="T94">
        <v>3441</v>
      </c>
      <c r="U94" t="s">
        <v>29</v>
      </c>
      <c r="V94" t="s">
        <v>30</v>
      </c>
      <c r="W94" t="s">
        <v>37</v>
      </c>
    </row>
    <row r="95" spans="1:23" x14ac:dyDescent="0.3">
      <c r="A95">
        <v>3498</v>
      </c>
      <c r="B95" t="s">
        <v>142</v>
      </c>
      <c r="C95" s="1">
        <v>45180</v>
      </c>
      <c r="D95" s="1">
        <v>45627</v>
      </c>
      <c r="E95">
        <v>15.99</v>
      </c>
      <c r="F95">
        <v>29</v>
      </c>
      <c r="G95" t="s">
        <v>33</v>
      </c>
      <c r="H95">
        <v>2</v>
      </c>
      <c r="I95">
        <v>4</v>
      </c>
      <c r="J95" t="b">
        <v>1</v>
      </c>
      <c r="K95">
        <v>450</v>
      </c>
      <c r="L95">
        <v>67</v>
      </c>
      <c r="M95" t="s">
        <v>48</v>
      </c>
      <c r="N95" t="s">
        <v>49</v>
      </c>
      <c r="O95" t="s">
        <v>34</v>
      </c>
      <c r="P95">
        <v>52</v>
      </c>
      <c r="Q95">
        <v>3.3</v>
      </c>
      <c r="R95" t="b">
        <v>0</v>
      </c>
      <c r="S95" t="s">
        <v>28</v>
      </c>
      <c r="T95">
        <v>3211</v>
      </c>
      <c r="U95" t="s">
        <v>29</v>
      </c>
      <c r="V95" t="s">
        <v>68</v>
      </c>
      <c r="W95" t="s">
        <v>53</v>
      </c>
    </row>
    <row r="96" spans="1:23" x14ac:dyDescent="0.3">
      <c r="A96">
        <v>4260</v>
      </c>
      <c r="B96" t="s">
        <v>143</v>
      </c>
      <c r="C96" s="1">
        <v>45467</v>
      </c>
      <c r="D96" s="1">
        <v>45642</v>
      </c>
      <c r="E96">
        <v>7.99</v>
      </c>
      <c r="F96">
        <v>427</v>
      </c>
      <c r="G96" t="s">
        <v>55</v>
      </c>
      <c r="H96">
        <v>1</v>
      </c>
      <c r="I96">
        <v>1</v>
      </c>
      <c r="J96" t="b">
        <v>0</v>
      </c>
      <c r="K96">
        <v>159</v>
      </c>
      <c r="L96">
        <v>98</v>
      </c>
      <c r="M96" t="s">
        <v>63</v>
      </c>
      <c r="N96" t="s">
        <v>49</v>
      </c>
      <c r="O96" t="s">
        <v>50</v>
      </c>
      <c r="P96">
        <v>66</v>
      </c>
      <c r="Q96">
        <v>3.3</v>
      </c>
      <c r="R96" t="b">
        <v>0</v>
      </c>
      <c r="S96" t="s">
        <v>28</v>
      </c>
      <c r="T96">
        <v>647</v>
      </c>
      <c r="U96" t="s">
        <v>29</v>
      </c>
      <c r="V96" t="s">
        <v>68</v>
      </c>
      <c r="W96" t="s">
        <v>31</v>
      </c>
    </row>
    <row r="97" spans="1:23" x14ac:dyDescent="0.3">
      <c r="A97">
        <v>7152</v>
      </c>
      <c r="B97" t="s">
        <v>108</v>
      </c>
      <c r="C97" s="1">
        <v>44962</v>
      </c>
      <c r="D97" s="1">
        <v>45630</v>
      </c>
      <c r="E97">
        <v>11.99</v>
      </c>
      <c r="F97">
        <v>166</v>
      </c>
      <c r="G97" t="s">
        <v>24</v>
      </c>
      <c r="H97">
        <v>5</v>
      </c>
      <c r="I97">
        <v>3</v>
      </c>
      <c r="J97" t="b">
        <v>0</v>
      </c>
      <c r="K97">
        <v>367</v>
      </c>
      <c r="L97">
        <v>198</v>
      </c>
      <c r="M97" t="s">
        <v>48</v>
      </c>
      <c r="N97" t="s">
        <v>40</v>
      </c>
      <c r="O97" t="s">
        <v>27</v>
      </c>
      <c r="P97">
        <v>11</v>
      </c>
      <c r="Q97">
        <v>4.5999999999999996</v>
      </c>
      <c r="R97" t="b">
        <v>1</v>
      </c>
      <c r="S97" t="s">
        <v>28</v>
      </c>
      <c r="T97">
        <v>3751</v>
      </c>
      <c r="U97" t="s">
        <v>57</v>
      </c>
      <c r="V97" t="s">
        <v>30</v>
      </c>
      <c r="W97" t="s">
        <v>75</v>
      </c>
    </row>
    <row r="98" spans="1:23" x14ac:dyDescent="0.3">
      <c r="A98">
        <v>2457</v>
      </c>
      <c r="B98" t="s">
        <v>121</v>
      </c>
      <c r="C98" s="1">
        <v>45220</v>
      </c>
      <c r="D98" s="1">
        <v>45622</v>
      </c>
      <c r="E98">
        <v>7.99</v>
      </c>
      <c r="F98">
        <v>192</v>
      </c>
      <c r="G98" t="s">
        <v>62</v>
      </c>
      <c r="H98">
        <v>1</v>
      </c>
      <c r="I98">
        <v>1</v>
      </c>
      <c r="J98" t="b">
        <v>0</v>
      </c>
      <c r="K98">
        <v>786</v>
      </c>
      <c r="L98">
        <v>140</v>
      </c>
      <c r="M98" t="s">
        <v>39</v>
      </c>
      <c r="N98" t="s">
        <v>40</v>
      </c>
      <c r="O98" t="s">
        <v>67</v>
      </c>
      <c r="P98">
        <v>95</v>
      </c>
      <c r="Q98">
        <v>3.4</v>
      </c>
      <c r="R98" t="b">
        <v>0</v>
      </c>
      <c r="S98" t="s">
        <v>28</v>
      </c>
      <c r="T98">
        <v>2925</v>
      </c>
      <c r="U98" t="s">
        <v>65</v>
      </c>
      <c r="V98" t="s">
        <v>36</v>
      </c>
      <c r="W98" t="s">
        <v>31</v>
      </c>
    </row>
    <row r="99" spans="1:23" x14ac:dyDescent="0.3">
      <c r="A99">
        <v>8530</v>
      </c>
      <c r="B99" t="s">
        <v>144</v>
      </c>
      <c r="C99" s="1">
        <v>45010</v>
      </c>
      <c r="D99" s="1">
        <v>45630</v>
      </c>
      <c r="E99">
        <v>11.99</v>
      </c>
      <c r="F99">
        <v>88</v>
      </c>
      <c r="G99" t="s">
        <v>46</v>
      </c>
      <c r="H99">
        <v>1</v>
      </c>
      <c r="I99">
        <v>6</v>
      </c>
      <c r="J99" t="b">
        <v>1</v>
      </c>
      <c r="K99">
        <v>962</v>
      </c>
      <c r="L99">
        <v>183</v>
      </c>
      <c r="M99" t="s">
        <v>59</v>
      </c>
      <c r="N99" t="s">
        <v>40</v>
      </c>
      <c r="O99" t="s">
        <v>56</v>
      </c>
      <c r="P99">
        <v>90</v>
      </c>
      <c r="Q99">
        <v>5</v>
      </c>
      <c r="R99" t="b">
        <v>0</v>
      </c>
      <c r="S99" t="s">
        <v>28</v>
      </c>
      <c r="T99">
        <v>4646</v>
      </c>
      <c r="U99" t="s">
        <v>51</v>
      </c>
      <c r="V99" t="s">
        <v>68</v>
      </c>
      <c r="W99" t="s">
        <v>31</v>
      </c>
    </row>
    <row r="100" spans="1:23" x14ac:dyDescent="0.3">
      <c r="A100">
        <v>9131</v>
      </c>
      <c r="B100" t="s">
        <v>145</v>
      </c>
      <c r="C100" s="1">
        <v>45141</v>
      </c>
      <c r="D100" s="1">
        <v>45623</v>
      </c>
      <c r="E100">
        <v>7.99</v>
      </c>
      <c r="F100">
        <v>127</v>
      </c>
      <c r="G100" t="s">
        <v>43</v>
      </c>
      <c r="H100">
        <v>2</v>
      </c>
      <c r="I100">
        <v>5</v>
      </c>
      <c r="J100" t="b">
        <v>0</v>
      </c>
      <c r="K100">
        <v>482</v>
      </c>
      <c r="L100">
        <v>5</v>
      </c>
      <c r="M100" t="s">
        <v>48</v>
      </c>
      <c r="N100" t="s">
        <v>64</v>
      </c>
      <c r="O100" t="s">
        <v>56</v>
      </c>
      <c r="P100">
        <v>99</v>
      </c>
      <c r="Q100">
        <v>3.6</v>
      </c>
      <c r="R100" t="b">
        <v>0</v>
      </c>
      <c r="S100" t="s">
        <v>28</v>
      </c>
      <c r="T100">
        <v>2867</v>
      </c>
      <c r="U100" t="s">
        <v>35</v>
      </c>
      <c r="V100" t="s">
        <v>36</v>
      </c>
      <c r="W100" t="s">
        <v>75</v>
      </c>
    </row>
    <row r="101" spans="1:23" x14ac:dyDescent="0.3">
      <c r="A101">
        <v>9770</v>
      </c>
      <c r="B101" t="s">
        <v>146</v>
      </c>
      <c r="C101" s="1">
        <v>45227</v>
      </c>
      <c r="D101" s="1">
        <v>45620</v>
      </c>
      <c r="E101">
        <v>7.99</v>
      </c>
      <c r="F101">
        <v>327</v>
      </c>
      <c r="G101" t="s">
        <v>79</v>
      </c>
      <c r="H101">
        <v>4</v>
      </c>
      <c r="I101">
        <v>3</v>
      </c>
      <c r="J101" t="b">
        <v>0</v>
      </c>
      <c r="K101">
        <v>451</v>
      </c>
      <c r="L101">
        <v>108</v>
      </c>
      <c r="M101" t="s">
        <v>44</v>
      </c>
      <c r="N101" t="s">
        <v>26</v>
      </c>
      <c r="O101" t="s">
        <v>50</v>
      </c>
      <c r="P101">
        <v>91</v>
      </c>
      <c r="Q101">
        <v>3.2</v>
      </c>
      <c r="R101" t="b">
        <v>1</v>
      </c>
      <c r="S101" t="s">
        <v>28</v>
      </c>
      <c r="T101">
        <v>4131</v>
      </c>
      <c r="U101" t="s">
        <v>51</v>
      </c>
      <c r="V101" t="s">
        <v>36</v>
      </c>
      <c r="W101" t="s">
        <v>37</v>
      </c>
    </row>
    <row r="102" spans="1:23" x14ac:dyDescent="0.3">
      <c r="A102">
        <v>8095</v>
      </c>
      <c r="B102" t="s">
        <v>147</v>
      </c>
      <c r="C102" s="1">
        <v>45031</v>
      </c>
      <c r="D102" s="1">
        <v>45637</v>
      </c>
      <c r="E102">
        <v>7.99</v>
      </c>
      <c r="F102">
        <v>10</v>
      </c>
      <c r="G102" t="s">
        <v>24</v>
      </c>
      <c r="H102">
        <v>2</v>
      </c>
      <c r="I102">
        <v>5</v>
      </c>
      <c r="J102" t="b">
        <v>1</v>
      </c>
      <c r="K102">
        <v>22</v>
      </c>
      <c r="L102">
        <v>14</v>
      </c>
      <c r="M102" t="s">
        <v>59</v>
      </c>
      <c r="N102" t="s">
        <v>40</v>
      </c>
      <c r="O102" t="s">
        <v>56</v>
      </c>
      <c r="P102">
        <v>25</v>
      </c>
      <c r="Q102">
        <v>4.0999999999999996</v>
      </c>
      <c r="R102" t="b">
        <v>1</v>
      </c>
      <c r="S102" t="s">
        <v>28</v>
      </c>
      <c r="T102">
        <v>2927</v>
      </c>
      <c r="U102" t="s">
        <v>51</v>
      </c>
      <c r="V102" t="s">
        <v>30</v>
      </c>
      <c r="W102" t="s">
        <v>37</v>
      </c>
    </row>
    <row r="103" spans="1:23" x14ac:dyDescent="0.3">
      <c r="A103">
        <v>3763</v>
      </c>
      <c r="B103" t="s">
        <v>148</v>
      </c>
      <c r="C103" s="1">
        <v>44914</v>
      </c>
      <c r="D103" s="1">
        <v>45632</v>
      </c>
      <c r="E103">
        <v>11.99</v>
      </c>
      <c r="F103">
        <v>181</v>
      </c>
      <c r="G103" t="s">
        <v>55</v>
      </c>
      <c r="H103">
        <v>4</v>
      </c>
      <c r="I103">
        <v>2</v>
      </c>
      <c r="J103" t="b">
        <v>0</v>
      </c>
      <c r="K103">
        <v>848</v>
      </c>
      <c r="L103">
        <v>172</v>
      </c>
      <c r="M103" t="s">
        <v>48</v>
      </c>
      <c r="N103" t="s">
        <v>64</v>
      </c>
      <c r="O103" t="s">
        <v>41</v>
      </c>
      <c r="P103">
        <v>6</v>
      </c>
      <c r="Q103">
        <v>3.4</v>
      </c>
      <c r="R103" t="b">
        <v>0</v>
      </c>
      <c r="S103" t="s">
        <v>28</v>
      </c>
      <c r="T103">
        <v>3314</v>
      </c>
      <c r="U103" t="s">
        <v>29</v>
      </c>
      <c r="V103" t="s">
        <v>68</v>
      </c>
      <c r="W103" t="s">
        <v>53</v>
      </c>
    </row>
    <row r="104" spans="1:23" x14ac:dyDescent="0.3">
      <c r="A104">
        <v>4346</v>
      </c>
      <c r="B104" t="s">
        <v>149</v>
      </c>
      <c r="C104" s="1">
        <v>45336</v>
      </c>
      <c r="D104" s="1">
        <v>45638</v>
      </c>
      <c r="E104">
        <v>15.99</v>
      </c>
      <c r="F104">
        <v>238</v>
      </c>
      <c r="G104" t="s">
        <v>24</v>
      </c>
      <c r="H104">
        <v>4</v>
      </c>
      <c r="I104">
        <v>2</v>
      </c>
      <c r="J104" t="b">
        <v>0</v>
      </c>
      <c r="K104">
        <v>524</v>
      </c>
      <c r="L104">
        <v>162</v>
      </c>
      <c r="M104" t="s">
        <v>25</v>
      </c>
      <c r="N104" t="s">
        <v>64</v>
      </c>
      <c r="O104" t="s">
        <v>34</v>
      </c>
      <c r="P104">
        <v>20</v>
      </c>
      <c r="Q104">
        <v>3</v>
      </c>
      <c r="R104" t="b">
        <v>1</v>
      </c>
      <c r="S104" t="s">
        <v>28</v>
      </c>
      <c r="T104">
        <v>1782</v>
      </c>
      <c r="U104" t="s">
        <v>29</v>
      </c>
      <c r="V104" t="s">
        <v>60</v>
      </c>
      <c r="W104" t="s">
        <v>53</v>
      </c>
    </row>
    <row r="105" spans="1:23" x14ac:dyDescent="0.3">
      <c r="A105">
        <v>5866</v>
      </c>
      <c r="B105" t="s">
        <v>128</v>
      </c>
      <c r="C105" s="1">
        <v>45444</v>
      </c>
      <c r="D105" s="1">
        <v>45622</v>
      </c>
      <c r="E105">
        <v>7.99</v>
      </c>
      <c r="F105">
        <v>380</v>
      </c>
      <c r="G105" t="s">
        <v>46</v>
      </c>
      <c r="H105">
        <v>2</v>
      </c>
      <c r="I105">
        <v>3</v>
      </c>
      <c r="J105" t="b">
        <v>0</v>
      </c>
      <c r="K105">
        <v>76</v>
      </c>
      <c r="L105">
        <v>25</v>
      </c>
      <c r="M105" t="s">
        <v>63</v>
      </c>
      <c r="N105" t="s">
        <v>26</v>
      </c>
      <c r="O105" t="s">
        <v>27</v>
      </c>
      <c r="P105">
        <v>95</v>
      </c>
      <c r="Q105">
        <v>4.2</v>
      </c>
      <c r="R105" t="b">
        <v>1</v>
      </c>
      <c r="S105" t="s">
        <v>28</v>
      </c>
      <c r="T105">
        <v>1938</v>
      </c>
      <c r="U105" t="s">
        <v>57</v>
      </c>
      <c r="V105" t="s">
        <v>68</v>
      </c>
      <c r="W105" t="s">
        <v>75</v>
      </c>
    </row>
    <row r="106" spans="1:23" x14ac:dyDescent="0.3">
      <c r="A106">
        <v>5865</v>
      </c>
      <c r="B106" t="s">
        <v>150</v>
      </c>
      <c r="C106" s="1">
        <v>45130</v>
      </c>
      <c r="D106" s="1">
        <v>45620</v>
      </c>
      <c r="E106">
        <v>11.99</v>
      </c>
      <c r="F106">
        <v>444</v>
      </c>
      <c r="G106" t="s">
        <v>43</v>
      </c>
      <c r="H106">
        <v>2</v>
      </c>
      <c r="I106">
        <v>3</v>
      </c>
      <c r="J106" t="b">
        <v>0</v>
      </c>
      <c r="K106">
        <v>959</v>
      </c>
      <c r="L106">
        <v>183</v>
      </c>
      <c r="M106" t="s">
        <v>63</v>
      </c>
      <c r="N106" t="s">
        <v>26</v>
      </c>
      <c r="O106" t="s">
        <v>27</v>
      </c>
      <c r="P106">
        <v>93</v>
      </c>
      <c r="Q106">
        <v>3.8</v>
      </c>
      <c r="R106" t="b">
        <v>0</v>
      </c>
      <c r="S106" t="s">
        <v>28</v>
      </c>
      <c r="T106">
        <v>3935</v>
      </c>
      <c r="U106" t="s">
        <v>51</v>
      </c>
      <c r="V106" t="s">
        <v>52</v>
      </c>
      <c r="W106" t="s">
        <v>75</v>
      </c>
    </row>
    <row r="107" spans="1:23" x14ac:dyDescent="0.3">
      <c r="A107">
        <v>9398</v>
      </c>
      <c r="B107" t="s">
        <v>151</v>
      </c>
      <c r="C107" s="1">
        <v>45595</v>
      </c>
      <c r="D107" s="1">
        <v>45637</v>
      </c>
      <c r="E107">
        <v>7.99</v>
      </c>
      <c r="F107">
        <v>83</v>
      </c>
      <c r="G107" t="s">
        <v>62</v>
      </c>
      <c r="H107">
        <v>3</v>
      </c>
      <c r="I107">
        <v>5</v>
      </c>
      <c r="J107" t="b">
        <v>1</v>
      </c>
      <c r="K107">
        <v>148</v>
      </c>
      <c r="L107">
        <v>154</v>
      </c>
      <c r="M107" t="s">
        <v>44</v>
      </c>
      <c r="N107" t="s">
        <v>49</v>
      </c>
      <c r="O107" t="s">
        <v>27</v>
      </c>
      <c r="P107">
        <v>21</v>
      </c>
      <c r="Q107">
        <v>3.1</v>
      </c>
      <c r="R107" t="b">
        <v>0</v>
      </c>
      <c r="S107" t="s">
        <v>28</v>
      </c>
      <c r="T107">
        <v>3206</v>
      </c>
      <c r="U107" t="s">
        <v>51</v>
      </c>
      <c r="V107" t="s">
        <v>60</v>
      </c>
      <c r="W107" t="s">
        <v>31</v>
      </c>
    </row>
    <row r="108" spans="1:23" x14ac:dyDescent="0.3">
      <c r="A108">
        <v>9695</v>
      </c>
      <c r="B108" t="s">
        <v>152</v>
      </c>
      <c r="C108" s="1">
        <v>45268</v>
      </c>
      <c r="D108" s="1">
        <v>45644</v>
      </c>
      <c r="E108">
        <v>7.99</v>
      </c>
      <c r="F108">
        <v>452</v>
      </c>
      <c r="G108" t="s">
        <v>46</v>
      </c>
      <c r="H108">
        <v>4</v>
      </c>
      <c r="I108">
        <v>4</v>
      </c>
      <c r="J108" t="b">
        <v>0</v>
      </c>
      <c r="K108">
        <v>338</v>
      </c>
      <c r="L108">
        <v>132</v>
      </c>
      <c r="M108" t="s">
        <v>59</v>
      </c>
      <c r="N108" t="s">
        <v>26</v>
      </c>
      <c r="O108" t="s">
        <v>50</v>
      </c>
      <c r="P108">
        <v>63</v>
      </c>
      <c r="Q108">
        <v>3.3</v>
      </c>
      <c r="R108" t="b">
        <v>0</v>
      </c>
      <c r="S108" t="s">
        <v>28</v>
      </c>
      <c r="T108">
        <v>2523</v>
      </c>
      <c r="U108" t="s">
        <v>29</v>
      </c>
      <c r="V108" t="s">
        <v>52</v>
      </c>
      <c r="W108" t="s">
        <v>31</v>
      </c>
    </row>
    <row r="109" spans="1:23" x14ac:dyDescent="0.3">
      <c r="A109">
        <v>8805</v>
      </c>
      <c r="B109" t="s">
        <v>71</v>
      </c>
      <c r="C109" s="1">
        <v>45479</v>
      </c>
      <c r="D109" s="1">
        <v>45632</v>
      </c>
      <c r="E109">
        <v>15.99</v>
      </c>
      <c r="F109">
        <v>53</v>
      </c>
      <c r="G109" t="s">
        <v>79</v>
      </c>
      <c r="H109">
        <v>4</v>
      </c>
      <c r="I109">
        <v>2</v>
      </c>
      <c r="J109" t="b">
        <v>1</v>
      </c>
      <c r="K109">
        <v>720</v>
      </c>
      <c r="L109">
        <v>37</v>
      </c>
      <c r="M109" t="s">
        <v>59</v>
      </c>
      <c r="N109" t="s">
        <v>26</v>
      </c>
      <c r="O109" t="s">
        <v>50</v>
      </c>
      <c r="P109">
        <v>8</v>
      </c>
      <c r="Q109">
        <v>4</v>
      </c>
      <c r="R109" t="b">
        <v>1</v>
      </c>
      <c r="S109" t="s">
        <v>28</v>
      </c>
      <c r="T109">
        <v>2727</v>
      </c>
      <c r="U109" t="s">
        <v>57</v>
      </c>
      <c r="V109" t="s">
        <v>68</v>
      </c>
      <c r="W109" t="s">
        <v>37</v>
      </c>
    </row>
    <row r="110" spans="1:23" x14ac:dyDescent="0.3">
      <c r="A110">
        <v>8353</v>
      </c>
      <c r="B110" t="s">
        <v>105</v>
      </c>
      <c r="C110" s="1">
        <v>45097</v>
      </c>
      <c r="D110" s="1">
        <v>45615</v>
      </c>
      <c r="E110">
        <v>15.99</v>
      </c>
      <c r="F110">
        <v>89</v>
      </c>
      <c r="G110" t="s">
        <v>79</v>
      </c>
      <c r="H110">
        <v>5</v>
      </c>
      <c r="I110">
        <v>3</v>
      </c>
      <c r="J110" t="b">
        <v>0</v>
      </c>
      <c r="K110">
        <v>387</v>
      </c>
      <c r="L110">
        <v>81</v>
      </c>
      <c r="M110" t="s">
        <v>59</v>
      </c>
      <c r="N110" t="s">
        <v>26</v>
      </c>
      <c r="O110" t="s">
        <v>56</v>
      </c>
      <c r="P110">
        <v>87</v>
      </c>
      <c r="Q110">
        <v>3.8</v>
      </c>
      <c r="R110" t="b">
        <v>1</v>
      </c>
      <c r="S110" t="s">
        <v>28</v>
      </c>
      <c r="T110">
        <v>2864</v>
      </c>
      <c r="U110" t="s">
        <v>65</v>
      </c>
      <c r="V110" t="s">
        <v>60</v>
      </c>
      <c r="W110" t="s">
        <v>31</v>
      </c>
    </row>
    <row r="111" spans="1:23" x14ac:dyDescent="0.3">
      <c r="A111">
        <v>3178</v>
      </c>
      <c r="B111" t="s">
        <v>153</v>
      </c>
      <c r="C111" s="1">
        <v>45370</v>
      </c>
      <c r="D111" s="1">
        <v>45637</v>
      </c>
      <c r="E111">
        <v>7.99</v>
      </c>
      <c r="F111">
        <v>359</v>
      </c>
      <c r="G111" t="s">
        <v>55</v>
      </c>
      <c r="H111">
        <v>5</v>
      </c>
      <c r="I111">
        <v>4</v>
      </c>
      <c r="J111" t="b">
        <v>0</v>
      </c>
      <c r="K111">
        <v>624</v>
      </c>
      <c r="L111">
        <v>107</v>
      </c>
      <c r="M111" t="s">
        <v>48</v>
      </c>
      <c r="N111" t="s">
        <v>40</v>
      </c>
      <c r="O111" t="s">
        <v>50</v>
      </c>
      <c r="P111">
        <v>4</v>
      </c>
      <c r="Q111">
        <v>3.1</v>
      </c>
      <c r="R111" t="b">
        <v>1</v>
      </c>
      <c r="S111" t="s">
        <v>28</v>
      </c>
      <c r="T111">
        <v>3698</v>
      </c>
      <c r="U111" t="s">
        <v>65</v>
      </c>
      <c r="V111" t="s">
        <v>60</v>
      </c>
      <c r="W111" t="s">
        <v>75</v>
      </c>
    </row>
    <row r="112" spans="1:23" x14ac:dyDescent="0.3">
      <c r="A112">
        <v>4917</v>
      </c>
      <c r="B112" t="s">
        <v>154</v>
      </c>
      <c r="C112" s="1">
        <v>44976</v>
      </c>
      <c r="D112" s="1">
        <v>45616</v>
      </c>
      <c r="E112">
        <v>11.99</v>
      </c>
      <c r="F112">
        <v>487</v>
      </c>
      <c r="G112" t="s">
        <v>55</v>
      </c>
      <c r="H112">
        <v>1</v>
      </c>
      <c r="I112">
        <v>4</v>
      </c>
      <c r="J112" t="b">
        <v>0</v>
      </c>
      <c r="K112">
        <v>636</v>
      </c>
      <c r="L112">
        <v>66</v>
      </c>
      <c r="M112" t="s">
        <v>59</v>
      </c>
      <c r="N112" t="s">
        <v>26</v>
      </c>
      <c r="O112" t="s">
        <v>67</v>
      </c>
      <c r="P112">
        <v>78</v>
      </c>
      <c r="Q112">
        <v>3.5</v>
      </c>
      <c r="R112" t="b">
        <v>0</v>
      </c>
      <c r="S112" t="s">
        <v>28</v>
      </c>
      <c r="T112">
        <v>1531</v>
      </c>
      <c r="U112" t="s">
        <v>29</v>
      </c>
      <c r="V112" t="s">
        <v>60</v>
      </c>
      <c r="W112" t="s">
        <v>53</v>
      </c>
    </row>
    <row r="113" spans="1:23" x14ac:dyDescent="0.3">
      <c r="A113">
        <v>8878</v>
      </c>
      <c r="B113" t="s">
        <v>155</v>
      </c>
      <c r="C113" s="1">
        <v>45351</v>
      </c>
      <c r="D113" s="1">
        <v>45617</v>
      </c>
      <c r="E113">
        <v>7.99</v>
      </c>
      <c r="F113">
        <v>337</v>
      </c>
      <c r="G113" t="s">
        <v>62</v>
      </c>
      <c r="H113">
        <v>5</v>
      </c>
      <c r="I113">
        <v>1</v>
      </c>
      <c r="J113" t="b">
        <v>1</v>
      </c>
      <c r="K113">
        <v>429</v>
      </c>
      <c r="L113">
        <v>190</v>
      </c>
      <c r="M113" t="s">
        <v>39</v>
      </c>
      <c r="N113" t="s">
        <v>49</v>
      </c>
      <c r="O113" t="s">
        <v>41</v>
      </c>
      <c r="P113">
        <v>88</v>
      </c>
      <c r="Q113">
        <v>4.8</v>
      </c>
      <c r="R113" t="b">
        <v>0</v>
      </c>
      <c r="S113" t="s">
        <v>28</v>
      </c>
      <c r="T113">
        <v>4884</v>
      </c>
      <c r="U113" t="s">
        <v>29</v>
      </c>
      <c r="V113" t="s">
        <v>30</v>
      </c>
      <c r="W113" t="s">
        <v>75</v>
      </c>
    </row>
    <row r="114" spans="1:23" x14ac:dyDescent="0.3">
      <c r="A114">
        <v>3810</v>
      </c>
      <c r="B114" t="s">
        <v>156</v>
      </c>
      <c r="C114" s="1">
        <v>44974</v>
      </c>
      <c r="D114" s="1">
        <v>45630</v>
      </c>
      <c r="E114">
        <v>15.99</v>
      </c>
      <c r="F114">
        <v>427</v>
      </c>
      <c r="G114" t="s">
        <v>55</v>
      </c>
      <c r="H114">
        <v>5</v>
      </c>
      <c r="I114">
        <v>3</v>
      </c>
      <c r="J114" t="b">
        <v>0</v>
      </c>
      <c r="K114">
        <v>832</v>
      </c>
      <c r="L114">
        <v>103</v>
      </c>
      <c r="M114" t="s">
        <v>59</v>
      </c>
      <c r="N114" t="s">
        <v>64</v>
      </c>
      <c r="O114" t="s">
        <v>41</v>
      </c>
      <c r="P114">
        <v>79</v>
      </c>
      <c r="Q114">
        <v>3.3</v>
      </c>
      <c r="R114" t="b">
        <v>0</v>
      </c>
      <c r="S114" t="s">
        <v>28</v>
      </c>
      <c r="T114">
        <v>3633</v>
      </c>
      <c r="U114" t="s">
        <v>29</v>
      </c>
      <c r="V114" t="s">
        <v>36</v>
      </c>
      <c r="W114" t="s">
        <v>37</v>
      </c>
    </row>
    <row r="115" spans="1:23" x14ac:dyDescent="0.3">
      <c r="A115">
        <v>9353</v>
      </c>
      <c r="B115" t="s">
        <v>157</v>
      </c>
      <c r="C115" s="1">
        <v>45144</v>
      </c>
      <c r="D115" s="1">
        <v>45622</v>
      </c>
      <c r="E115">
        <v>7.99</v>
      </c>
      <c r="F115">
        <v>397</v>
      </c>
      <c r="G115" t="s">
        <v>46</v>
      </c>
      <c r="H115">
        <v>4</v>
      </c>
      <c r="I115">
        <v>4</v>
      </c>
      <c r="J115" t="b">
        <v>1</v>
      </c>
      <c r="K115">
        <v>63</v>
      </c>
      <c r="L115">
        <v>126</v>
      </c>
      <c r="M115" t="s">
        <v>63</v>
      </c>
      <c r="N115" t="s">
        <v>40</v>
      </c>
      <c r="O115" t="s">
        <v>41</v>
      </c>
      <c r="P115">
        <v>77</v>
      </c>
      <c r="Q115">
        <v>3.9</v>
      </c>
      <c r="R115" t="b">
        <v>1</v>
      </c>
      <c r="S115" t="s">
        <v>28</v>
      </c>
      <c r="T115">
        <v>4719</v>
      </c>
      <c r="U115" t="s">
        <v>29</v>
      </c>
      <c r="V115" t="s">
        <v>36</v>
      </c>
      <c r="W115" t="s">
        <v>75</v>
      </c>
    </row>
    <row r="116" spans="1:23" x14ac:dyDescent="0.3">
      <c r="A116">
        <v>1672</v>
      </c>
      <c r="B116" t="s">
        <v>158</v>
      </c>
      <c r="C116" s="1">
        <v>44916</v>
      </c>
      <c r="D116" s="1">
        <v>45624</v>
      </c>
      <c r="E116">
        <v>15.99</v>
      </c>
      <c r="F116">
        <v>200</v>
      </c>
      <c r="G116" t="s">
        <v>55</v>
      </c>
      <c r="H116">
        <v>4</v>
      </c>
      <c r="I116">
        <v>1</v>
      </c>
      <c r="J116" t="b">
        <v>0</v>
      </c>
      <c r="K116">
        <v>52</v>
      </c>
      <c r="L116">
        <v>8</v>
      </c>
      <c r="M116" t="s">
        <v>74</v>
      </c>
      <c r="N116" t="s">
        <v>49</v>
      </c>
      <c r="O116" t="s">
        <v>67</v>
      </c>
      <c r="P116">
        <v>17</v>
      </c>
      <c r="Q116">
        <v>3.2</v>
      </c>
      <c r="R116" t="b">
        <v>1</v>
      </c>
      <c r="S116" t="s">
        <v>28</v>
      </c>
      <c r="T116">
        <v>3161</v>
      </c>
      <c r="U116" t="s">
        <v>51</v>
      </c>
      <c r="V116" t="s">
        <v>60</v>
      </c>
      <c r="W116" t="s">
        <v>53</v>
      </c>
    </row>
    <row r="117" spans="1:23" x14ac:dyDescent="0.3">
      <c r="A117">
        <v>6650</v>
      </c>
      <c r="B117" t="s">
        <v>159</v>
      </c>
      <c r="C117" s="1">
        <v>45354</v>
      </c>
      <c r="D117" s="1">
        <v>45622</v>
      </c>
      <c r="E117">
        <v>11.99</v>
      </c>
      <c r="F117">
        <v>464</v>
      </c>
      <c r="G117" t="s">
        <v>33</v>
      </c>
      <c r="H117">
        <v>2</v>
      </c>
      <c r="I117">
        <v>3</v>
      </c>
      <c r="J117" t="b">
        <v>1</v>
      </c>
      <c r="K117">
        <v>909</v>
      </c>
      <c r="L117">
        <v>165</v>
      </c>
      <c r="M117" t="s">
        <v>63</v>
      </c>
      <c r="N117" t="s">
        <v>64</v>
      </c>
      <c r="O117" t="s">
        <v>50</v>
      </c>
      <c r="P117">
        <v>28</v>
      </c>
      <c r="Q117">
        <v>3.6</v>
      </c>
      <c r="R117" t="b">
        <v>1</v>
      </c>
      <c r="S117" t="s">
        <v>28</v>
      </c>
      <c r="T117">
        <v>3607</v>
      </c>
      <c r="U117" t="s">
        <v>35</v>
      </c>
      <c r="V117" t="s">
        <v>52</v>
      </c>
      <c r="W117" t="s">
        <v>37</v>
      </c>
    </row>
    <row r="118" spans="1:23" x14ac:dyDescent="0.3">
      <c r="A118">
        <v>2581</v>
      </c>
      <c r="B118" t="s">
        <v>160</v>
      </c>
      <c r="C118" s="1">
        <v>45029</v>
      </c>
      <c r="D118" s="1">
        <v>45628</v>
      </c>
      <c r="E118">
        <v>15.99</v>
      </c>
      <c r="F118">
        <v>495</v>
      </c>
      <c r="G118" t="s">
        <v>46</v>
      </c>
      <c r="H118">
        <v>1</v>
      </c>
      <c r="I118">
        <v>3</v>
      </c>
      <c r="J118" t="b">
        <v>0</v>
      </c>
      <c r="K118">
        <v>704</v>
      </c>
      <c r="L118">
        <v>53</v>
      </c>
      <c r="M118" t="s">
        <v>44</v>
      </c>
      <c r="N118" t="s">
        <v>49</v>
      </c>
      <c r="O118" t="s">
        <v>56</v>
      </c>
      <c r="P118">
        <v>94</v>
      </c>
      <c r="Q118">
        <v>3.4</v>
      </c>
      <c r="R118" t="b">
        <v>0</v>
      </c>
      <c r="S118" t="s">
        <v>28</v>
      </c>
      <c r="T118">
        <v>944</v>
      </c>
      <c r="U118" t="s">
        <v>65</v>
      </c>
      <c r="V118" t="s">
        <v>68</v>
      </c>
      <c r="W118" t="s">
        <v>37</v>
      </c>
    </row>
    <row r="119" spans="1:23" x14ac:dyDescent="0.3">
      <c r="A119">
        <v>6860</v>
      </c>
      <c r="B119" t="s">
        <v>161</v>
      </c>
      <c r="C119" s="1">
        <v>45333</v>
      </c>
      <c r="D119" s="1">
        <v>45642</v>
      </c>
      <c r="E119">
        <v>7.99</v>
      </c>
      <c r="F119">
        <v>286</v>
      </c>
      <c r="G119" t="s">
        <v>33</v>
      </c>
      <c r="H119">
        <v>5</v>
      </c>
      <c r="I119">
        <v>4</v>
      </c>
      <c r="J119" t="b">
        <v>0</v>
      </c>
      <c r="K119">
        <v>751</v>
      </c>
      <c r="L119">
        <v>103</v>
      </c>
      <c r="M119" t="s">
        <v>44</v>
      </c>
      <c r="N119" t="s">
        <v>64</v>
      </c>
      <c r="O119" t="s">
        <v>67</v>
      </c>
      <c r="P119">
        <v>33</v>
      </c>
      <c r="Q119">
        <v>3.6</v>
      </c>
      <c r="R119" t="b">
        <v>0</v>
      </c>
      <c r="S119" t="s">
        <v>28</v>
      </c>
      <c r="T119">
        <v>2757</v>
      </c>
      <c r="U119" t="s">
        <v>51</v>
      </c>
      <c r="V119" t="s">
        <v>68</v>
      </c>
      <c r="W119" t="s">
        <v>31</v>
      </c>
    </row>
    <row r="120" spans="1:23" x14ac:dyDescent="0.3">
      <c r="A120">
        <v>4584</v>
      </c>
      <c r="B120" t="s">
        <v>99</v>
      </c>
      <c r="C120" s="1">
        <v>45561</v>
      </c>
      <c r="D120" s="1">
        <v>45640</v>
      </c>
      <c r="E120">
        <v>7.99</v>
      </c>
      <c r="F120">
        <v>446</v>
      </c>
      <c r="G120" t="s">
        <v>33</v>
      </c>
      <c r="H120">
        <v>3</v>
      </c>
      <c r="I120">
        <v>6</v>
      </c>
      <c r="J120" t="b">
        <v>0</v>
      </c>
      <c r="K120">
        <v>185</v>
      </c>
      <c r="L120">
        <v>134</v>
      </c>
      <c r="M120" t="s">
        <v>25</v>
      </c>
      <c r="N120" t="s">
        <v>49</v>
      </c>
      <c r="O120" t="s">
        <v>50</v>
      </c>
      <c r="P120">
        <v>18</v>
      </c>
      <c r="Q120">
        <v>3.3</v>
      </c>
      <c r="R120" t="b">
        <v>0</v>
      </c>
      <c r="S120" t="s">
        <v>28</v>
      </c>
      <c r="T120">
        <v>727</v>
      </c>
      <c r="U120" t="s">
        <v>29</v>
      </c>
      <c r="V120" t="s">
        <v>60</v>
      </c>
      <c r="W120" t="s">
        <v>53</v>
      </c>
    </row>
    <row r="121" spans="1:23" x14ac:dyDescent="0.3">
      <c r="A121">
        <v>3354</v>
      </c>
      <c r="B121" t="s">
        <v>105</v>
      </c>
      <c r="C121" s="1">
        <v>45200</v>
      </c>
      <c r="D121" s="1">
        <v>45618</v>
      </c>
      <c r="E121">
        <v>11.99</v>
      </c>
      <c r="F121">
        <v>342</v>
      </c>
      <c r="G121" t="s">
        <v>62</v>
      </c>
      <c r="H121">
        <v>2</v>
      </c>
      <c r="I121">
        <v>2</v>
      </c>
      <c r="J121" t="b">
        <v>0</v>
      </c>
      <c r="K121">
        <v>503</v>
      </c>
      <c r="L121">
        <v>6</v>
      </c>
      <c r="M121" t="s">
        <v>74</v>
      </c>
      <c r="N121" t="s">
        <v>26</v>
      </c>
      <c r="O121" t="s">
        <v>67</v>
      </c>
      <c r="P121">
        <v>23</v>
      </c>
      <c r="Q121">
        <v>3.2</v>
      </c>
      <c r="R121" t="b">
        <v>1</v>
      </c>
      <c r="S121" t="s">
        <v>28</v>
      </c>
      <c r="T121">
        <v>3496</v>
      </c>
      <c r="U121" t="s">
        <v>57</v>
      </c>
      <c r="V121" t="s">
        <v>60</v>
      </c>
      <c r="W121" t="s">
        <v>75</v>
      </c>
    </row>
    <row r="122" spans="1:23" x14ac:dyDescent="0.3">
      <c r="A122">
        <v>4668</v>
      </c>
      <c r="B122" t="s">
        <v>162</v>
      </c>
      <c r="C122" s="1">
        <v>45643</v>
      </c>
      <c r="D122" s="1">
        <v>45635</v>
      </c>
      <c r="E122">
        <v>11.99</v>
      </c>
      <c r="F122">
        <v>396</v>
      </c>
      <c r="G122" t="s">
        <v>43</v>
      </c>
      <c r="H122">
        <v>5</v>
      </c>
      <c r="I122">
        <v>5</v>
      </c>
      <c r="J122" t="b">
        <v>1</v>
      </c>
      <c r="K122">
        <v>549</v>
      </c>
      <c r="L122">
        <v>35</v>
      </c>
      <c r="M122" t="s">
        <v>39</v>
      </c>
      <c r="N122" t="s">
        <v>26</v>
      </c>
      <c r="O122" t="s">
        <v>34</v>
      </c>
      <c r="P122">
        <v>66</v>
      </c>
      <c r="Q122">
        <v>3.6</v>
      </c>
      <c r="R122" t="b">
        <v>1</v>
      </c>
      <c r="S122" t="s">
        <v>28</v>
      </c>
      <c r="T122">
        <v>4293</v>
      </c>
      <c r="U122" t="s">
        <v>57</v>
      </c>
      <c r="V122" t="s">
        <v>68</v>
      </c>
      <c r="W122" t="s">
        <v>53</v>
      </c>
    </row>
    <row r="123" spans="1:23" x14ac:dyDescent="0.3">
      <c r="A123">
        <v>6684</v>
      </c>
      <c r="B123" t="s">
        <v>163</v>
      </c>
      <c r="C123" s="1">
        <v>45552</v>
      </c>
      <c r="D123" s="1">
        <v>45637</v>
      </c>
      <c r="E123">
        <v>11.99</v>
      </c>
      <c r="F123">
        <v>491</v>
      </c>
      <c r="G123" t="s">
        <v>79</v>
      </c>
      <c r="H123">
        <v>1</v>
      </c>
      <c r="I123">
        <v>6</v>
      </c>
      <c r="J123" t="b">
        <v>1</v>
      </c>
      <c r="K123">
        <v>434</v>
      </c>
      <c r="L123">
        <v>182</v>
      </c>
      <c r="M123" t="s">
        <v>63</v>
      </c>
      <c r="N123" t="s">
        <v>64</v>
      </c>
      <c r="O123" t="s">
        <v>50</v>
      </c>
      <c r="P123">
        <v>24</v>
      </c>
      <c r="Q123">
        <v>4.0999999999999996</v>
      </c>
      <c r="R123" t="b">
        <v>0</v>
      </c>
      <c r="S123" t="s">
        <v>28</v>
      </c>
      <c r="T123">
        <v>1357</v>
      </c>
      <c r="U123" t="s">
        <v>65</v>
      </c>
      <c r="V123" t="s">
        <v>60</v>
      </c>
      <c r="W123" t="s">
        <v>31</v>
      </c>
    </row>
    <row r="124" spans="1:23" x14ac:dyDescent="0.3">
      <c r="A124">
        <v>8058</v>
      </c>
      <c r="B124" t="s">
        <v>164</v>
      </c>
      <c r="C124" s="1">
        <v>45018</v>
      </c>
      <c r="D124" s="1">
        <v>45640</v>
      </c>
      <c r="E124">
        <v>15.99</v>
      </c>
      <c r="F124">
        <v>239</v>
      </c>
      <c r="G124" t="s">
        <v>43</v>
      </c>
      <c r="H124">
        <v>4</v>
      </c>
      <c r="I124">
        <v>6</v>
      </c>
      <c r="J124" t="b">
        <v>0</v>
      </c>
      <c r="K124">
        <v>832</v>
      </c>
      <c r="L124">
        <v>134</v>
      </c>
      <c r="M124" t="s">
        <v>59</v>
      </c>
      <c r="N124" t="s">
        <v>64</v>
      </c>
      <c r="O124" t="s">
        <v>50</v>
      </c>
      <c r="P124">
        <v>99</v>
      </c>
      <c r="Q124">
        <v>4.5999999999999996</v>
      </c>
      <c r="R124" t="b">
        <v>1</v>
      </c>
      <c r="S124" t="s">
        <v>28</v>
      </c>
      <c r="T124">
        <v>3596</v>
      </c>
      <c r="U124" t="s">
        <v>35</v>
      </c>
      <c r="V124" t="s">
        <v>52</v>
      </c>
      <c r="W124" t="s">
        <v>53</v>
      </c>
    </row>
    <row r="125" spans="1:23" x14ac:dyDescent="0.3">
      <c r="A125">
        <v>3035</v>
      </c>
      <c r="B125" t="s">
        <v>109</v>
      </c>
      <c r="C125" s="1">
        <v>45042</v>
      </c>
      <c r="D125" s="1">
        <v>45620</v>
      </c>
      <c r="E125">
        <v>15.99</v>
      </c>
      <c r="F125">
        <v>106</v>
      </c>
      <c r="G125" t="s">
        <v>79</v>
      </c>
      <c r="H125">
        <v>3</v>
      </c>
      <c r="I125">
        <v>3</v>
      </c>
      <c r="J125" t="b">
        <v>1</v>
      </c>
      <c r="K125">
        <v>377</v>
      </c>
      <c r="L125">
        <v>31</v>
      </c>
      <c r="M125" t="s">
        <v>63</v>
      </c>
      <c r="N125" t="s">
        <v>49</v>
      </c>
      <c r="O125" t="s">
        <v>56</v>
      </c>
      <c r="P125">
        <v>85</v>
      </c>
      <c r="Q125">
        <v>3.5</v>
      </c>
      <c r="R125" t="b">
        <v>1</v>
      </c>
      <c r="S125" t="s">
        <v>28</v>
      </c>
      <c r="T125">
        <v>613</v>
      </c>
      <c r="U125" t="s">
        <v>35</v>
      </c>
      <c r="V125" t="s">
        <v>68</v>
      </c>
      <c r="W125" t="s">
        <v>31</v>
      </c>
    </row>
    <row r="126" spans="1:23" x14ac:dyDescent="0.3">
      <c r="A126">
        <v>2146</v>
      </c>
      <c r="B126" t="s">
        <v>165</v>
      </c>
      <c r="C126" s="1">
        <v>45484</v>
      </c>
      <c r="D126" s="1">
        <v>45618</v>
      </c>
      <c r="E126">
        <v>11.99</v>
      </c>
      <c r="F126">
        <v>388</v>
      </c>
      <c r="G126" t="s">
        <v>55</v>
      </c>
      <c r="H126">
        <v>5</v>
      </c>
      <c r="I126">
        <v>4</v>
      </c>
      <c r="J126" t="b">
        <v>1</v>
      </c>
      <c r="K126">
        <v>380</v>
      </c>
      <c r="L126">
        <v>125</v>
      </c>
      <c r="M126" t="s">
        <v>59</v>
      </c>
      <c r="N126" t="s">
        <v>26</v>
      </c>
      <c r="O126" t="s">
        <v>34</v>
      </c>
      <c r="P126">
        <v>14</v>
      </c>
      <c r="Q126">
        <v>3.2</v>
      </c>
      <c r="R126" t="b">
        <v>0</v>
      </c>
      <c r="S126" t="s">
        <v>28</v>
      </c>
      <c r="T126">
        <v>2381</v>
      </c>
      <c r="U126" t="s">
        <v>65</v>
      </c>
      <c r="V126" t="s">
        <v>36</v>
      </c>
      <c r="W126" t="s">
        <v>75</v>
      </c>
    </row>
    <row r="127" spans="1:23" x14ac:dyDescent="0.3">
      <c r="A127">
        <v>5761</v>
      </c>
      <c r="B127" t="s">
        <v>166</v>
      </c>
      <c r="C127" s="1">
        <v>45311</v>
      </c>
      <c r="D127" s="1">
        <v>45634</v>
      </c>
      <c r="E127">
        <v>15.99</v>
      </c>
      <c r="F127">
        <v>452</v>
      </c>
      <c r="G127" t="s">
        <v>33</v>
      </c>
      <c r="H127">
        <v>2</v>
      </c>
      <c r="I127">
        <v>5</v>
      </c>
      <c r="J127" t="b">
        <v>0</v>
      </c>
      <c r="K127">
        <v>315</v>
      </c>
      <c r="L127">
        <v>118</v>
      </c>
      <c r="M127" t="s">
        <v>48</v>
      </c>
      <c r="N127" t="s">
        <v>64</v>
      </c>
      <c r="O127" t="s">
        <v>50</v>
      </c>
      <c r="P127">
        <v>28</v>
      </c>
      <c r="Q127">
        <v>3</v>
      </c>
      <c r="R127" t="b">
        <v>1</v>
      </c>
      <c r="S127" t="s">
        <v>28</v>
      </c>
      <c r="T127">
        <v>2159</v>
      </c>
      <c r="U127" t="s">
        <v>35</v>
      </c>
      <c r="V127" t="s">
        <v>60</v>
      </c>
      <c r="W127" t="s">
        <v>53</v>
      </c>
    </row>
    <row r="128" spans="1:23" x14ac:dyDescent="0.3">
      <c r="A128">
        <v>5256</v>
      </c>
      <c r="B128" t="s">
        <v>167</v>
      </c>
      <c r="C128" s="1">
        <v>45614</v>
      </c>
      <c r="D128" s="1">
        <v>45628</v>
      </c>
      <c r="E128">
        <v>15.99</v>
      </c>
      <c r="F128">
        <v>368</v>
      </c>
      <c r="G128" t="s">
        <v>43</v>
      </c>
      <c r="H128">
        <v>4</v>
      </c>
      <c r="I128">
        <v>4</v>
      </c>
      <c r="J128" t="b">
        <v>1</v>
      </c>
      <c r="K128">
        <v>968</v>
      </c>
      <c r="L128">
        <v>24</v>
      </c>
      <c r="M128" t="s">
        <v>59</v>
      </c>
      <c r="N128" t="s">
        <v>40</v>
      </c>
      <c r="O128" t="s">
        <v>41</v>
      </c>
      <c r="P128">
        <v>30</v>
      </c>
      <c r="Q128">
        <v>3</v>
      </c>
      <c r="R128" t="b">
        <v>1</v>
      </c>
      <c r="S128" t="s">
        <v>28</v>
      </c>
      <c r="T128">
        <v>119</v>
      </c>
      <c r="U128" t="s">
        <v>65</v>
      </c>
      <c r="V128" t="s">
        <v>68</v>
      </c>
      <c r="W128" t="s">
        <v>31</v>
      </c>
    </row>
    <row r="129" spans="1:23" x14ac:dyDescent="0.3">
      <c r="A129">
        <v>5995</v>
      </c>
      <c r="B129" t="s">
        <v>153</v>
      </c>
      <c r="C129" s="1">
        <v>45094</v>
      </c>
      <c r="D129" s="1">
        <v>45623</v>
      </c>
      <c r="E129">
        <v>15.99</v>
      </c>
      <c r="F129">
        <v>325</v>
      </c>
      <c r="G129" t="s">
        <v>24</v>
      </c>
      <c r="H129">
        <v>2</v>
      </c>
      <c r="I129">
        <v>5</v>
      </c>
      <c r="J129" t="b">
        <v>1</v>
      </c>
      <c r="K129">
        <v>757</v>
      </c>
      <c r="L129">
        <v>35</v>
      </c>
      <c r="M129" t="s">
        <v>44</v>
      </c>
      <c r="N129" t="s">
        <v>49</v>
      </c>
      <c r="O129" t="s">
        <v>41</v>
      </c>
      <c r="P129">
        <v>81</v>
      </c>
      <c r="Q129">
        <v>4.5999999999999996</v>
      </c>
      <c r="R129" t="b">
        <v>0</v>
      </c>
      <c r="S129" t="s">
        <v>28</v>
      </c>
      <c r="T129">
        <v>2798</v>
      </c>
      <c r="U129" t="s">
        <v>29</v>
      </c>
      <c r="V129" t="s">
        <v>36</v>
      </c>
      <c r="W129" t="s">
        <v>31</v>
      </c>
    </row>
    <row r="130" spans="1:23" x14ac:dyDescent="0.3">
      <c r="A130">
        <v>4155</v>
      </c>
      <c r="B130" t="s">
        <v>168</v>
      </c>
      <c r="C130" s="1">
        <v>44992</v>
      </c>
      <c r="D130" s="1">
        <v>45632</v>
      </c>
      <c r="E130">
        <v>11.99</v>
      </c>
      <c r="F130">
        <v>42</v>
      </c>
      <c r="G130" t="s">
        <v>43</v>
      </c>
      <c r="H130">
        <v>4</v>
      </c>
      <c r="I130">
        <v>2</v>
      </c>
      <c r="J130" t="b">
        <v>0</v>
      </c>
      <c r="K130">
        <v>560</v>
      </c>
      <c r="L130">
        <v>98</v>
      </c>
      <c r="M130" t="s">
        <v>74</v>
      </c>
      <c r="N130" t="s">
        <v>40</v>
      </c>
      <c r="O130" t="s">
        <v>41</v>
      </c>
      <c r="P130">
        <v>90</v>
      </c>
      <c r="Q130">
        <v>3.8</v>
      </c>
      <c r="R130" t="b">
        <v>0</v>
      </c>
      <c r="S130" t="s">
        <v>28</v>
      </c>
      <c r="T130">
        <v>496</v>
      </c>
      <c r="U130" t="s">
        <v>57</v>
      </c>
      <c r="V130" t="s">
        <v>52</v>
      </c>
      <c r="W130" t="s">
        <v>75</v>
      </c>
    </row>
    <row r="131" spans="1:23" x14ac:dyDescent="0.3">
      <c r="A131">
        <v>1851</v>
      </c>
      <c r="B131" t="s">
        <v>72</v>
      </c>
      <c r="C131" s="1">
        <v>45202</v>
      </c>
      <c r="D131" s="1">
        <v>45637</v>
      </c>
      <c r="E131">
        <v>11.99</v>
      </c>
      <c r="F131">
        <v>344</v>
      </c>
      <c r="G131" t="s">
        <v>55</v>
      </c>
      <c r="H131">
        <v>3</v>
      </c>
      <c r="I131">
        <v>1</v>
      </c>
      <c r="J131" t="b">
        <v>0</v>
      </c>
      <c r="K131">
        <v>456</v>
      </c>
      <c r="L131">
        <v>196</v>
      </c>
      <c r="M131" t="s">
        <v>74</v>
      </c>
      <c r="N131" t="s">
        <v>49</v>
      </c>
      <c r="O131" t="s">
        <v>41</v>
      </c>
      <c r="P131">
        <v>83</v>
      </c>
      <c r="Q131">
        <v>5</v>
      </c>
      <c r="R131" t="b">
        <v>0</v>
      </c>
      <c r="S131" t="s">
        <v>28</v>
      </c>
      <c r="T131">
        <v>3599</v>
      </c>
      <c r="U131" t="s">
        <v>35</v>
      </c>
      <c r="V131" t="s">
        <v>60</v>
      </c>
      <c r="W131" t="s">
        <v>37</v>
      </c>
    </row>
    <row r="132" spans="1:23" x14ac:dyDescent="0.3">
      <c r="A132">
        <v>8068</v>
      </c>
      <c r="B132" t="s">
        <v>169</v>
      </c>
      <c r="C132" s="1">
        <v>45640</v>
      </c>
      <c r="D132" s="1">
        <v>45619</v>
      </c>
      <c r="E132">
        <v>15.99</v>
      </c>
      <c r="F132">
        <v>77</v>
      </c>
      <c r="G132" t="s">
        <v>33</v>
      </c>
      <c r="H132">
        <v>5</v>
      </c>
      <c r="I132">
        <v>3</v>
      </c>
      <c r="J132" t="b">
        <v>0</v>
      </c>
      <c r="K132">
        <v>780</v>
      </c>
      <c r="L132">
        <v>138</v>
      </c>
      <c r="M132" t="s">
        <v>48</v>
      </c>
      <c r="N132" t="s">
        <v>64</v>
      </c>
      <c r="O132" t="s">
        <v>67</v>
      </c>
      <c r="P132">
        <v>66</v>
      </c>
      <c r="Q132">
        <v>3.4</v>
      </c>
      <c r="R132" t="b">
        <v>0</v>
      </c>
      <c r="S132" t="s">
        <v>28</v>
      </c>
      <c r="T132">
        <v>1752</v>
      </c>
      <c r="U132" t="s">
        <v>65</v>
      </c>
      <c r="V132" t="s">
        <v>52</v>
      </c>
      <c r="W132" t="s">
        <v>75</v>
      </c>
    </row>
    <row r="133" spans="1:23" x14ac:dyDescent="0.3">
      <c r="A133">
        <v>8425</v>
      </c>
      <c r="B133" t="s">
        <v>32</v>
      </c>
      <c r="C133" s="1">
        <v>45610</v>
      </c>
      <c r="D133" s="1">
        <v>45624</v>
      </c>
      <c r="E133">
        <v>7.99</v>
      </c>
      <c r="F133">
        <v>237</v>
      </c>
      <c r="G133" t="s">
        <v>62</v>
      </c>
      <c r="H133">
        <v>5</v>
      </c>
      <c r="I133">
        <v>3</v>
      </c>
      <c r="J133" t="b">
        <v>1</v>
      </c>
      <c r="K133">
        <v>168</v>
      </c>
      <c r="L133">
        <v>18</v>
      </c>
      <c r="M133" t="s">
        <v>59</v>
      </c>
      <c r="N133" t="s">
        <v>64</v>
      </c>
      <c r="O133" t="s">
        <v>41</v>
      </c>
      <c r="P133">
        <v>32</v>
      </c>
      <c r="Q133">
        <v>3.5</v>
      </c>
      <c r="R133" t="b">
        <v>1</v>
      </c>
      <c r="S133" t="s">
        <v>28</v>
      </c>
      <c r="T133">
        <v>3633</v>
      </c>
      <c r="U133" t="s">
        <v>57</v>
      </c>
      <c r="V133" t="s">
        <v>36</v>
      </c>
      <c r="W133" t="s">
        <v>37</v>
      </c>
    </row>
    <row r="134" spans="1:23" x14ac:dyDescent="0.3">
      <c r="A134">
        <v>4706</v>
      </c>
      <c r="B134" t="s">
        <v>115</v>
      </c>
      <c r="C134" s="1">
        <v>44965</v>
      </c>
      <c r="D134" s="1">
        <v>45632</v>
      </c>
      <c r="E134">
        <v>11.99</v>
      </c>
      <c r="F134">
        <v>480</v>
      </c>
      <c r="G134" t="s">
        <v>43</v>
      </c>
      <c r="H134">
        <v>1</v>
      </c>
      <c r="I134">
        <v>2</v>
      </c>
      <c r="J134" t="b">
        <v>1</v>
      </c>
      <c r="K134">
        <v>350</v>
      </c>
      <c r="L134">
        <v>122</v>
      </c>
      <c r="M134" t="s">
        <v>74</v>
      </c>
      <c r="N134" t="s">
        <v>26</v>
      </c>
      <c r="O134" t="s">
        <v>50</v>
      </c>
      <c r="P134">
        <v>59</v>
      </c>
      <c r="Q134">
        <v>4.5999999999999996</v>
      </c>
      <c r="R134" t="b">
        <v>0</v>
      </c>
      <c r="S134" t="s">
        <v>28</v>
      </c>
      <c r="T134">
        <v>3568</v>
      </c>
      <c r="U134" t="s">
        <v>35</v>
      </c>
      <c r="V134" t="s">
        <v>30</v>
      </c>
      <c r="W134" t="s">
        <v>31</v>
      </c>
    </row>
    <row r="135" spans="1:23" x14ac:dyDescent="0.3">
      <c r="A135">
        <v>7544</v>
      </c>
      <c r="B135" t="s">
        <v>170</v>
      </c>
      <c r="C135" s="1">
        <v>45170</v>
      </c>
      <c r="D135" s="1">
        <v>45621</v>
      </c>
      <c r="E135">
        <v>15.99</v>
      </c>
      <c r="F135">
        <v>152</v>
      </c>
      <c r="G135" t="s">
        <v>55</v>
      </c>
      <c r="H135">
        <v>1</v>
      </c>
      <c r="I135">
        <v>3</v>
      </c>
      <c r="J135" t="b">
        <v>0</v>
      </c>
      <c r="K135">
        <v>341</v>
      </c>
      <c r="L135">
        <v>193</v>
      </c>
      <c r="M135" t="s">
        <v>44</v>
      </c>
      <c r="N135" t="s">
        <v>49</v>
      </c>
      <c r="O135" t="s">
        <v>41</v>
      </c>
      <c r="P135">
        <v>95</v>
      </c>
      <c r="Q135">
        <v>3.7</v>
      </c>
      <c r="R135" t="b">
        <v>0</v>
      </c>
      <c r="S135" t="s">
        <v>28</v>
      </c>
      <c r="T135">
        <v>4361</v>
      </c>
      <c r="U135" t="s">
        <v>29</v>
      </c>
      <c r="V135" t="s">
        <v>60</v>
      </c>
      <c r="W135" t="s">
        <v>75</v>
      </c>
    </row>
    <row r="136" spans="1:23" x14ac:dyDescent="0.3">
      <c r="A136">
        <v>4029</v>
      </c>
      <c r="B136" t="s">
        <v>171</v>
      </c>
      <c r="C136" s="1">
        <v>45580</v>
      </c>
      <c r="D136" s="1">
        <v>45620</v>
      </c>
      <c r="E136">
        <v>11.99</v>
      </c>
      <c r="F136">
        <v>308</v>
      </c>
      <c r="G136" t="s">
        <v>33</v>
      </c>
      <c r="H136">
        <v>2</v>
      </c>
      <c r="I136">
        <v>3</v>
      </c>
      <c r="J136" t="b">
        <v>0</v>
      </c>
      <c r="K136">
        <v>392</v>
      </c>
      <c r="L136">
        <v>151</v>
      </c>
      <c r="M136" t="s">
        <v>39</v>
      </c>
      <c r="N136" t="s">
        <v>40</v>
      </c>
      <c r="O136" t="s">
        <v>34</v>
      </c>
      <c r="P136">
        <v>27</v>
      </c>
      <c r="Q136">
        <v>4.2</v>
      </c>
      <c r="R136" t="b">
        <v>1</v>
      </c>
      <c r="S136" t="s">
        <v>28</v>
      </c>
      <c r="T136">
        <v>1176</v>
      </c>
      <c r="U136" t="s">
        <v>29</v>
      </c>
      <c r="V136" t="s">
        <v>52</v>
      </c>
      <c r="W136" t="s">
        <v>37</v>
      </c>
    </row>
    <row r="137" spans="1:23" x14ac:dyDescent="0.3">
      <c r="A137">
        <v>6117</v>
      </c>
      <c r="B137" t="s">
        <v>104</v>
      </c>
      <c r="C137" s="1">
        <v>45442</v>
      </c>
      <c r="D137" s="1">
        <v>45623</v>
      </c>
      <c r="E137">
        <v>7.99</v>
      </c>
      <c r="F137">
        <v>14</v>
      </c>
      <c r="G137" t="s">
        <v>33</v>
      </c>
      <c r="H137">
        <v>5</v>
      </c>
      <c r="I137">
        <v>5</v>
      </c>
      <c r="J137" t="b">
        <v>1</v>
      </c>
      <c r="K137">
        <v>95</v>
      </c>
      <c r="L137">
        <v>158</v>
      </c>
      <c r="M137" t="s">
        <v>59</v>
      </c>
      <c r="N137" t="s">
        <v>49</v>
      </c>
      <c r="O137" t="s">
        <v>27</v>
      </c>
      <c r="P137">
        <v>49</v>
      </c>
      <c r="Q137">
        <v>3.9</v>
      </c>
      <c r="R137" t="b">
        <v>0</v>
      </c>
      <c r="S137" t="s">
        <v>28</v>
      </c>
      <c r="T137">
        <v>1849</v>
      </c>
      <c r="U137" t="s">
        <v>65</v>
      </c>
      <c r="V137" t="s">
        <v>52</v>
      </c>
      <c r="W137" t="s">
        <v>37</v>
      </c>
    </row>
    <row r="138" spans="1:23" x14ac:dyDescent="0.3">
      <c r="A138">
        <v>1408</v>
      </c>
      <c r="B138" t="s">
        <v>172</v>
      </c>
      <c r="C138" s="1">
        <v>44949</v>
      </c>
      <c r="D138" s="1">
        <v>45616</v>
      </c>
      <c r="E138">
        <v>11.99</v>
      </c>
      <c r="F138">
        <v>233</v>
      </c>
      <c r="G138" t="s">
        <v>33</v>
      </c>
      <c r="H138">
        <v>5</v>
      </c>
      <c r="I138">
        <v>6</v>
      </c>
      <c r="J138" t="b">
        <v>1</v>
      </c>
      <c r="K138">
        <v>186</v>
      </c>
      <c r="L138">
        <v>129</v>
      </c>
      <c r="M138" t="s">
        <v>48</v>
      </c>
      <c r="N138" t="s">
        <v>40</v>
      </c>
      <c r="O138" t="s">
        <v>27</v>
      </c>
      <c r="P138">
        <v>38</v>
      </c>
      <c r="Q138">
        <v>4</v>
      </c>
      <c r="R138" t="b">
        <v>1</v>
      </c>
      <c r="S138" t="s">
        <v>28</v>
      </c>
      <c r="T138">
        <v>3953</v>
      </c>
      <c r="U138" t="s">
        <v>57</v>
      </c>
      <c r="V138" t="s">
        <v>30</v>
      </c>
      <c r="W138" t="s">
        <v>37</v>
      </c>
    </row>
    <row r="139" spans="1:23" x14ac:dyDescent="0.3">
      <c r="A139">
        <v>8396</v>
      </c>
      <c r="B139" t="s">
        <v>47</v>
      </c>
      <c r="C139" s="1">
        <v>45338</v>
      </c>
      <c r="D139" s="1">
        <v>45637</v>
      </c>
      <c r="E139">
        <v>7.99</v>
      </c>
      <c r="F139">
        <v>169</v>
      </c>
      <c r="G139" t="s">
        <v>46</v>
      </c>
      <c r="H139">
        <v>1</v>
      </c>
      <c r="I139">
        <v>5</v>
      </c>
      <c r="J139" t="b">
        <v>0</v>
      </c>
      <c r="K139">
        <v>543</v>
      </c>
      <c r="L139">
        <v>111</v>
      </c>
      <c r="M139" t="s">
        <v>63</v>
      </c>
      <c r="N139" t="s">
        <v>26</v>
      </c>
      <c r="O139" t="s">
        <v>67</v>
      </c>
      <c r="P139">
        <v>28</v>
      </c>
      <c r="Q139">
        <v>3.7</v>
      </c>
      <c r="R139" t="b">
        <v>0</v>
      </c>
      <c r="S139" t="s">
        <v>28</v>
      </c>
      <c r="T139">
        <v>3277</v>
      </c>
      <c r="U139" t="s">
        <v>51</v>
      </c>
      <c r="V139" t="s">
        <v>68</v>
      </c>
      <c r="W139" t="s">
        <v>37</v>
      </c>
    </row>
    <row r="140" spans="1:23" x14ac:dyDescent="0.3">
      <c r="A140">
        <v>6806</v>
      </c>
      <c r="B140" t="s">
        <v>173</v>
      </c>
      <c r="C140" s="1">
        <v>45278</v>
      </c>
      <c r="D140" s="1">
        <v>45619</v>
      </c>
      <c r="E140">
        <v>7.99</v>
      </c>
      <c r="F140">
        <v>358</v>
      </c>
      <c r="G140" t="s">
        <v>24</v>
      </c>
      <c r="H140">
        <v>2</v>
      </c>
      <c r="I140">
        <v>3</v>
      </c>
      <c r="J140" t="b">
        <v>1</v>
      </c>
      <c r="K140">
        <v>858</v>
      </c>
      <c r="L140">
        <v>65</v>
      </c>
      <c r="M140" t="s">
        <v>63</v>
      </c>
      <c r="N140" t="s">
        <v>40</v>
      </c>
      <c r="O140" t="s">
        <v>41</v>
      </c>
      <c r="P140">
        <v>5</v>
      </c>
      <c r="Q140">
        <v>4.5999999999999996</v>
      </c>
      <c r="R140" t="b">
        <v>1</v>
      </c>
      <c r="S140" t="s">
        <v>28</v>
      </c>
      <c r="T140">
        <v>1572</v>
      </c>
      <c r="U140" t="s">
        <v>57</v>
      </c>
      <c r="V140" t="s">
        <v>60</v>
      </c>
      <c r="W140" t="s">
        <v>75</v>
      </c>
    </row>
    <row r="141" spans="1:23" x14ac:dyDescent="0.3">
      <c r="A141">
        <v>3496</v>
      </c>
      <c r="B141" t="s">
        <v>156</v>
      </c>
      <c r="C141" s="1">
        <v>45254</v>
      </c>
      <c r="D141" s="1">
        <v>45637</v>
      </c>
      <c r="E141">
        <v>11.99</v>
      </c>
      <c r="F141">
        <v>404</v>
      </c>
      <c r="G141" t="s">
        <v>33</v>
      </c>
      <c r="H141">
        <v>4</v>
      </c>
      <c r="I141">
        <v>6</v>
      </c>
      <c r="J141" t="b">
        <v>0</v>
      </c>
      <c r="K141">
        <v>906</v>
      </c>
      <c r="L141">
        <v>43</v>
      </c>
      <c r="M141" t="s">
        <v>48</v>
      </c>
      <c r="N141" t="s">
        <v>26</v>
      </c>
      <c r="O141" t="s">
        <v>34</v>
      </c>
      <c r="P141">
        <v>59</v>
      </c>
      <c r="Q141">
        <v>4.9000000000000004</v>
      </c>
      <c r="R141" t="b">
        <v>1</v>
      </c>
      <c r="S141" t="s">
        <v>28</v>
      </c>
      <c r="T141">
        <v>2676</v>
      </c>
      <c r="U141" t="s">
        <v>65</v>
      </c>
      <c r="V141" t="s">
        <v>36</v>
      </c>
      <c r="W141" t="s">
        <v>53</v>
      </c>
    </row>
    <row r="142" spans="1:23" x14ac:dyDescent="0.3">
      <c r="A142">
        <v>7840</v>
      </c>
      <c r="B142" t="s">
        <v>174</v>
      </c>
      <c r="C142" s="1">
        <v>45324</v>
      </c>
      <c r="D142" s="1">
        <v>45637</v>
      </c>
      <c r="E142">
        <v>15.99</v>
      </c>
      <c r="F142">
        <v>131</v>
      </c>
      <c r="G142" t="s">
        <v>62</v>
      </c>
      <c r="H142">
        <v>5</v>
      </c>
      <c r="I142">
        <v>3</v>
      </c>
      <c r="J142" t="b">
        <v>1</v>
      </c>
      <c r="K142">
        <v>808</v>
      </c>
      <c r="L142">
        <v>48</v>
      </c>
      <c r="M142" t="s">
        <v>44</v>
      </c>
      <c r="N142" t="s">
        <v>26</v>
      </c>
      <c r="O142" t="s">
        <v>27</v>
      </c>
      <c r="P142">
        <v>55</v>
      </c>
      <c r="Q142">
        <v>3.3</v>
      </c>
      <c r="R142" t="b">
        <v>1</v>
      </c>
      <c r="S142" t="s">
        <v>28</v>
      </c>
      <c r="T142">
        <v>3053</v>
      </c>
      <c r="U142" t="s">
        <v>51</v>
      </c>
      <c r="V142" t="s">
        <v>68</v>
      </c>
      <c r="W142" t="s">
        <v>75</v>
      </c>
    </row>
    <row r="143" spans="1:23" x14ac:dyDescent="0.3">
      <c r="A143">
        <v>2099</v>
      </c>
      <c r="B143" t="s">
        <v>109</v>
      </c>
      <c r="C143" s="1">
        <v>45493</v>
      </c>
      <c r="D143" s="1">
        <v>45619</v>
      </c>
      <c r="E143">
        <v>11.99</v>
      </c>
      <c r="F143">
        <v>32</v>
      </c>
      <c r="G143" t="s">
        <v>33</v>
      </c>
      <c r="H143">
        <v>1</v>
      </c>
      <c r="I143">
        <v>6</v>
      </c>
      <c r="J143" t="b">
        <v>1</v>
      </c>
      <c r="K143">
        <v>84</v>
      </c>
      <c r="L143">
        <v>73</v>
      </c>
      <c r="M143" t="s">
        <v>63</v>
      </c>
      <c r="N143" t="s">
        <v>64</v>
      </c>
      <c r="O143" t="s">
        <v>27</v>
      </c>
      <c r="P143">
        <v>59</v>
      </c>
      <c r="Q143">
        <v>3.6</v>
      </c>
      <c r="R143" t="b">
        <v>1</v>
      </c>
      <c r="S143" t="s">
        <v>28</v>
      </c>
      <c r="T143">
        <v>2620</v>
      </c>
      <c r="U143" t="s">
        <v>35</v>
      </c>
      <c r="V143" t="s">
        <v>30</v>
      </c>
      <c r="W143" t="s">
        <v>53</v>
      </c>
    </row>
    <row r="144" spans="1:23" x14ac:dyDescent="0.3">
      <c r="A144">
        <v>6518</v>
      </c>
      <c r="B144" t="s">
        <v>175</v>
      </c>
      <c r="C144" s="1">
        <v>45617</v>
      </c>
      <c r="D144" s="1">
        <v>45633</v>
      </c>
      <c r="E144">
        <v>7.99</v>
      </c>
      <c r="F144">
        <v>478</v>
      </c>
      <c r="G144" t="s">
        <v>24</v>
      </c>
      <c r="H144">
        <v>5</v>
      </c>
      <c r="I144">
        <v>3</v>
      </c>
      <c r="J144" t="b">
        <v>1</v>
      </c>
      <c r="K144">
        <v>780</v>
      </c>
      <c r="L144">
        <v>78</v>
      </c>
      <c r="M144" t="s">
        <v>44</v>
      </c>
      <c r="N144" t="s">
        <v>26</v>
      </c>
      <c r="O144" t="s">
        <v>50</v>
      </c>
      <c r="P144">
        <v>66</v>
      </c>
      <c r="Q144">
        <v>4</v>
      </c>
      <c r="R144" t="b">
        <v>0</v>
      </c>
      <c r="S144" t="s">
        <v>28</v>
      </c>
      <c r="T144">
        <v>4068</v>
      </c>
      <c r="U144" t="s">
        <v>51</v>
      </c>
      <c r="V144" t="s">
        <v>30</v>
      </c>
      <c r="W144" t="s">
        <v>53</v>
      </c>
    </row>
    <row r="145" spans="1:23" x14ac:dyDescent="0.3">
      <c r="A145">
        <v>1976</v>
      </c>
      <c r="B145" t="s">
        <v>161</v>
      </c>
      <c r="C145" s="1">
        <v>45585</v>
      </c>
      <c r="D145" s="1">
        <v>45642</v>
      </c>
      <c r="E145">
        <v>11.99</v>
      </c>
      <c r="F145">
        <v>88</v>
      </c>
      <c r="G145" t="s">
        <v>43</v>
      </c>
      <c r="H145">
        <v>3</v>
      </c>
      <c r="I145">
        <v>1</v>
      </c>
      <c r="J145" t="b">
        <v>0</v>
      </c>
      <c r="K145">
        <v>247</v>
      </c>
      <c r="L145">
        <v>30</v>
      </c>
      <c r="M145" t="s">
        <v>44</v>
      </c>
      <c r="N145" t="s">
        <v>40</v>
      </c>
      <c r="O145" t="s">
        <v>41</v>
      </c>
      <c r="P145">
        <v>46</v>
      </c>
      <c r="Q145">
        <v>4.7</v>
      </c>
      <c r="R145" t="b">
        <v>1</v>
      </c>
      <c r="S145" t="s">
        <v>28</v>
      </c>
      <c r="T145">
        <v>172</v>
      </c>
      <c r="U145" t="s">
        <v>65</v>
      </c>
      <c r="V145" t="s">
        <v>36</v>
      </c>
      <c r="W145" t="s">
        <v>53</v>
      </c>
    </row>
    <row r="146" spans="1:23" x14ac:dyDescent="0.3">
      <c r="A146">
        <v>8777</v>
      </c>
      <c r="B146" t="s">
        <v>176</v>
      </c>
      <c r="C146" s="1">
        <v>45333</v>
      </c>
      <c r="D146" s="1">
        <v>45623</v>
      </c>
      <c r="E146">
        <v>11.99</v>
      </c>
      <c r="F146">
        <v>395</v>
      </c>
      <c r="G146" t="s">
        <v>43</v>
      </c>
      <c r="H146">
        <v>4</v>
      </c>
      <c r="I146">
        <v>4</v>
      </c>
      <c r="J146" t="b">
        <v>0</v>
      </c>
      <c r="K146">
        <v>190</v>
      </c>
      <c r="L146">
        <v>105</v>
      </c>
      <c r="M146" t="s">
        <v>74</v>
      </c>
      <c r="N146" t="s">
        <v>49</v>
      </c>
      <c r="O146" t="s">
        <v>34</v>
      </c>
      <c r="P146">
        <v>67</v>
      </c>
      <c r="Q146">
        <v>4.0999999999999996</v>
      </c>
      <c r="R146" t="b">
        <v>0</v>
      </c>
      <c r="S146" t="s">
        <v>28</v>
      </c>
      <c r="T146">
        <v>1040</v>
      </c>
      <c r="U146" t="s">
        <v>29</v>
      </c>
      <c r="V146" t="s">
        <v>60</v>
      </c>
      <c r="W146" t="s">
        <v>37</v>
      </c>
    </row>
    <row r="147" spans="1:23" x14ac:dyDescent="0.3">
      <c r="A147">
        <v>1576</v>
      </c>
      <c r="B147" t="s">
        <v>113</v>
      </c>
      <c r="C147" s="1">
        <v>45004</v>
      </c>
      <c r="D147" s="1">
        <v>45616</v>
      </c>
      <c r="E147">
        <v>11.99</v>
      </c>
      <c r="F147">
        <v>385</v>
      </c>
      <c r="G147" t="s">
        <v>33</v>
      </c>
      <c r="H147">
        <v>4</v>
      </c>
      <c r="I147">
        <v>1</v>
      </c>
      <c r="J147" t="b">
        <v>1</v>
      </c>
      <c r="K147">
        <v>390</v>
      </c>
      <c r="L147">
        <v>163</v>
      </c>
      <c r="M147" t="s">
        <v>59</v>
      </c>
      <c r="N147" t="s">
        <v>64</v>
      </c>
      <c r="O147" t="s">
        <v>67</v>
      </c>
      <c r="P147">
        <v>43</v>
      </c>
      <c r="Q147">
        <v>3.3</v>
      </c>
      <c r="R147" t="b">
        <v>0</v>
      </c>
      <c r="S147" t="s">
        <v>28</v>
      </c>
      <c r="T147">
        <v>3574</v>
      </c>
      <c r="U147" t="s">
        <v>51</v>
      </c>
      <c r="V147" t="s">
        <v>36</v>
      </c>
      <c r="W147" t="s">
        <v>75</v>
      </c>
    </row>
    <row r="148" spans="1:23" x14ac:dyDescent="0.3">
      <c r="A148">
        <v>7979</v>
      </c>
      <c r="B148" t="s">
        <v>177</v>
      </c>
      <c r="C148" s="1">
        <v>45049</v>
      </c>
      <c r="D148" s="1">
        <v>45623</v>
      </c>
      <c r="E148">
        <v>11.99</v>
      </c>
      <c r="F148">
        <v>280</v>
      </c>
      <c r="G148" t="s">
        <v>43</v>
      </c>
      <c r="H148">
        <v>4</v>
      </c>
      <c r="I148">
        <v>5</v>
      </c>
      <c r="J148" t="b">
        <v>1</v>
      </c>
      <c r="K148">
        <v>203</v>
      </c>
      <c r="L148">
        <v>50</v>
      </c>
      <c r="M148" t="s">
        <v>74</v>
      </c>
      <c r="N148" t="s">
        <v>26</v>
      </c>
      <c r="O148" t="s">
        <v>50</v>
      </c>
      <c r="P148">
        <v>12</v>
      </c>
      <c r="Q148">
        <v>3.4</v>
      </c>
      <c r="R148" t="b">
        <v>1</v>
      </c>
      <c r="S148" t="s">
        <v>28</v>
      </c>
      <c r="T148">
        <v>3659</v>
      </c>
      <c r="U148" t="s">
        <v>29</v>
      </c>
      <c r="V148" t="s">
        <v>36</v>
      </c>
      <c r="W148" t="s">
        <v>53</v>
      </c>
    </row>
    <row r="149" spans="1:23" x14ac:dyDescent="0.3">
      <c r="A149">
        <v>6300</v>
      </c>
      <c r="B149" t="s">
        <v>178</v>
      </c>
      <c r="C149" s="1">
        <v>45189</v>
      </c>
      <c r="D149" s="1">
        <v>45635</v>
      </c>
      <c r="E149">
        <v>15.99</v>
      </c>
      <c r="F149">
        <v>164</v>
      </c>
      <c r="G149" t="s">
        <v>24</v>
      </c>
      <c r="H149">
        <v>3</v>
      </c>
      <c r="I149">
        <v>5</v>
      </c>
      <c r="J149" t="b">
        <v>0</v>
      </c>
      <c r="K149">
        <v>161</v>
      </c>
      <c r="L149">
        <v>77</v>
      </c>
      <c r="M149" t="s">
        <v>59</v>
      </c>
      <c r="N149" t="s">
        <v>64</v>
      </c>
      <c r="O149" t="s">
        <v>34</v>
      </c>
      <c r="P149">
        <v>97</v>
      </c>
      <c r="Q149">
        <v>3.7</v>
      </c>
      <c r="R149" t="b">
        <v>1</v>
      </c>
      <c r="S149" t="s">
        <v>28</v>
      </c>
      <c r="T149">
        <v>1991</v>
      </c>
      <c r="U149" t="s">
        <v>57</v>
      </c>
      <c r="V149" t="s">
        <v>60</v>
      </c>
      <c r="W149" t="s">
        <v>31</v>
      </c>
    </row>
    <row r="150" spans="1:23" x14ac:dyDescent="0.3">
      <c r="A150">
        <v>1003</v>
      </c>
      <c r="B150" t="s">
        <v>179</v>
      </c>
      <c r="C150" s="1">
        <v>45638</v>
      </c>
      <c r="D150" s="1">
        <v>45618</v>
      </c>
      <c r="E150">
        <v>11.99</v>
      </c>
      <c r="F150">
        <v>433</v>
      </c>
      <c r="G150" t="s">
        <v>55</v>
      </c>
      <c r="H150">
        <v>5</v>
      </c>
      <c r="I150">
        <v>4</v>
      </c>
      <c r="J150" t="b">
        <v>0</v>
      </c>
      <c r="K150">
        <v>350</v>
      </c>
      <c r="L150">
        <v>2</v>
      </c>
      <c r="M150" t="s">
        <v>63</v>
      </c>
      <c r="N150" t="s">
        <v>64</v>
      </c>
      <c r="O150" t="s">
        <v>50</v>
      </c>
      <c r="P150">
        <v>41</v>
      </c>
      <c r="Q150">
        <v>3.1</v>
      </c>
      <c r="R150" t="b">
        <v>1</v>
      </c>
      <c r="S150" t="s">
        <v>28</v>
      </c>
      <c r="T150">
        <v>2043</v>
      </c>
      <c r="U150" t="s">
        <v>29</v>
      </c>
      <c r="V150" t="s">
        <v>30</v>
      </c>
      <c r="W150" t="s">
        <v>31</v>
      </c>
    </row>
    <row r="151" spans="1:23" x14ac:dyDescent="0.3">
      <c r="A151">
        <v>8238</v>
      </c>
      <c r="B151" t="s">
        <v>180</v>
      </c>
      <c r="C151" s="1">
        <v>45303</v>
      </c>
      <c r="D151" s="1">
        <v>45624</v>
      </c>
      <c r="E151">
        <v>7.99</v>
      </c>
      <c r="F151">
        <v>460</v>
      </c>
      <c r="G151" t="s">
        <v>62</v>
      </c>
      <c r="H151">
        <v>3</v>
      </c>
      <c r="I151">
        <v>5</v>
      </c>
      <c r="J151" t="b">
        <v>0</v>
      </c>
      <c r="K151">
        <v>26</v>
      </c>
      <c r="L151">
        <v>2</v>
      </c>
      <c r="M151" t="s">
        <v>74</v>
      </c>
      <c r="N151" t="s">
        <v>26</v>
      </c>
      <c r="O151" t="s">
        <v>34</v>
      </c>
      <c r="P151">
        <v>39</v>
      </c>
      <c r="Q151">
        <v>4.8</v>
      </c>
      <c r="R151" t="b">
        <v>0</v>
      </c>
      <c r="S151" t="s">
        <v>28</v>
      </c>
      <c r="T151">
        <v>882</v>
      </c>
      <c r="U151" t="s">
        <v>29</v>
      </c>
      <c r="V151" t="s">
        <v>60</v>
      </c>
      <c r="W151" t="s">
        <v>31</v>
      </c>
    </row>
    <row r="152" spans="1:23" x14ac:dyDescent="0.3">
      <c r="A152">
        <v>8261</v>
      </c>
      <c r="B152" t="s">
        <v>108</v>
      </c>
      <c r="C152" s="1">
        <v>44920</v>
      </c>
      <c r="D152" s="1">
        <v>45630</v>
      </c>
      <c r="E152">
        <v>7.99</v>
      </c>
      <c r="F152">
        <v>374</v>
      </c>
      <c r="G152" t="s">
        <v>62</v>
      </c>
      <c r="H152">
        <v>1</v>
      </c>
      <c r="I152">
        <v>3</v>
      </c>
      <c r="J152" t="b">
        <v>1</v>
      </c>
      <c r="K152">
        <v>819</v>
      </c>
      <c r="L152">
        <v>18</v>
      </c>
      <c r="M152" t="s">
        <v>63</v>
      </c>
      <c r="N152" t="s">
        <v>40</v>
      </c>
      <c r="O152" t="s">
        <v>27</v>
      </c>
      <c r="P152">
        <v>12</v>
      </c>
      <c r="Q152">
        <v>3.4</v>
      </c>
      <c r="R152" t="b">
        <v>1</v>
      </c>
      <c r="S152" t="s">
        <v>28</v>
      </c>
      <c r="T152">
        <v>4243</v>
      </c>
      <c r="U152" t="s">
        <v>57</v>
      </c>
      <c r="V152" t="s">
        <v>36</v>
      </c>
      <c r="W152" t="s">
        <v>53</v>
      </c>
    </row>
    <row r="153" spans="1:23" x14ac:dyDescent="0.3">
      <c r="A153">
        <v>7729</v>
      </c>
      <c r="B153" t="s">
        <v>87</v>
      </c>
      <c r="C153" s="1">
        <v>44977</v>
      </c>
      <c r="D153" s="1">
        <v>45637</v>
      </c>
      <c r="E153">
        <v>11.99</v>
      </c>
      <c r="F153">
        <v>147</v>
      </c>
      <c r="G153" t="s">
        <v>79</v>
      </c>
      <c r="H153">
        <v>5</v>
      </c>
      <c r="I153">
        <v>4</v>
      </c>
      <c r="J153" t="b">
        <v>0</v>
      </c>
      <c r="K153">
        <v>27</v>
      </c>
      <c r="L153">
        <v>175</v>
      </c>
      <c r="M153" t="s">
        <v>63</v>
      </c>
      <c r="N153" t="s">
        <v>26</v>
      </c>
      <c r="O153" t="s">
        <v>27</v>
      </c>
      <c r="P153">
        <v>78</v>
      </c>
      <c r="Q153">
        <v>4</v>
      </c>
      <c r="R153" t="b">
        <v>1</v>
      </c>
      <c r="S153" t="s">
        <v>28</v>
      </c>
      <c r="T153">
        <v>2218</v>
      </c>
      <c r="U153" t="s">
        <v>35</v>
      </c>
      <c r="V153" t="s">
        <v>60</v>
      </c>
      <c r="W153" t="s">
        <v>75</v>
      </c>
    </row>
    <row r="154" spans="1:23" x14ac:dyDescent="0.3">
      <c r="A154">
        <v>8616</v>
      </c>
      <c r="B154" t="s">
        <v>146</v>
      </c>
      <c r="C154" s="1">
        <v>45627</v>
      </c>
      <c r="D154" s="1">
        <v>45630</v>
      </c>
      <c r="E154">
        <v>11.99</v>
      </c>
      <c r="F154">
        <v>129</v>
      </c>
      <c r="G154" t="s">
        <v>55</v>
      </c>
      <c r="H154">
        <v>4</v>
      </c>
      <c r="I154">
        <v>6</v>
      </c>
      <c r="J154" t="b">
        <v>0</v>
      </c>
      <c r="K154">
        <v>543</v>
      </c>
      <c r="L154">
        <v>126</v>
      </c>
      <c r="M154" t="s">
        <v>44</v>
      </c>
      <c r="N154" t="s">
        <v>40</v>
      </c>
      <c r="O154" t="s">
        <v>41</v>
      </c>
      <c r="P154">
        <v>95</v>
      </c>
      <c r="Q154">
        <v>3.4</v>
      </c>
      <c r="R154" t="b">
        <v>1</v>
      </c>
      <c r="S154" t="s">
        <v>28</v>
      </c>
      <c r="T154">
        <v>97</v>
      </c>
      <c r="U154" t="s">
        <v>29</v>
      </c>
      <c r="V154" t="s">
        <v>30</v>
      </c>
      <c r="W154" t="s">
        <v>31</v>
      </c>
    </row>
    <row r="155" spans="1:23" x14ac:dyDescent="0.3">
      <c r="A155">
        <v>9734</v>
      </c>
      <c r="B155" t="s">
        <v>86</v>
      </c>
      <c r="C155" s="1">
        <v>45620</v>
      </c>
      <c r="D155" s="1">
        <v>45640</v>
      </c>
      <c r="E155">
        <v>15.99</v>
      </c>
      <c r="F155">
        <v>217</v>
      </c>
      <c r="G155" t="s">
        <v>24</v>
      </c>
      <c r="H155">
        <v>2</v>
      </c>
      <c r="I155">
        <v>2</v>
      </c>
      <c r="J155" t="b">
        <v>1</v>
      </c>
      <c r="K155">
        <v>872</v>
      </c>
      <c r="L155">
        <v>8</v>
      </c>
      <c r="M155" t="s">
        <v>39</v>
      </c>
      <c r="N155" t="s">
        <v>64</v>
      </c>
      <c r="O155" t="s">
        <v>67</v>
      </c>
      <c r="P155">
        <v>51</v>
      </c>
      <c r="Q155">
        <v>3.6</v>
      </c>
      <c r="R155" t="b">
        <v>1</v>
      </c>
      <c r="S155" t="s">
        <v>28</v>
      </c>
      <c r="T155">
        <v>4928</v>
      </c>
      <c r="U155" t="s">
        <v>57</v>
      </c>
      <c r="V155" t="s">
        <v>30</v>
      </c>
      <c r="W155" t="s">
        <v>31</v>
      </c>
    </row>
    <row r="156" spans="1:23" x14ac:dyDescent="0.3">
      <c r="A156">
        <v>2086</v>
      </c>
      <c r="B156" t="s">
        <v>181</v>
      </c>
      <c r="C156" s="1">
        <v>45058</v>
      </c>
      <c r="D156" s="1">
        <v>45615</v>
      </c>
      <c r="E156">
        <v>7.99</v>
      </c>
      <c r="F156">
        <v>426</v>
      </c>
      <c r="G156" t="s">
        <v>33</v>
      </c>
      <c r="H156">
        <v>4</v>
      </c>
      <c r="I156">
        <v>1</v>
      </c>
      <c r="J156" t="b">
        <v>0</v>
      </c>
      <c r="K156">
        <v>606</v>
      </c>
      <c r="L156">
        <v>135</v>
      </c>
      <c r="M156" t="s">
        <v>25</v>
      </c>
      <c r="N156" t="s">
        <v>26</v>
      </c>
      <c r="O156" t="s">
        <v>34</v>
      </c>
      <c r="P156">
        <v>50</v>
      </c>
      <c r="Q156">
        <v>3.8</v>
      </c>
      <c r="R156" t="b">
        <v>1</v>
      </c>
      <c r="S156" t="s">
        <v>28</v>
      </c>
      <c r="T156">
        <v>1982</v>
      </c>
      <c r="U156" t="s">
        <v>35</v>
      </c>
      <c r="V156" t="s">
        <v>68</v>
      </c>
      <c r="W156" t="s">
        <v>31</v>
      </c>
    </row>
    <row r="157" spans="1:23" x14ac:dyDescent="0.3">
      <c r="A157">
        <v>8721</v>
      </c>
      <c r="B157" t="s">
        <v>182</v>
      </c>
      <c r="C157" s="1">
        <v>44980</v>
      </c>
      <c r="D157" s="1">
        <v>45627</v>
      </c>
      <c r="E157">
        <v>15.99</v>
      </c>
      <c r="F157">
        <v>81</v>
      </c>
      <c r="G157" t="s">
        <v>33</v>
      </c>
      <c r="H157">
        <v>3</v>
      </c>
      <c r="I157">
        <v>5</v>
      </c>
      <c r="J157" t="b">
        <v>0</v>
      </c>
      <c r="K157">
        <v>394</v>
      </c>
      <c r="L157">
        <v>168</v>
      </c>
      <c r="M157" t="s">
        <v>39</v>
      </c>
      <c r="N157" t="s">
        <v>64</v>
      </c>
      <c r="O157" t="s">
        <v>41</v>
      </c>
      <c r="P157">
        <v>21</v>
      </c>
      <c r="Q157">
        <v>4.7</v>
      </c>
      <c r="R157" t="b">
        <v>1</v>
      </c>
      <c r="S157" t="s">
        <v>28</v>
      </c>
      <c r="T157">
        <v>510</v>
      </c>
      <c r="U157" t="s">
        <v>51</v>
      </c>
      <c r="V157" t="s">
        <v>52</v>
      </c>
      <c r="W157" t="s">
        <v>31</v>
      </c>
    </row>
    <row r="158" spans="1:23" x14ac:dyDescent="0.3">
      <c r="A158">
        <v>1075</v>
      </c>
      <c r="B158" t="s">
        <v>183</v>
      </c>
      <c r="C158" s="1">
        <v>45051</v>
      </c>
      <c r="D158" s="1">
        <v>45624</v>
      </c>
      <c r="E158">
        <v>7.99</v>
      </c>
      <c r="F158">
        <v>296</v>
      </c>
      <c r="G158" t="s">
        <v>79</v>
      </c>
      <c r="H158">
        <v>3</v>
      </c>
      <c r="I158">
        <v>2</v>
      </c>
      <c r="J158" t="b">
        <v>1</v>
      </c>
      <c r="K158">
        <v>411</v>
      </c>
      <c r="L158">
        <v>96</v>
      </c>
      <c r="M158" t="s">
        <v>25</v>
      </c>
      <c r="N158" t="s">
        <v>64</v>
      </c>
      <c r="O158" t="s">
        <v>56</v>
      </c>
      <c r="P158">
        <v>1</v>
      </c>
      <c r="Q158">
        <v>3.1</v>
      </c>
      <c r="R158" t="b">
        <v>0</v>
      </c>
      <c r="S158" t="s">
        <v>28</v>
      </c>
      <c r="T158">
        <v>2508</v>
      </c>
      <c r="U158" t="s">
        <v>65</v>
      </c>
      <c r="V158" t="s">
        <v>52</v>
      </c>
      <c r="W158" t="s">
        <v>37</v>
      </c>
    </row>
    <row r="159" spans="1:23" x14ac:dyDescent="0.3">
      <c r="A159">
        <v>2690</v>
      </c>
      <c r="B159" t="s">
        <v>120</v>
      </c>
      <c r="C159" s="1">
        <v>45174</v>
      </c>
      <c r="D159" s="1">
        <v>45625</v>
      </c>
      <c r="E159">
        <v>15.99</v>
      </c>
      <c r="F159">
        <v>466</v>
      </c>
      <c r="G159" t="s">
        <v>43</v>
      </c>
      <c r="H159">
        <v>3</v>
      </c>
      <c r="I159">
        <v>2</v>
      </c>
      <c r="J159" t="b">
        <v>0</v>
      </c>
      <c r="K159">
        <v>977</v>
      </c>
      <c r="L159">
        <v>94</v>
      </c>
      <c r="M159" t="s">
        <v>74</v>
      </c>
      <c r="N159" t="s">
        <v>64</v>
      </c>
      <c r="O159" t="s">
        <v>41</v>
      </c>
      <c r="P159">
        <v>67</v>
      </c>
      <c r="Q159">
        <v>3.6</v>
      </c>
      <c r="R159" t="b">
        <v>1</v>
      </c>
      <c r="S159" t="s">
        <v>28</v>
      </c>
      <c r="T159">
        <v>4004</v>
      </c>
      <c r="U159" t="s">
        <v>29</v>
      </c>
      <c r="V159" t="s">
        <v>30</v>
      </c>
      <c r="W159" t="s">
        <v>75</v>
      </c>
    </row>
    <row r="160" spans="1:23" x14ac:dyDescent="0.3">
      <c r="A160">
        <v>7654</v>
      </c>
      <c r="B160" t="s">
        <v>88</v>
      </c>
      <c r="C160" s="1">
        <v>45279</v>
      </c>
      <c r="D160" s="1">
        <v>45623</v>
      </c>
      <c r="E160">
        <v>11.99</v>
      </c>
      <c r="F160">
        <v>424</v>
      </c>
      <c r="G160" t="s">
        <v>55</v>
      </c>
      <c r="H160">
        <v>5</v>
      </c>
      <c r="I160">
        <v>2</v>
      </c>
      <c r="J160" t="b">
        <v>0</v>
      </c>
      <c r="K160">
        <v>406</v>
      </c>
      <c r="L160">
        <v>150</v>
      </c>
      <c r="M160" t="s">
        <v>39</v>
      </c>
      <c r="N160" t="s">
        <v>40</v>
      </c>
      <c r="O160" t="s">
        <v>50</v>
      </c>
      <c r="P160">
        <v>50</v>
      </c>
      <c r="Q160">
        <v>3.5</v>
      </c>
      <c r="R160" t="b">
        <v>0</v>
      </c>
      <c r="S160" t="s">
        <v>28</v>
      </c>
      <c r="T160">
        <v>494</v>
      </c>
      <c r="U160" t="s">
        <v>51</v>
      </c>
      <c r="V160" t="s">
        <v>36</v>
      </c>
      <c r="W160" t="s">
        <v>31</v>
      </c>
    </row>
    <row r="161" spans="1:23" x14ac:dyDescent="0.3">
      <c r="A161">
        <v>7577</v>
      </c>
      <c r="B161" t="s">
        <v>184</v>
      </c>
      <c r="C161" s="1">
        <v>45582</v>
      </c>
      <c r="D161" s="1">
        <v>45629</v>
      </c>
      <c r="E161">
        <v>15.99</v>
      </c>
      <c r="F161">
        <v>233</v>
      </c>
      <c r="G161" t="s">
        <v>43</v>
      </c>
      <c r="H161">
        <v>2</v>
      </c>
      <c r="I161">
        <v>5</v>
      </c>
      <c r="J161" t="b">
        <v>1</v>
      </c>
      <c r="K161">
        <v>781</v>
      </c>
      <c r="L161">
        <v>23</v>
      </c>
      <c r="M161" t="s">
        <v>74</v>
      </c>
      <c r="N161" t="s">
        <v>49</v>
      </c>
      <c r="O161" t="s">
        <v>27</v>
      </c>
      <c r="P161">
        <v>89</v>
      </c>
      <c r="Q161">
        <v>3.3</v>
      </c>
      <c r="R161" t="b">
        <v>0</v>
      </c>
      <c r="S161" t="s">
        <v>28</v>
      </c>
      <c r="T161">
        <v>460</v>
      </c>
      <c r="U161" t="s">
        <v>65</v>
      </c>
      <c r="V161" t="s">
        <v>60</v>
      </c>
      <c r="W161" t="s">
        <v>53</v>
      </c>
    </row>
    <row r="162" spans="1:23" x14ac:dyDescent="0.3">
      <c r="A162">
        <v>9814</v>
      </c>
      <c r="B162" t="s">
        <v>185</v>
      </c>
      <c r="C162" s="1">
        <v>45515</v>
      </c>
      <c r="D162" s="1">
        <v>45623</v>
      </c>
      <c r="E162">
        <v>11.99</v>
      </c>
      <c r="F162">
        <v>413</v>
      </c>
      <c r="G162" t="s">
        <v>62</v>
      </c>
      <c r="H162">
        <v>1</v>
      </c>
      <c r="I162">
        <v>6</v>
      </c>
      <c r="J162" t="b">
        <v>1</v>
      </c>
      <c r="K162">
        <v>330</v>
      </c>
      <c r="L162">
        <v>63</v>
      </c>
      <c r="M162" t="s">
        <v>25</v>
      </c>
      <c r="N162" t="s">
        <v>26</v>
      </c>
      <c r="O162" t="s">
        <v>67</v>
      </c>
      <c r="P162">
        <v>50</v>
      </c>
      <c r="Q162">
        <v>4.0999999999999996</v>
      </c>
      <c r="R162" t="b">
        <v>1</v>
      </c>
      <c r="S162" t="s">
        <v>28</v>
      </c>
      <c r="T162">
        <v>1416</v>
      </c>
      <c r="U162" t="s">
        <v>51</v>
      </c>
      <c r="V162" t="s">
        <v>60</v>
      </c>
      <c r="W162" t="s">
        <v>31</v>
      </c>
    </row>
    <row r="163" spans="1:23" x14ac:dyDescent="0.3">
      <c r="A163">
        <v>5423</v>
      </c>
      <c r="B163" t="s">
        <v>45</v>
      </c>
      <c r="C163" s="1">
        <v>45565</v>
      </c>
      <c r="D163" s="1">
        <v>45615</v>
      </c>
      <c r="E163">
        <v>7.99</v>
      </c>
      <c r="F163">
        <v>278</v>
      </c>
      <c r="G163" t="s">
        <v>24</v>
      </c>
      <c r="H163">
        <v>1</v>
      </c>
      <c r="I163">
        <v>5</v>
      </c>
      <c r="J163" t="b">
        <v>1</v>
      </c>
      <c r="K163">
        <v>163</v>
      </c>
      <c r="L163">
        <v>88</v>
      </c>
      <c r="M163" t="s">
        <v>59</v>
      </c>
      <c r="N163" t="s">
        <v>26</v>
      </c>
      <c r="O163" t="s">
        <v>41</v>
      </c>
      <c r="P163">
        <v>62</v>
      </c>
      <c r="Q163">
        <v>3.2</v>
      </c>
      <c r="R163" t="b">
        <v>0</v>
      </c>
      <c r="S163" t="s">
        <v>28</v>
      </c>
      <c r="T163">
        <v>4798</v>
      </c>
      <c r="U163" t="s">
        <v>29</v>
      </c>
      <c r="V163" t="s">
        <v>60</v>
      </c>
      <c r="W163" t="s">
        <v>75</v>
      </c>
    </row>
    <row r="164" spans="1:23" x14ac:dyDescent="0.3">
      <c r="A164">
        <v>2660</v>
      </c>
      <c r="B164" t="s">
        <v>186</v>
      </c>
      <c r="C164" s="1">
        <v>44925</v>
      </c>
      <c r="D164" s="1">
        <v>45630</v>
      </c>
      <c r="E164">
        <v>11.99</v>
      </c>
      <c r="F164">
        <v>351</v>
      </c>
      <c r="G164" t="s">
        <v>55</v>
      </c>
      <c r="H164">
        <v>1</v>
      </c>
      <c r="I164">
        <v>1</v>
      </c>
      <c r="J164" t="b">
        <v>1</v>
      </c>
      <c r="K164">
        <v>80</v>
      </c>
      <c r="L164">
        <v>70</v>
      </c>
      <c r="M164" t="s">
        <v>25</v>
      </c>
      <c r="N164" t="s">
        <v>49</v>
      </c>
      <c r="O164" t="s">
        <v>34</v>
      </c>
      <c r="P164">
        <v>54</v>
      </c>
      <c r="Q164">
        <v>4.5</v>
      </c>
      <c r="R164" t="b">
        <v>1</v>
      </c>
      <c r="S164" t="s">
        <v>28</v>
      </c>
      <c r="T164">
        <v>732</v>
      </c>
      <c r="U164" t="s">
        <v>65</v>
      </c>
      <c r="V164" t="s">
        <v>30</v>
      </c>
      <c r="W164" t="s">
        <v>37</v>
      </c>
    </row>
    <row r="165" spans="1:23" x14ac:dyDescent="0.3">
      <c r="A165">
        <v>4206</v>
      </c>
      <c r="B165" t="s">
        <v>127</v>
      </c>
      <c r="C165" s="1">
        <v>45386</v>
      </c>
      <c r="D165" s="1">
        <v>45632</v>
      </c>
      <c r="E165">
        <v>11.99</v>
      </c>
      <c r="F165">
        <v>354</v>
      </c>
      <c r="G165" t="s">
        <v>79</v>
      </c>
      <c r="H165">
        <v>1</v>
      </c>
      <c r="I165">
        <v>3</v>
      </c>
      <c r="J165" t="b">
        <v>0</v>
      </c>
      <c r="K165">
        <v>885</v>
      </c>
      <c r="L165">
        <v>65</v>
      </c>
      <c r="M165" t="s">
        <v>44</v>
      </c>
      <c r="N165" t="s">
        <v>49</v>
      </c>
      <c r="O165" t="s">
        <v>56</v>
      </c>
      <c r="P165">
        <v>70</v>
      </c>
      <c r="Q165">
        <v>4.7</v>
      </c>
      <c r="R165" t="b">
        <v>0</v>
      </c>
      <c r="S165" t="s">
        <v>28</v>
      </c>
      <c r="T165">
        <v>4008</v>
      </c>
      <c r="U165" t="s">
        <v>51</v>
      </c>
      <c r="V165" t="s">
        <v>52</v>
      </c>
      <c r="W165" t="s">
        <v>75</v>
      </c>
    </row>
    <row r="166" spans="1:23" x14ac:dyDescent="0.3">
      <c r="A166">
        <v>5269</v>
      </c>
      <c r="B166" t="s">
        <v>45</v>
      </c>
      <c r="C166" s="1">
        <v>44991</v>
      </c>
      <c r="D166" s="1">
        <v>45630</v>
      </c>
      <c r="E166">
        <v>11.99</v>
      </c>
      <c r="F166">
        <v>192</v>
      </c>
      <c r="G166" t="s">
        <v>62</v>
      </c>
      <c r="H166">
        <v>5</v>
      </c>
      <c r="I166">
        <v>4</v>
      </c>
      <c r="J166" t="b">
        <v>0</v>
      </c>
      <c r="K166">
        <v>123</v>
      </c>
      <c r="L166">
        <v>34</v>
      </c>
      <c r="M166" t="s">
        <v>48</v>
      </c>
      <c r="N166" t="s">
        <v>64</v>
      </c>
      <c r="O166" t="s">
        <v>56</v>
      </c>
      <c r="P166">
        <v>73</v>
      </c>
      <c r="Q166">
        <v>3.8</v>
      </c>
      <c r="R166" t="b">
        <v>1</v>
      </c>
      <c r="S166" t="s">
        <v>28</v>
      </c>
      <c r="T166">
        <v>4868</v>
      </c>
      <c r="U166" t="s">
        <v>65</v>
      </c>
      <c r="V166" t="s">
        <v>60</v>
      </c>
      <c r="W166" t="s">
        <v>53</v>
      </c>
    </row>
    <row r="167" spans="1:23" x14ac:dyDescent="0.3">
      <c r="A167">
        <v>7922</v>
      </c>
      <c r="B167" t="s">
        <v>187</v>
      </c>
      <c r="C167" s="1">
        <v>44976</v>
      </c>
      <c r="D167" s="1">
        <v>45644</v>
      </c>
      <c r="E167">
        <v>7.99</v>
      </c>
      <c r="F167">
        <v>176</v>
      </c>
      <c r="G167" t="s">
        <v>46</v>
      </c>
      <c r="H167">
        <v>4</v>
      </c>
      <c r="I167">
        <v>6</v>
      </c>
      <c r="J167" t="b">
        <v>1</v>
      </c>
      <c r="K167">
        <v>830</v>
      </c>
      <c r="L167">
        <v>74</v>
      </c>
      <c r="M167" t="s">
        <v>44</v>
      </c>
      <c r="N167" t="s">
        <v>26</v>
      </c>
      <c r="O167" t="s">
        <v>34</v>
      </c>
      <c r="P167">
        <v>66</v>
      </c>
      <c r="Q167">
        <v>3.5</v>
      </c>
      <c r="R167" t="b">
        <v>1</v>
      </c>
      <c r="S167" t="s">
        <v>28</v>
      </c>
      <c r="T167">
        <v>2600</v>
      </c>
      <c r="U167" t="s">
        <v>65</v>
      </c>
      <c r="V167" t="s">
        <v>30</v>
      </c>
      <c r="W167" t="s">
        <v>37</v>
      </c>
    </row>
    <row r="168" spans="1:23" x14ac:dyDescent="0.3">
      <c r="A168">
        <v>7829</v>
      </c>
      <c r="B168" t="s">
        <v>188</v>
      </c>
      <c r="C168" s="1">
        <v>45217</v>
      </c>
      <c r="D168" s="1">
        <v>45644</v>
      </c>
      <c r="E168">
        <v>7.99</v>
      </c>
      <c r="F168">
        <v>482</v>
      </c>
      <c r="G168" t="s">
        <v>62</v>
      </c>
      <c r="H168">
        <v>1</v>
      </c>
      <c r="I168">
        <v>4</v>
      </c>
      <c r="J168" t="b">
        <v>1</v>
      </c>
      <c r="K168">
        <v>770</v>
      </c>
      <c r="L168">
        <v>129</v>
      </c>
      <c r="M168" t="s">
        <v>39</v>
      </c>
      <c r="N168" t="s">
        <v>26</v>
      </c>
      <c r="O168" t="s">
        <v>41</v>
      </c>
      <c r="P168">
        <v>0</v>
      </c>
      <c r="Q168">
        <v>3.7</v>
      </c>
      <c r="R168" t="b">
        <v>1</v>
      </c>
      <c r="S168" t="s">
        <v>28</v>
      </c>
      <c r="T168">
        <v>3247</v>
      </c>
      <c r="U168" t="s">
        <v>57</v>
      </c>
      <c r="V168" t="s">
        <v>36</v>
      </c>
      <c r="W168" t="s">
        <v>53</v>
      </c>
    </row>
    <row r="169" spans="1:23" x14ac:dyDescent="0.3">
      <c r="A169">
        <v>1715</v>
      </c>
      <c r="B169" t="s">
        <v>165</v>
      </c>
      <c r="C169" s="1">
        <v>45460</v>
      </c>
      <c r="D169" s="1">
        <v>45630</v>
      </c>
      <c r="E169">
        <v>7.99</v>
      </c>
      <c r="F169">
        <v>87</v>
      </c>
      <c r="G169" t="s">
        <v>33</v>
      </c>
      <c r="H169">
        <v>3</v>
      </c>
      <c r="I169">
        <v>5</v>
      </c>
      <c r="J169" t="b">
        <v>1</v>
      </c>
      <c r="K169">
        <v>753</v>
      </c>
      <c r="L169">
        <v>181</v>
      </c>
      <c r="M169" t="s">
        <v>44</v>
      </c>
      <c r="N169" t="s">
        <v>40</v>
      </c>
      <c r="O169" t="s">
        <v>27</v>
      </c>
      <c r="P169">
        <v>51</v>
      </c>
      <c r="Q169">
        <v>3.1</v>
      </c>
      <c r="R169" t="b">
        <v>1</v>
      </c>
      <c r="S169" t="s">
        <v>28</v>
      </c>
      <c r="T169">
        <v>941</v>
      </c>
      <c r="U169" t="s">
        <v>29</v>
      </c>
      <c r="V169" t="s">
        <v>52</v>
      </c>
      <c r="W169" t="s">
        <v>75</v>
      </c>
    </row>
    <row r="170" spans="1:23" x14ac:dyDescent="0.3">
      <c r="A170">
        <v>2639</v>
      </c>
      <c r="B170" t="s">
        <v>189</v>
      </c>
      <c r="C170" s="1">
        <v>45461</v>
      </c>
      <c r="D170" s="1">
        <v>45633</v>
      </c>
      <c r="E170">
        <v>11.99</v>
      </c>
      <c r="F170">
        <v>163</v>
      </c>
      <c r="G170" t="s">
        <v>33</v>
      </c>
      <c r="H170">
        <v>5</v>
      </c>
      <c r="I170">
        <v>1</v>
      </c>
      <c r="J170" t="b">
        <v>1</v>
      </c>
      <c r="K170">
        <v>38</v>
      </c>
      <c r="L170">
        <v>53</v>
      </c>
      <c r="M170" t="s">
        <v>59</v>
      </c>
      <c r="N170" t="s">
        <v>40</v>
      </c>
      <c r="O170" t="s">
        <v>56</v>
      </c>
      <c r="P170">
        <v>37</v>
      </c>
      <c r="Q170">
        <v>4.5999999999999996</v>
      </c>
      <c r="R170" t="b">
        <v>0</v>
      </c>
      <c r="S170" t="s">
        <v>28</v>
      </c>
      <c r="T170">
        <v>1934</v>
      </c>
      <c r="U170" t="s">
        <v>29</v>
      </c>
      <c r="V170" t="s">
        <v>30</v>
      </c>
      <c r="W170" t="s">
        <v>37</v>
      </c>
    </row>
    <row r="171" spans="1:23" x14ac:dyDescent="0.3">
      <c r="A171">
        <v>1801</v>
      </c>
      <c r="B171" t="s">
        <v>118</v>
      </c>
      <c r="C171" s="1">
        <v>45305</v>
      </c>
      <c r="D171" s="1">
        <v>45639</v>
      </c>
      <c r="E171">
        <v>11.99</v>
      </c>
      <c r="F171">
        <v>419</v>
      </c>
      <c r="G171" t="s">
        <v>55</v>
      </c>
      <c r="H171">
        <v>4</v>
      </c>
      <c r="I171">
        <v>5</v>
      </c>
      <c r="J171" t="b">
        <v>0</v>
      </c>
      <c r="K171">
        <v>386</v>
      </c>
      <c r="L171">
        <v>122</v>
      </c>
      <c r="M171" t="s">
        <v>63</v>
      </c>
      <c r="N171" t="s">
        <v>49</v>
      </c>
      <c r="O171" t="s">
        <v>34</v>
      </c>
      <c r="P171">
        <v>9</v>
      </c>
      <c r="Q171">
        <v>4.5999999999999996</v>
      </c>
      <c r="R171" t="b">
        <v>0</v>
      </c>
      <c r="S171" t="s">
        <v>28</v>
      </c>
      <c r="T171">
        <v>4650</v>
      </c>
      <c r="U171" t="s">
        <v>35</v>
      </c>
      <c r="V171" t="s">
        <v>60</v>
      </c>
      <c r="W171" t="s">
        <v>31</v>
      </c>
    </row>
    <row r="172" spans="1:23" x14ac:dyDescent="0.3">
      <c r="A172">
        <v>9163</v>
      </c>
      <c r="B172" t="s">
        <v>177</v>
      </c>
      <c r="C172" s="1">
        <v>45020</v>
      </c>
      <c r="D172" s="1">
        <v>45623</v>
      </c>
      <c r="E172">
        <v>11.99</v>
      </c>
      <c r="F172">
        <v>203</v>
      </c>
      <c r="G172" t="s">
        <v>43</v>
      </c>
      <c r="H172">
        <v>4</v>
      </c>
      <c r="I172">
        <v>4</v>
      </c>
      <c r="J172" t="b">
        <v>1</v>
      </c>
      <c r="K172">
        <v>874</v>
      </c>
      <c r="L172">
        <v>67</v>
      </c>
      <c r="M172" t="s">
        <v>48</v>
      </c>
      <c r="N172" t="s">
        <v>40</v>
      </c>
      <c r="O172" t="s">
        <v>67</v>
      </c>
      <c r="P172">
        <v>94</v>
      </c>
      <c r="Q172">
        <v>3.9</v>
      </c>
      <c r="R172" t="b">
        <v>1</v>
      </c>
      <c r="S172" t="s">
        <v>28</v>
      </c>
      <c r="T172">
        <v>4450</v>
      </c>
      <c r="U172" t="s">
        <v>29</v>
      </c>
      <c r="V172" t="s">
        <v>30</v>
      </c>
      <c r="W172" t="s">
        <v>75</v>
      </c>
    </row>
    <row r="173" spans="1:23" x14ac:dyDescent="0.3">
      <c r="A173">
        <v>1284</v>
      </c>
      <c r="B173" t="s">
        <v>109</v>
      </c>
      <c r="C173" s="1">
        <v>45630</v>
      </c>
      <c r="D173" s="1">
        <v>45627</v>
      </c>
      <c r="E173">
        <v>7.99</v>
      </c>
      <c r="F173">
        <v>405</v>
      </c>
      <c r="G173" t="s">
        <v>62</v>
      </c>
      <c r="H173">
        <v>4</v>
      </c>
      <c r="I173">
        <v>3</v>
      </c>
      <c r="J173" t="b">
        <v>1</v>
      </c>
      <c r="K173">
        <v>695</v>
      </c>
      <c r="L173">
        <v>85</v>
      </c>
      <c r="M173" t="s">
        <v>59</v>
      </c>
      <c r="N173" t="s">
        <v>49</v>
      </c>
      <c r="O173" t="s">
        <v>67</v>
      </c>
      <c r="P173">
        <v>42</v>
      </c>
      <c r="Q173">
        <v>3.7</v>
      </c>
      <c r="R173" t="b">
        <v>0</v>
      </c>
      <c r="S173" t="s">
        <v>28</v>
      </c>
      <c r="T173">
        <v>2395</v>
      </c>
      <c r="U173" t="s">
        <v>57</v>
      </c>
      <c r="V173" t="s">
        <v>36</v>
      </c>
      <c r="W173" t="s">
        <v>53</v>
      </c>
    </row>
    <row r="174" spans="1:23" x14ac:dyDescent="0.3">
      <c r="A174">
        <v>8774</v>
      </c>
      <c r="B174" t="s">
        <v>190</v>
      </c>
      <c r="C174" s="1">
        <v>45233</v>
      </c>
      <c r="D174" s="1">
        <v>45634</v>
      </c>
      <c r="E174">
        <v>15.99</v>
      </c>
      <c r="F174">
        <v>496</v>
      </c>
      <c r="G174" t="s">
        <v>62</v>
      </c>
      <c r="H174">
        <v>5</v>
      </c>
      <c r="I174">
        <v>6</v>
      </c>
      <c r="J174" t="b">
        <v>0</v>
      </c>
      <c r="K174">
        <v>803</v>
      </c>
      <c r="L174">
        <v>130</v>
      </c>
      <c r="M174" t="s">
        <v>25</v>
      </c>
      <c r="N174" t="s">
        <v>64</v>
      </c>
      <c r="O174" t="s">
        <v>67</v>
      </c>
      <c r="P174">
        <v>4</v>
      </c>
      <c r="Q174">
        <v>4.8</v>
      </c>
      <c r="R174" t="b">
        <v>0</v>
      </c>
      <c r="S174" t="s">
        <v>28</v>
      </c>
      <c r="T174">
        <v>4504</v>
      </c>
      <c r="U174" t="s">
        <v>51</v>
      </c>
      <c r="V174" t="s">
        <v>60</v>
      </c>
      <c r="W174" t="s">
        <v>53</v>
      </c>
    </row>
    <row r="175" spans="1:23" x14ac:dyDescent="0.3">
      <c r="A175">
        <v>3866</v>
      </c>
      <c r="B175" t="s">
        <v>191</v>
      </c>
      <c r="C175" s="1">
        <v>45323</v>
      </c>
      <c r="D175" s="1">
        <v>45624</v>
      </c>
      <c r="E175">
        <v>15.99</v>
      </c>
      <c r="F175">
        <v>328</v>
      </c>
      <c r="G175" t="s">
        <v>43</v>
      </c>
      <c r="H175">
        <v>2</v>
      </c>
      <c r="I175">
        <v>2</v>
      </c>
      <c r="J175" t="b">
        <v>0</v>
      </c>
      <c r="K175">
        <v>268</v>
      </c>
      <c r="L175">
        <v>50</v>
      </c>
      <c r="M175" t="s">
        <v>63</v>
      </c>
      <c r="N175" t="s">
        <v>40</v>
      </c>
      <c r="O175" t="s">
        <v>41</v>
      </c>
      <c r="P175">
        <v>3</v>
      </c>
      <c r="Q175">
        <v>4.4000000000000004</v>
      </c>
      <c r="R175" t="b">
        <v>1</v>
      </c>
      <c r="S175" t="s">
        <v>28</v>
      </c>
      <c r="T175">
        <v>3015</v>
      </c>
      <c r="U175" t="s">
        <v>57</v>
      </c>
      <c r="V175" t="s">
        <v>52</v>
      </c>
      <c r="W175" t="s">
        <v>37</v>
      </c>
    </row>
    <row r="176" spans="1:23" x14ac:dyDescent="0.3">
      <c r="A176">
        <v>4477</v>
      </c>
      <c r="B176" t="s">
        <v>176</v>
      </c>
      <c r="C176" s="1">
        <v>45410</v>
      </c>
      <c r="D176" s="1">
        <v>45619</v>
      </c>
      <c r="E176">
        <v>7.99</v>
      </c>
      <c r="F176">
        <v>85</v>
      </c>
      <c r="G176" t="s">
        <v>33</v>
      </c>
      <c r="H176">
        <v>5</v>
      </c>
      <c r="I176">
        <v>1</v>
      </c>
      <c r="J176" t="b">
        <v>0</v>
      </c>
      <c r="K176">
        <v>429</v>
      </c>
      <c r="L176">
        <v>52</v>
      </c>
      <c r="M176" t="s">
        <v>44</v>
      </c>
      <c r="N176" t="s">
        <v>26</v>
      </c>
      <c r="O176" t="s">
        <v>34</v>
      </c>
      <c r="P176">
        <v>16</v>
      </c>
      <c r="Q176">
        <v>3.8</v>
      </c>
      <c r="R176" t="b">
        <v>0</v>
      </c>
      <c r="S176" t="s">
        <v>28</v>
      </c>
      <c r="T176">
        <v>4971</v>
      </c>
      <c r="U176" t="s">
        <v>29</v>
      </c>
      <c r="V176" t="s">
        <v>60</v>
      </c>
      <c r="W176" t="s">
        <v>37</v>
      </c>
    </row>
    <row r="177" spans="1:23" x14ac:dyDescent="0.3">
      <c r="A177">
        <v>4829</v>
      </c>
      <c r="B177" t="s">
        <v>192</v>
      </c>
      <c r="C177" s="1">
        <v>45556</v>
      </c>
      <c r="D177" s="1">
        <v>45643</v>
      </c>
      <c r="E177">
        <v>11.99</v>
      </c>
      <c r="F177">
        <v>386</v>
      </c>
      <c r="G177" t="s">
        <v>43</v>
      </c>
      <c r="H177">
        <v>3</v>
      </c>
      <c r="I177">
        <v>4</v>
      </c>
      <c r="J177" t="b">
        <v>0</v>
      </c>
      <c r="K177">
        <v>62</v>
      </c>
      <c r="L177">
        <v>50</v>
      </c>
      <c r="M177" t="s">
        <v>63</v>
      </c>
      <c r="N177" t="s">
        <v>49</v>
      </c>
      <c r="O177" t="s">
        <v>27</v>
      </c>
      <c r="P177">
        <v>44</v>
      </c>
      <c r="Q177">
        <v>4.7</v>
      </c>
      <c r="R177" t="b">
        <v>0</v>
      </c>
      <c r="S177" t="s">
        <v>28</v>
      </c>
      <c r="T177">
        <v>2377</v>
      </c>
      <c r="U177" t="s">
        <v>29</v>
      </c>
      <c r="V177" t="s">
        <v>30</v>
      </c>
      <c r="W177" t="s">
        <v>53</v>
      </c>
    </row>
    <row r="178" spans="1:23" x14ac:dyDescent="0.3">
      <c r="A178">
        <v>1257</v>
      </c>
      <c r="B178" t="s">
        <v>167</v>
      </c>
      <c r="C178" s="1">
        <v>44965</v>
      </c>
      <c r="D178" s="1">
        <v>45634</v>
      </c>
      <c r="E178">
        <v>7.99</v>
      </c>
      <c r="F178">
        <v>245</v>
      </c>
      <c r="G178" t="s">
        <v>24</v>
      </c>
      <c r="H178">
        <v>3</v>
      </c>
      <c r="I178">
        <v>4</v>
      </c>
      <c r="J178" t="b">
        <v>0</v>
      </c>
      <c r="K178">
        <v>831</v>
      </c>
      <c r="L178">
        <v>15</v>
      </c>
      <c r="M178" t="s">
        <v>39</v>
      </c>
      <c r="N178" t="s">
        <v>26</v>
      </c>
      <c r="O178" t="s">
        <v>34</v>
      </c>
      <c r="P178">
        <v>64</v>
      </c>
      <c r="Q178">
        <v>4.9000000000000004</v>
      </c>
      <c r="R178" t="b">
        <v>0</v>
      </c>
      <c r="S178" t="s">
        <v>28</v>
      </c>
      <c r="T178">
        <v>212</v>
      </c>
      <c r="U178" t="s">
        <v>65</v>
      </c>
      <c r="V178" t="s">
        <v>60</v>
      </c>
      <c r="W178" t="s">
        <v>75</v>
      </c>
    </row>
    <row r="179" spans="1:23" x14ac:dyDescent="0.3">
      <c r="A179">
        <v>1897</v>
      </c>
      <c r="B179" t="s">
        <v>193</v>
      </c>
      <c r="C179" s="1">
        <v>45004</v>
      </c>
      <c r="D179" s="1">
        <v>45642</v>
      </c>
      <c r="E179">
        <v>11.99</v>
      </c>
      <c r="F179">
        <v>97</v>
      </c>
      <c r="G179" t="s">
        <v>55</v>
      </c>
      <c r="H179">
        <v>5</v>
      </c>
      <c r="I179">
        <v>5</v>
      </c>
      <c r="J179" t="b">
        <v>1</v>
      </c>
      <c r="K179">
        <v>737</v>
      </c>
      <c r="L179">
        <v>85</v>
      </c>
      <c r="M179" t="s">
        <v>48</v>
      </c>
      <c r="N179" t="s">
        <v>26</v>
      </c>
      <c r="O179" t="s">
        <v>67</v>
      </c>
      <c r="P179">
        <v>80</v>
      </c>
      <c r="Q179">
        <v>3.6</v>
      </c>
      <c r="R179" t="b">
        <v>1</v>
      </c>
      <c r="S179" t="s">
        <v>28</v>
      </c>
      <c r="T179">
        <v>188</v>
      </c>
      <c r="U179" t="s">
        <v>29</v>
      </c>
      <c r="V179" t="s">
        <v>68</v>
      </c>
      <c r="W179" t="s">
        <v>75</v>
      </c>
    </row>
    <row r="180" spans="1:23" x14ac:dyDescent="0.3">
      <c r="A180">
        <v>3603</v>
      </c>
      <c r="B180" t="s">
        <v>194</v>
      </c>
      <c r="C180" s="1">
        <v>45020</v>
      </c>
      <c r="D180" s="1">
        <v>45616</v>
      </c>
      <c r="E180">
        <v>7.99</v>
      </c>
      <c r="F180">
        <v>216</v>
      </c>
      <c r="G180" t="s">
        <v>46</v>
      </c>
      <c r="H180">
        <v>4</v>
      </c>
      <c r="I180">
        <v>3</v>
      </c>
      <c r="J180" t="b">
        <v>1</v>
      </c>
      <c r="K180">
        <v>923</v>
      </c>
      <c r="L180">
        <v>143</v>
      </c>
      <c r="M180" t="s">
        <v>25</v>
      </c>
      <c r="N180" t="s">
        <v>49</v>
      </c>
      <c r="O180" t="s">
        <v>41</v>
      </c>
      <c r="P180">
        <v>20</v>
      </c>
      <c r="Q180">
        <v>3.4</v>
      </c>
      <c r="R180" t="b">
        <v>0</v>
      </c>
      <c r="S180" t="s">
        <v>28</v>
      </c>
      <c r="T180">
        <v>4435</v>
      </c>
      <c r="U180" t="s">
        <v>35</v>
      </c>
      <c r="V180" t="s">
        <v>68</v>
      </c>
      <c r="W180" t="s">
        <v>31</v>
      </c>
    </row>
    <row r="181" spans="1:23" x14ac:dyDescent="0.3">
      <c r="A181">
        <v>9256</v>
      </c>
      <c r="B181" t="s">
        <v>167</v>
      </c>
      <c r="C181" s="1">
        <v>44964</v>
      </c>
      <c r="D181" s="1">
        <v>45618</v>
      </c>
      <c r="E181">
        <v>7.99</v>
      </c>
      <c r="F181">
        <v>331</v>
      </c>
      <c r="G181" t="s">
        <v>79</v>
      </c>
      <c r="H181">
        <v>5</v>
      </c>
      <c r="I181">
        <v>1</v>
      </c>
      <c r="J181" t="b">
        <v>0</v>
      </c>
      <c r="K181">
        <v>85</v>
      </c>
      <c r="L181">
        <v>117</v>
      </c>
      <c r="M181" t="s">
        <v>74</v>
      </c>
      <c r="N181" t="s">
        <v>49</v>
      </c>
      <c r="O181" t="s">
        <v>67</v>
      </c>
      <c r="P181">
        <v>21</v>
      </c>
      <c r="Q181">
        <v>4.8</v>
      </c>
      <c r="R181" t="b">
        <v>1</v>
      </c>
      <c r="S181" t="s">
        <v>28</v>
      </c>
      <c r="T181">
        <v>1454</v>
      </c>
      <c r="U181" t="s">
        <v>51</v>
      </c>
      <c r="V181" t="s">
        <v>36</v>
      </c>
      <c r="W181" t="s">
        <v>75</v>
      </c>
    </row>
    <row r="182" spans="1:23" x14ac:dyDescent="0.3">
      <c r="A182">
        <v>9469</v>
      </c>
      <c r="B182" t="s">
        <v>80</v>
      </c>
      <c r="C182" s="1">
        <v>45087</v>
      </c>
      <c r="D182" s="1">
        <v>45621</v>
      </c>
      <c r="E182">
        <v>11.99</v>
      </c>
      <c r="F182">
        <v>451</v>
      </c>
      <c r="G182" t="s">
        <v>43</v>
      </c>
      <c r="H182">
        <v>2</v>
      </c>
      <c r="I182">
        <v>3</v>
      </c>
      <c r="J182" t="b">
        <v>0</v>
      </c>
      <c r="K182">
        <v>59</v>
      </c>
      <c r="L182">
        <v>38</v>
      </c>
      <c r="M182" t="s">
        <v>63</v>
      </c>
      <c r="N182" t="s">
        <v>49</v>
      </c>
      <c r="O182" t="s">
        <v>34</v>
      </c>
      <c r="P182">
        <v>94</v>
      </c>
      <c r="Q182">
        <v>3</v>
      </c>
      <c r="R182" t="b">
        <v>1</v>
      </c>
      <c r="S182" t="s">
        <v>28</v>
      </c>
      <c r="T182">
        <v>2841</v>
      </c>
      <c r="U182" t="s">
        <v>57</v>
      </c>
      <c r="V182" t="s">
        <v>60</v>
      </c>
      <c r="W182" t="s">
        <v>37</v>
      </c>
    </row>
    <row r="183" spans="1:23" x14ac:dyDescent="0.3">
      <c r="A183">
        <v>7136</v>
      </c>
      <c r="B183" t="s">
        <v>102</v>
      </c>
      <c r="C183" s="1">
        <v>45431</v>
      </c>
      <c r="D183" s="1">
        <v>45640</v>
      </c>
      <c r="E183">
        <v>7.99</v>
      </c>
      <c r="F183">
        <v>326</v>
      </c>
      <c r="G183" t="s">
        <v>24</v>
      </c>
      <c r="H183">
        <v>5</v>
      </c>
      <c r="I183">
        <v>1</v>
      </c>
      <c r="J183" t="b">
        <v>0</v>
      </c>
      <c r="K183">
        <v>590</v>
      </c>
      <c r="L183">
        <v>105</v>
      </c>
      <c r="M183" t="s">
        <v>74</v>
      </c>
      <c r="N183" t="s">
        <v>26</v>
      </c>
      <c r="O183" t="s">
        <v>27</v>
      </c>
      <c r="P183">
        <v>56</v>
      </c>
      <c r="Q183">
        <v>3.3</v>
      </c>
      <c r="R183" t="b">
        <v>0</v>
      </c>
      <c r="S183" t="s">
        <v>28</v>
      </c>
      <c r="T183">
        <v>1626</v>
      </c>
      <c r="U183" t="s">
        <v>29</v>
      </c>
      <c r="V183" t="s">
        <v>36</v>
      </c>
      <c r="W183" t="s">
        <v>75</v>
      </c>
    </row>
    <row r="184" spans="1:23" x14ac:dyDescent="0.3">
      <c r="A184">
        <v>2321</v>
      </c>
      <c r="B184" t="s">
        <v>195</v>
      </c>
      <c r="C184" s="1">
        <v>45342</v>
      </c>
      <c r="D184" s="1">
        <v>45640</v>
      </c>
      <c r="E184">
        <v>15.99</v>
      </c>
      <c r="F184">
        <v>358</v>
      </c>
      <c r="G184" t="s">
        <v>33</v>
      </c>
      <c r="H184">
        <v>3</v>
      </c>
      <c r="I184">
        <v>1</v>
      </c>
      <c r="J184" t="b">
        <v>0</v>
      </c>
      <c r="K184">
        <v>348</v>
      </c>
      <c r="L184">
        <v>49</v>
      </c>
      <c r="M184" t="s">
        <v>74</v>
      </c>
      <c r="N184" t="s">
        <v>40</v>
      </c>
      <c r="O184" t="s">
        <v>27</v>
      </c>
      <c r="P184">
        <v>14</v>
      </c>
      <c r="Q184">
        <v>4.2</v>
      </c>
      <c r="R184" t="b">
        <v>0</v>
      </c>
      <c r="S184" t="s">
        <v>28</v>
      </c>
      <c r="T184">
        <v>111</v>
      </c>
      <c r="U184" t="s">
        <v>35</v>
      </c>
      <c r="V184" t="s">
        <v>30</v>
      </c>
      <c r="W184" t="s">
        <v>53</v>
      </c>
    </row>
    <row r="185" spans="1:23" x14ac:dyDescent="0.3">
      <c r="A185">
        <v>4243</v>
      </c>
      <c r="B185" t="s">
        <v>176</v>
      </c>
      <c r="C185" s="1">
        <v>44998</v>
      </c>
      <c r="D185" s="1">
        <v>45625</v>
      </c>
      <c r="E185">
        <v>15.99</v>
      </c>
      <c r="F185">
        <v>91</v>
      </c>
      <c r="G185" t="s">
        <v>24</v>
      </c>
      <c r="H185">
        <v>2</v>
      </c>
      <c r="I185">
        <v>1</v>
      </c>
      <c r="J185" t="b">
        <v>1</v>
      </c>
      <c r="K185">
        <v>561</v>
      </c>
      <c r="L185">
        <v>153</v>
      </c>
      <c r="M185" t="s">
        <v>39</v>
      </c>
      <c r="N185" t="s">
        <v>64</v>
      </c>
      <c r="O185" t="s">
        <v>56</v>
      </c>
      <c r="P185">
        <v>7</v>
      </c>
      <c r="Q185">
        <v>4.0999999999999996</v>
      </c>
      <c r="R185" t="b">
        <v>0</v>
      </c>
      <c r="S185" t="s">
        <v>28</v>
      </c>
      <c r="T185">
        <v>450</v>
      </c>
      <c r="U185" t="s">
        <v>65</v>
      </c>
      <c r="V185" t="s">
        <v>68</v>
      </c>
      <c r="W185" t="s">
        <v>53</v>
      </c>
    </row>
    <row r="186" spans="1:23" x14ac:dyDescent="0.3">
      <c r="A186">
        <v>8015</v>
      </c>
      <c r="B186" t="s">
        <v>196</v>
      </c>
      <c r="C186" s="1">
        <v>45227</v>
      </c>
      <c r="D186" s="1">
        <v>45644</v>
      </c>
      <c r="E186">
        <v>7.99</v>
      </c>
      <c r="F186">
        <v>478</v>
      </c>
      <c r="G186" t="s">
        <v>24</v>
      </c>
      <c r="H186">
        <v>2</v>
      </c>
      <c r="I186">
        <v>2</v>
      </c>
      <c r="J186" t="b">
        <v>1</v>
      </c>
      <c r="K186">
        <v>214</v>
      </c>
      <c r="L186">
        <v>191</v>
      </c>
      <c r="M186" t="s">
        <v>44</v>
      </c>
      <c r="N186" t="s">
        <v>40</v>
      </c>
      <c r="O186" t="s">
        <v>50</v>
      </c>
      <c r="P186">
        <v>44</v>
      </c>
      <c r="Q186">
        <v>3.6</v>
      </c>
      <c r="R186" t="b">
        <v>0</v>
      </c>
      <c r="S186" t="s">
        <v>28</v>
      </c>
      <c r="T186">
        <v>3325</v>
      </c>
      <c r="U186" t="s">
        <v>35</v>
      </c>
      <c r="V186" t="s">
        <v>30</v>
      </c>
      <c r="W186" t="s">
        <v>75</v>
      </c>
    </row>
    <row r="187" spans="1:23" x14ac:dyDescent="0.3">
      <c r="A187">
        <v>3440</v>
      </c>
      <c r="B187" t="s">
        <v>80</v>
      </c>
      <c r="C187" s="1">
        <v>44982</v>
      </c>
      <c r="D187" s="1">
        <v>45618</v>
      </c>
      <c r="E187">
        <v>7.99</v>
      </c>
      <c r="F187">
        <v>16</v>
      </c>
      <c r="G187" t="s">
        <v>46</v>
      </c>
      <c r="H187">
        <v>3</v>
      </c>
      <c r="I187">
        <v>4</v>
      </c>
      <c r="J187" t="b">
        <v>0</v>
      </c>
      <c r="K187">
        <v>964</v>
      </c>
      <c r="L187">
        <v>111</v>
      </c>
      <c r="M187" t="s">
        <v>74</v>
      </c>
      <c r="N187" t="s">
        <v>26</v>
      </c>
      <c r="O187" t="s">
        <v>41</v>
      </c>
      <c r="P187">
        <v>52</v>
      </c>
      <c r="Q187">
        <v>3.1</v>
      </c>
      <c r="R187" t="b">
        <v>1</v>
      </c>
      <c r="S187" t="s">
        <v>28</v>
      </c>
      <c r="T187">
        <v>3059</v>
      </c>
      <c r="U187" t="s">
        <v>65</v>
      </c>
      <c r="V187" t="s">
        <v>52</v>
      </c>
      <c r="W187" t="s">
        <v>53</v>
      </c>
    </row>
    <row r="188" spans="1:23" x14ac:dyDescent="0.3">
      <c r="A188">
        <v>9914</v>
      </c>
      <c r="B188" t="s">
        <v>132</v>
      </c>
      <c r="C188" s="1">
        <v>45216</v>
      </c>
      <c r="D188" s="1">
        <v>45634</v>
      </c>
      <c r="E188">
        <v>11.99</v>
      </c>
      <c r="F188">
        <v>44</v>
      </c>
      <c r="G188" t="s">
        <v>62</v>
      </c>
      <c r="H188">
        <v>2</v>
      </c>
      <c r="I188">
        <v>1</v>
      </c>
      <c r="J188" t="b">
        <v>1</v>
      </c>
      <c r="K188">
        <v>897</v>
      </c>
      <c r="L188">
        <v>62</v>
      </c>
      <c r="M188" t="s">
        <v>63</v>
      </c>
      <c r="N188" t="s">
        <v>26</v>
      </c>
      <c r="O188" t="s">
        <v>56</v>
      </c>
      <c r="P188">
        <v>18</v>
      </c>
      <c r="Q188">
        <v>4.4000000000000004</v>
      </c>
      <c r="R188" t="b">
        <v>0</v>
      </c>
      <c r="S188" t="s">
        <v>28</v>
      </c>
      <c r="T188">
        <v>1065</v>
      </c>
      <c r="U188" t="s">
        <v>29</v>
      </c>
      <c r="V188" t="s">
        <v>30</v>
      </c>
      <c r="W188" t="s">
        <v>75</v>
      </c>
    </row>
    <row r="189" spans="1:23" x14ac:dyDescent="0.3">
      <c r="A189">
        <v>5045</v>
      </c>
      <c r="B189" t="s">
        <v>100</v>
      </c>
      <c r="C189" s="1">
        <v>45529</v>
      </c>
      <c r="D189" s="1">
        <v>45617</v>
      </c>
      <c r="E189">
        <v>11.99</v>
      </c>
      <c r="F189">
        <v>100</v>
      </c>
      <c r="G189" t="s">
        <v>62</v>
      </c>
      <c r="H189">
        <v>4</v>
      </c>
      <c r="I189">
        <v>1</v>
      </c>
      <c r="J189" t="b">
        <v>1</v>
      </c>
      <c r="K189">
        <v>983</v>
      </c>
      <c r="L189">
        <v>191</v>
      </c>
      <c r="M189" t="s">
        <v>74</v>
      </c>
      <c r="N189" t="s">
        <v>26</v>
      </c>
      <c r="O189" t="s">
        <v>41</v>
      </c>
      <c r="P189">
        <v>53</v>
      </c>
      <c r="Q189">
        <v>4.5</v>
      </c>
      <c r="R189" t="b">
        <v>0</v>
      </c>
      <c r="S189" t="s">
        <v>28</v>
      </c>
      <c r="T189">
        <v>2575</v>
      </c>
      <c r="U189" t="s">
        <v>65</v>
      </c>
      <c r="V189" t="s">
        <v>52</v>
      </c>
      <c r="W189" t="s">
        <v>75</v>
      </c>
    </row>
    <row r="190" spans="1:23" x14ac:dyDescent="0.3">
      <c r="A190">
        <v>1379</v>
      </c>
      <c r="B190" t="s">
        <v>154</v>
      </c>
      <c r="C190" s="1">
        <v>45035</v>
      </c>
      <c r="D190" s="1">
        <v>45631</v>
      </c>
      <c r="E190">
        <v>11.99</v>
      </c>
      <c r="F190">
        <v>44</v>
      </c>
      <c r="G190" t="s">
        <v>33</v>
      </c>
      <c r="H190">
        <v>5</v>
      </c>
      <c r="I190">
        <v>4</v>
      </c>
      <c r="J190" t="b">
        <v>1</v>
      </c>
      <c r="K190">
        <v>432</v>
      </c>
      <c r="L190">
        <v>73</v>
      </c>
      <c r="M190" t="s">
        <v>44</v>
      </c>
      <c r="N190" t="s">
        <v>26</v>
      </c>
      <c r="O190" t="s">
        <v>56</v>
      </c>
      <c r="P190">
        <v>88</v>
      </c>
      <c r="Q190">
        <v>4.5999999999999996</v>
      </c>
      <c r="R190" t="b">
        <v>0</v>
      </c>
      <c r="S190" t="s">
        <v>28</v>
      </c>
      <c r="T190">
        <v>1690</v>
      </c>
      <c r="U190" t="s">
        <v>57</v>
      </c>
      <c r="V190" t="s">
        <v>30</v>
      </c>
      <c r="W190" t="s">
        <v>37</v>
      </c>
    </row>
    <row r="191" spans="1:23" x14ac:dyDescent="0.3">
      <c r="A191">
        <v>6099</v>
      </c>
      <c r="B191" t="s">
        <v>197</v>
      </c>
      <c r="C191" s="1">
        <v>45345</v>
      </c>
      <c r="D191" s="1">
        <v>45623</v>
      </c>
      <c r="E191">
        <v>11.99</v>
      </c>
      <c r="F191">
        <v>37</v>
      </c>
      <c r="G191" t="s">
        <v>62</v>
      </c>
      <c r="H191">
        <v>3</v>
      </c>
      <c r="I191">
        <v>1</v>
      </c>
      <c r="J191" t="b">
        <v>1</v>
      </c>
      <c r="K191">
        <v>881</v>
      </c>
      <c r="L191">
        <v>189</v>
      </c>
      <c r="M191" t="s">
        <v>39</v>
      </c>
      <c r="N191" t="s">
        <v>40</v>
      </c>
      <c r="O191" t="s">
        <v>67</v>
      </c>
      <c r="P191">
        <v>32</v>
      </c>
      <c r="Q191">
        <v>3.9</v>
      </c>
      <c r="R191" t="b">
        <v>0</v>
      </c>
      <c r="S191" t="s">
        <v>28</v>
      </c>
      <c r="T191">
        <v>1382</v>
      </c>
      <c r="U191" t="s">
        <v>29</v>
      </c>
      <c r="V191" t="s">
        <v>30</v>
      </c>
      <c r="W191" t="s">
        <v>53</v>
      </c>
    </row>
    <row r="192" spans="1:23" x14ac:dyDescent="0.3">
      <c r="A192">
        <v>4696</v>
      </c>
      <c r="B192" t="s">
        <v>198</v>
      </c>
      <c r="C192" s="1">
        <v>45095</v>
      </c>
      <c r="D192" s="1">
        <v>45630</v>
      </c>
      <c r="E192">
        <v>15.99</v>
      </c>
      <c r="F192">
        <v>48</v>
      </c>
      <c r="G192" t="s">
        <v>24</v>
      </c>
      <c r="H192">
        <v>5</v>
      </c>
      <c r="I192">
        <v>2</v>
      </c>
      <c r="J192" t="b">
        <v>0</v>
      </c>
      <c r="K192">
        <v>331</v>
      </c>
      <c r="L192">
        <v>93</v>
      </c>
      <c r="M192" t="s">
        <v>25</v>
      </c>
      <c r="N192" t="s">
        <v>64</v>
      </c>
      <c r="O192" t="s">
        <v>67</v>
      </c>
      <c r="P192">
        <v>66</v>
      </c>
      <c r="Q192">
        <v>3.7</v>
      </c>
      <c r="R192" t="b">
        <v>0</v>
      </c>
      <c r="S192" t="s">
        <v>28</v>
      </c>
      <c r="T192">
        <v>1050</v>
      </c>
      <c r="U192" t="s">
        <v>57</v>
      </c>
      <c r="V192" t="s">
        <v>36</v>
      </c>
      <c r="W192" t="s">
        <v>31</v>
      </c>
    </row>
    <row r="193" spans="1:23" x14ac:dyDescent="0.3">
      <c r="A193">
        <v>4808</v>
      </c>
      <c r="B193" t="s">
        <v>181</v>
      </c>
      <c r="C193" s="1">
        <v>45377</v>
      </c>
      <c r="D193" s="1">
        <v>45623</v>
      </c>
      <c r="E193">
        <v>7.99</v>
      </c>
      <c r="F193">
        <v>371</v>
      </c>
      <c r="G193" t="s">
        <v>79</v>
      </c>
      <c r="H193">
        <v>1</v>
      </c>
      <c r="I193">
        <v>1</v>
      </c>
      <c r="J193" t="b">
        <v>1</v>
      </c>
      <c r="K193">
        <v>819</v>
      </c>
      <c r="L193">
        <v>71</v>
      </c>
      <c r="M193" t="s">
        <v>39</v>
      </c>
      <c r="N193" t="s">
        <v>26</v>
      </c>
      <c r="O193" t="s">
        <v>50</v>
      </c>
      <c r="P193">
        <v>36</v>
      </c>
      <c r="Q193">
        <v>4.0999999999999996</v>
      </c>
      <c r="R193" t="b">
        <v>1</v>
      </c>
      <c r="S193" t="s">
        <v>28</v>
      </c>
      <c r="T193">
        <v>2328</v>
      </c>
      <c r="U193" t="s">
        <v>35</v>
      </c>
      <c r="V193" t="s">
        <v>60</v>
      </c>
      <c r="W193" t="s">
        <v>31</v>
      </c>
    </row>
    <row r="194" spans="1:23" x14ac:dyDescent="0.3">
      <c r="A194">
        <v>3633</v>
      </c>
      <c r="B194" t="s">
        <v>199</v>
      </c>
      <c r="C194" s="1">
        <v>45644</v>
      </c>
      <c r="D194" s="1">
        <v>45636</v>
      </c>
      <c r="E194">
        <v>7.99</v>
      </c>
      <c r="F194">
        <v>176</v>
      </c>
      <c r="G194" t="s">
        <v>24</v>
      </c>
      <c r="H194">
        <v>5</v>
      </c>
      <c r="I194">
        <v>1</v>
      </c>
      <c r="J194" t="b">
        <v>1</v>
      </c>
      <c r="K194">
        <v>936</v>
      </c>
      <c r="L194">
        <v>11</v>
      </c>
      <c r="M194" t="s">
        <v>74</v>
      </c>
      <c r="N194" t="s">
        <v>64</v>
      </c>
      <c r="O194" t="s">
        <v>56</v>
      </c>
      <c r="P194">
        <v>42</v>
      </c>
      <c r="Q194">
        <v>3.2</v>
      </c>
      <c r="R194" t="b">
        <v>0</v>
      </c>
      <c r="S194" t="s">
        <v>28</v>
      </c>
      <c r="T194">
        <v>4414</v>
      </c>
      <c r="U194" t="s">
        <v>29</v>
      </c>
      <c r="V194" t="s">
        <v>30</v>
      </c>
      <c r="W194" t="s">
        <v>31</v>
      </c>
    </row>
    <row r="195" spans="1:23" x14ac:dyDescent="0.3">
      <c r="A195">
        <v>4979</v>
      </c>
      <c r="B195" t="s">
        <v>166</v>
      </c>
      <c r="C195" s="1">
        <v>45612</v>
      </c>
      <c r="D195" s="1">
        <v>45620</v>
      </c>
      <c r="E195">
        <v>15.99</v>
      </c>
      <c r="F195">
        <v>312</v>
      </c>
      <c r="G195" t="s">
        <v>33</v>
      </c>
      <c r="H195">
        <v>4</v>
      </c>
      <c r="I195">
        <v>4</v>
      </c>
      <c r="J195" t="b">
        <v>0</v>
      </c>
      <c r="K195">
        <v>321</v>
      </c>
      <c r="L195">
        <v>19</v>
      </c>
      <c r="M195" t="s">
        <v>59</v>
      </c>
      <c r="N195" t="s">
        <v>26</v>
      </c>
      <c r="O195" t="s">
        <v>50</v>
      </c>
      <c r="P195">
        <v>18</v>
      </c>
      <c r="Q195">
        <v>4.3</v>
      </c>
      <c r="R195" t="b">
        <v>1</v>
      </c>
      <c r="S195" t="s">
        <v>28</v>
      </c>
      <c r="T195">
        <v>3980</v>
      </c>
      <c r="U195" t="s">
        <v>57</v>
      </c>
      <c r="V195" t="s">
        <v>36</v>
      </c>
      <c r="W195" t="s">
        <v>37</v>
      </c>
    </row>
    <row r="196" spans="1:23" x14ac:dyDescent="0.3">
      <c r="A196">
        <v>2214</v>
      </c>
      <c r="B196" t="s">
        <v>200</v>
      </c>
      <c r="C196" s="1">
        <v>45586</v>
      </c>
      <c r="D196" s="1">
        <v>45620</v>
      </c>
      <c r="E196">
        <v>7.99</v>
      </c>
      <c r="F196">
        <v>375</v>
      </c>
      <c r="G196" t="s">
        <v>79</v>
      </c>
      <c r="H196">
        <v>1</v>
      </c>
      <c r="I196">
        <v>1</v>
      </c>
      <c r="J196" t="b">
        <v>1</v>
      </c>
      <c r="K196">
        <v>244</v>
      </c>
      <c r="L196">
        <v>106</v>
      </c>
      <c r="M196" t="s">
        <v>48</v>
      </c>
      <c r="N196" t="s">
        <v>26</v>
      </c>
      <c r="O196" t="s">
        <v>67</v>
      </c>
      <c r="P196">
        <v>16</v>
      </c>
      <c r="Q196">
        <v>3.9</v>
      </c>
      <c r="R196" t="b">
        <v>1</v>
      </c>
      <c r="S196" t="s">
        <v>28</v>
      </c>
      <c r="T196">
        <v>3596</v>
      </c>
      <c r="U196" t="s">
        <v>29</v>
      </c>
      <c r="V196" t="s">
        <v>36</v>
      </c>
      <c r="W196" t="s">
        <v>31</v>
      </c>
    </row>
    <row r="197" spans="1:23" x14ac:dyDescent="0.3">
      <c r="A197">
        <v>6606</v>
      </c>
      <c r="B197" t="s">
        <v>197</v>
      </c>
      <c r="C197" s="1">
        <v>45317</v>
      </c>
      <c r="D197" s="1">
        <v>45625</v>
      </c>
      <c r="E197">
        <v>15.99</v>
      </c>
      <c r="F197">
        <v>134</v>
      </c>
      <c r="G197" t="s">
        <v>43</v>
      </c>
      <c r="H197">
        <v>3</v>
      </c>
      <c r="I197">
        <v>5</v>
      </c>
      <c r="J197" t="b">
        <v>1</v>
      </c>
      <c r="K197">
        <v>826</v>
      </c>
      <c r="L197">
        <v>160</v>
      </c>
      <c r="M197" t="s">
        <v>74</v>
      </c>
      <c r="N197" t="s">
        <v>64</v>
      </c>
      <c r="O197" t="s">
        <v>56</v>
      </c>
      <c r="P197">
        <v>96</v>
      </c>
      <c r="Q197">
        <v>3.6</v>
      </c>
      <c r="R197" t="b">
        <v>1</v>
      </c>
      <c r="S197" t="s">
        <v>28</v>
      </c>
      <c r="T197">
        <v>1150</v>
      </c>
      <c r="U197" t="s">
        <v>29</v>
      </c>
      <c r="V197" t="s">
        <v>36</v>
      </c>
      <c r="W197" t="s">
        <v>31</v>
      </c>
    </row>
    <row r="198" spans="1:23" x14ac:dyDescent="0.3">
      <c r="A198">
        <v>4246</v>
      </c>
      <c r="B198" t="s">
        <v>168</v>
      </c>
      <c r="C198" s="1">
        <v>45193</v>
      </c>
      <c r="D198" s="1">
        <v>45641</v>
      </c>
      <c r="E198">
        <v>7.99</v>
      </c>
      <c r="F198">
        <v>91</v>
      </c>
      <c r="G198" t="s">
        <v>33</v>
      </c>
      <c r="H198">
        <v>5</v>
      </c>
      <c r="I198">
        <v>1</v>
      </c>
      <c r="J198" t="b">
        <v>0</v>
      </c>
      <c r="K198">
        <v>159</v>
      </c>
      <c r="L198">
        <v>14</v>
      </c>
      <c r="M198" t="s">
        <v>44</v>
      </c>
      <c r="N198" t="s">
        <v>26</v>
      </c>
      <c r="O198" t="s">
        <v>50</v>
      </c>
      <c r="P198">
        <v>85</v>
      </c>
      <c r="Q198">
        <v>4.4000000000000004</v>
      </c>
      <c r="R198" t="b">
        <v>0</v>
      </c>
      <c r="S198" t="s">
        <v>28</v>
      </c>
      <c r="T198">
        <v>1858</v>
      </c>
      <c r="U198" t="s">
        <v>51</v>
      </c>
      <c r="V198" t="s">
        <v>30</v>
      </c>
      <c r="W198" t="s">
        <v>31</v>
      </c>
    </row>
    <row r="199" spans="1:23" x14ac:dyDescent="0.3">
      <c r="A199">
        <v>2836</v>
      </c>
      <c r="B199" t="s">
        <v>150</v>
      </c>
      <c r="C199" s="1">
        <v>45329</v>
      </c>
      <c r="D199" s="1">
        <v>45643</v>
      </c>
      <c r="E199">
        <v>7.99</v>
      </c>
      <c r="F199">
        <v>359</v>
      </c>
      <c r="G199" t="s">
        <v>55</v>
      </c>
      <c r="H199">
        <v>2</v>
      </c>
      <c r="I199">
        <v>6</v>
      </c>
      <c r="J199" t="b">
        <v>0</v>
      </c>
      <c r="K199">
        <v>305</v>
      </c>
      <c r="L199">
        <v>81</v>
      </c>
      <c r="M199" t="s">
        <v>59</v>
      </c>
      <c r="N199" t="s">
        <v>64</v>
      </c>
      <c r="O199" t="s">
        <v>34</v>
      </c>
      <c r="P199">
        <v>28</v>
      </c>
      <c r="Q199">
        <v>3.3</v>
      </c>
      <c r="R199" t="b">
        <v>0</v>
      </c>
      <c r="S199" t="s">
        <v>28</v>
      </c>
      <c r="T199">
        <v>1926</v>
      </c>
      <c r="U199" t="s">
        <v>35</v>
      </c>
      <c r="V199" t="s">
        <v>68</v>
      </c>
      <c r="W199" t="s">
        <v>53</v>
      </c>
    </row>
    <row r="200" spans="1:23" x14ac:dyDescent="0.3">
      <c r="A200">
        <v>6963</v>
      </c>
      <c r="B200" t="s">
        <v>201</v>
      </c>
      <c r="C200" s="1">
        <v>45113</v>
      </c>
      <c r="D200" s="1">
        <v>45625</v>
      </c>
      <c r="E200">
        <v>15.99</v>
      </c>
      <c r="F200">
        <v>172</v>
      </c>
      <c r="G200" t="s">
        <v>62</v>
      </c>
      <c r="H200">
        <v>2</v>
      </c>
      <c r="I200">
        <v>6</v>
      </c>
      <c r="J200" t="b">
        <v>0</v>
      </c>
      <c r="K200">
        <v>841</v>
      </c>
      <c r="L200">
        <v>83</v>
      </c>
      <c r="M200" t="s">
        <v>44</v>
      </c>
      <c r="N200" t="s">
        <v>26</v>
      </c>
      <c r="O200" t="s">
        <v>67</v>
      </c>
      <c r="P200">
        <v>44</v>
      </c>
      <c r="Q200">
        <v>5</v>
      </c>
      <c r="R200" t="b">
        <v>1</v>
      </c>
      <c r="S200" t="s">
        <v>28</v>
      </c>
      <c r="T200">
        <v>2933</v>
      </c>
      <c r="U200" t="s">
        <v>65</v>
      </c>
      <c r="V200" t="s">
        <v>36</v>
      </c>
      <c r="W200" t="s">
        <v>37</v>
      </c>
    </row>
    <row r="201" spans="1:23" x14ac:dyDescent="0.3">
      <c r="A201">
        <v>2243</v>
      </c>
      <c r="B201" t="s">
        <v>202</v>
      </c>
      <c r="C201" s="1">
        <v>45490</v>
      </c>
      <c r="D201" s="1">
        <v>45628</v>
      </c>
      <c r="E201">
        <v>11.99</v>
      </c>
      <c r="F201">
        <v>490</v>
      </c>
      <c r="G201" t="s">
        <v>62</v>
      </c>
      <c r="H201">
        <v>3</v>
      </c>
      <c r="I201">
        <v>3</v>
      </c>
      <c r="J201" t="b">
        <v>1</v>
      </c>
      <c r="K201">
        <v>123</v>
      </c>
      <c r="L201">
        <v>183</v>
      </c>
      <c r="M201" t="s">
        <v>74</v>
      </c>
      <c r="N201" t="s">
        <v>64</v>
      </c>
      <c r="O201" t="s">
        <v>34</v>
      </c>
      <c r="P201">
        <v>45</v>
      </c>
      <c r="Q201">
        <v>4.4000000000000004</v>
      </c>
      <c r="R201" t="b">
        <v>0</v>
      </c>
      <c r="S201" t="s">
        <v>28</v>
      </c>
      <c r="T201">
        <v>2397</v>
      </c>
      <c r="U201" t="s">
        <v>35</v>
      </c>
      <c r="V201" t="s">
        <v>52</v>
      </c>
      <c r="W201" t="s">
        <v>37</v>
      </c>
    </row>
    <row r="202" spans="1:23" x14ac:dyDescent="0.3">
      <c r="A202">
        <v>5081</v>
      </c>
      <c r="B202" t="s">
        <v>203</v>
      </c>
      <c r="C202" s="1">
        <v>45592</v>
      </c>
      <c r="D202" s="1">
        <v>45616</v>
      </c>
      <c r="E202">
        <v>11.99</v>
      </c>
      <c r="F202">
        <v>16</v>
      </c>
      <c r="G202" t="s">
        <v>79</v>
      </c>
      <c r="H202">
        <v>1</v>
      </c>
      <c r="I202">
        <v>5</v>
      </c>
      <c r="J202" t="b">
        <v>1</v>
      </c>
      <c r="K202">
        <v>803</v>
      </c>
      <c r="L202">
        <v>196</v>
      </c>
      <c r="M202" t="s">
        <v>59</v>
      </c>
      <c r="N202" t="s">
        <v>64</v>
      </c>
      <c r="O202" t="s">
        <v>27</v>
      </c>
      <c r="P202">
        <v>90</v>
      </c>
      <c r="Q202">
        <v>4.3</v>
      </c>
      <c r="R202" t="b">
        <v>1</v>
      </c>
      <c r="S202" t="s">
        <v>28</v>
      </c>
      <c r="T202">
        <v>1946</v>
      </c>
      <c r="U202" t="s">
        <v>51</v>
      </c>
      <c r="V202" t="s">
        <v>60</v>
      </c>
      <c r="W202" t="s">
        <v>31</v>
      </c>
    </row>
    <row r="203" spans="1:23" x14ac:dyDescent="0.3">
      <c r="A203">
        <v>4171</v>
      </c>
      <c r="B203" t="s">
        <v>146</v>
      </c>
      <c r="C203" s="1">
        <v>45477</v>
      </c>
      <c r="D203" s="1">
        <v>45640</v>
      </c>
      <c r="E203">
        <v>11.99</v>
      </c>
      <c r="F203">
        <v>291</v>
      </c>
      <c r="G203" t="s">
        <v>43</v>
      </c>
      <c r="H203">
        <v>2</v>
      </c>
      <c r="I203">
        <v>1</v>
      </c>
      <c r="J203" t="b">
        <v>1</v>
      </c>
      <c r="K203">
        <v>380</v>
      </c>
      <c r="L203">
        <v>106</v>
      </c>
      <c r="M203" t="s">
        <v>39</v>
      </c>
      <c r="N203" t="s">
        <v>26</v>
      </c>
      <c r="O203" t="s">
        <v>50</v>
      </c>
      <c r="P203">
        <v>22</v>
      </c>
      <c r="Q203">
        <v>4.0999999999999996</v>
      </c>
      <c r="R203" t="b">
        <v>0</v>
      </c>
      <c r="S203" t="s">
        <v>28</v>
      </c>
      <c r="T203">
        <v>2576</v>
      </c>
      <c r="U203" t="s">
        <v>51</v>
      </c>
      <c r="V203" t="s">
        <v>60</v>
      </c>
      <c r="W203" t="s">
        <v>37</v>
      </c>
    </row>
    <row r="204" spans="1:23" x14ac:dyDescent="0.3">
      <c r="A204">
        <v>7399</v>
      </c>
      <c r="B204" t="s">
        <v>134</v>
      </c>
      <c r="C204" s="1">
        <v>45517</v>
      </c>
      <c r="D204" s="1">
        <v>45635</v>
      </c>
      <c r="E204">
        <v>11.99</v>
      </c>
      <c r="F204">
        <v>119</v>
      </c>
      <c r="G204" t="s">
        <v>79</v>
      </c>
      <c r="H204">
        <v>2</v>
      </c>
      <c r="I204">
        <v>5</v>
      </c>
      <c r="J204" t="b">
        <v>1</v>
      </c>
      <c r="K204">
        <v>344</v>
      </c>
      <c r="L204">
        <v>93</v>
      </c>
      <c r="M204" t="s">
        <v>63</v>
      </c>
      <c r="N204" t="s">
        <v>40</v>
      </c>
      <c r="O204" t="s">
        <v>27</v>
      </c>
      <c r="P204">
        <v>0</v>
      </c>
      <c r="Q204">
        <v>4.2</v>
      </c>
      <c r="R204" t="b">
        <v>0</v>
      </c>
      <c r="S204" t="s">
        <v>28</v>
      </c>
      <c r="T204">
        <v>2259</v>
      </c>
      <c r="U204" t="s">
        <v>65</v>
      </c>
      <c r="V204" t="s">
        <v>60</v>
      </c>
      <c r="W204" t="s">
        <v>31</v>
      </c>
    </row>
    <row r="205" spans="1:23" x14ac:dyDescent="0.3">
      <c r="A205">
        <v>1110</v>
      </c>
      <c r="B205" t="s">
        <v>159</v>
      </c>
      <c r="C205" s="1">
        <v>45417</v>
      </c>
      <c r="D205" s="1">
        <v>45630</v>
      </c>
      <c r="E205">
        <v>11.99</v>
      </c>
      <c r="F205">
        <v>35</v>
      </c>
      <c r="G205" t="s">
        <v>24</v>
      </c>
      <c r="H205">
        <v>2</v>
      </c>
      <c r="I205">
        <v>3</v>
      </c>
      <c r="J205" t="b">
        <v>1</v>
      </c>
      <c r="K205">
        <v>908</v>
      </c>
      <c r="L205">
        <v>128</v>
      </c>
      <c r="M205" t="s">
        <v>25</v>
      </c>
      <c r="N205" t="s">
        <v>26</v>
      </c>
      <c r="O205" t="s">
        <v>50</v>
      </c>
      <c r="P205">
        <v>86</v>
      </c>
      <c r="Q205">
        <v>3.2</v>
      </c>
      <c r="R205" t="b">
        <v>1</v>
      </c>
      <c r="S205" t="s">
        <v>28</v>
      </c>
      <c r="T205">
        <v>1068</v>
      </c>
      <c r="U205" t="s">
        <v>65</v>
      </c>
      <c r="V205" t="s">
        <v>30</v>
      </c>
      <c r="W205" t="s">
        <v>37</v>
      </c>
    </row>
    <row r="206" spans="1:23" x14ac:dyDescent="0.3">
      <c r="A206">
        <v>5630</v>
      </c>
      <c r="B206" t="s">
        <v>204</v>
      </c>
      <c r="C206" s="1">
        <v>45264</v>
      </c>
      <c r="D206" s="1">
        <v>45620</v>
      </c>
      <c r="E206">
        <v>7.99</v>
      </c>
      <c r="F206">
        <v>88</v>
      </c>
      <c r="G206" t="s">
        <v>33</v>
      </c>
      <c r="H206">
        <v>4</v>
      </c>
      <c r="I206">
        <v>6</v>
      </c>
      <c r="J206" t="b">
        <v>1</v>
      </c>
      <c r="K206">
        <v>782</v>
      </c>
      <c r="L206">
        <v>180</v>
      </c>
      <c r="M206" t="s">
        <v>25</v>
      </c>
      <c r="N206" t="s">
        <v>40</v>
      </c>
      <c r="O206" t="s">
        <v>67</v>
      </c>
      <c r="P206">
        <v>86</v>
      </c>
      <c r="Q206">
        <v>5</v>
      </c>
      <c r="R206" t="b">
        <v>1</v>
      </c>
      <c r="S206" t="s">
        <v>28</v>
      </c>
      <c r="T206">
        <v>2928</v>
      </c>
      <c r="U206" t="s">
        <v>51</v>
      </c>
      <c r="V206" t="s">
        <v>60</v>
      </c>
      <c r="W206" t="s">
        <v>31</v>
      </c>
    </row>
    <row r="207" spans="1:23" x14ac:dyDescent="0.3">
      <c r="A207">
        <v>9430</v>
      </c>
      <c r="B207" t="s">
        <v>205</v>
      </c>
      <c r="C207" s="1">
        <v>45233</v>
      </c>
      <c r="D207" s="1">
        <v>45617</v>
      </c>
      <c r="E207">
        <v>7.99</v>
      </c>
      <c r="F207">
        <v>312</v>
      </c>
      <c r="G207" t="s">
        <v>43</v>
      </c>
      <c r="H207">
        <v>4</v>
      </c>
      <c r="I207">
        <v>1</v>
      </c>
      <c r="J207" t="b">
        <v>0</v>
      </c>
      <c r="K207">
        <v>769</v>
      </c>
      <c r="L207">
        <v>140</v>
      </c>
      <c r="M207" t="s">
        <v>44</v>
      </c>
      <c r="N207" t="s">
        <v>40</v>
      </c>
      <c r="O207" t="s">
        <v>41</v>
      </c>
      <c r="P207">
        <v>94</v>
      </c>
      <c r="Q207">
        <v>4.8</v>
      </c>
      <c r="R207" t="b">
        <v>1</v>
      </c>
      <c r="S207" t="s">
        <v>28</v>
      </c>
      <c r="T207">
        <v>3674</v>
      </c>
      <c r="U207" t="s">
        <v>51</v>
      </c>
      <c r="V207" t="s">
        <v>60</v>
      </c>
      <c r="W207" t="s">
        <v>37</v>
      </c>
    </row>
    <row r="208" spans="1:23" x14ac:dyDescent="0.3">
      <c r="A208">
        <v>7436</v>
      </c>
      <c r="B208" t="s">
        <v>206</v>
      </c>
      <c r="C208" s="1">
        <v>45344</v>
      </c>
      <c r="D208" s="1">
        <v>45643</v>
      </c>
      <c r="E208">
        <v>15.99</v>
      </c>
      <c r="F208">
        <v>238</v>
      </c>
      <c r="G208" t="s">
        <v>43</v>
      </c>
      <c r="H208">
        <v>4</v>
      </c>
      <c r="I208">
        <v>1</v>
      </c>
      <c r="J208" t="b">
        <v>1</v>
      </c>
      <c r="K208">
        <v>233</v>
      </c>
      <c r="L208">
        <v>102</v>
      </c>
      <c r="M208" t="s">
        <v>39</v>
      </c>
      <c r="N208" t="s">
        <v>40</v>
      </c>
      <c r="O208" t="s">
        <v>27</v>
      </c>
      <c r="P208">
        <v>78</v>
      </c>
      <c r="Q208">
        <v>3.1</v>
      </c>
      <c r="R208" t="b">
        <v>0</v>
      </c>
      <c r="S208" t="s">
        <v>28</v>
      </c>
      <c r="T208">
        <v>130</v>
      </c>
      <c r="U208" t="s">
        <v>51</v>
      </c>
      <c r="V208" t="s">
        <v>68</v>
      </c>
      <c r="W208" t="s">
        <v>31</v>
      </c>
    </row>
    <row r="209" spans="1:23" x14ac:dyDescent="0.3">
      <c r="A209">
        <v>2147</v>
      </c>
      <c r="B209" t="s">
        <v>207</v>
      </c>
      <c r="C209" s="1">
        <v>45303</v>
      </c>
      <c r="D209" s="1">
        <v>45637</v>
      </c>
      <c r="E209">
        <v>11.99</v>
      </c>
      <c r="F209">
        <v>132</v>
      </c>
      <c r="G209" t="s">
        <v>24</v>
      </c>
      <c r="H209">
        <v>4</v>
      </c>
      <c r="I209">
        <v>6</v>
      </c>
      <c r="J209" t="b">
        <v>1</v>
      </c>
      <c r="K209">
        <v>170</v>
      </c>
      <c r="L209">
        <v>164</v>
      </c>
      <c r="M209" t="s">
        <v>74</v>
      </c>
      <c r="N209" t="s">
        <v>40</v>
      </c>
      <c r="O209" t="s">
        <v>56</v>
      </c>
      <c r="P209">
        <v>71</v>
      </c>
      <c r="Q209">
        <v>3.3</v>
      </c>
      <c r="R209" t="b">
        <v>1</v>
      </c>
      <c r="S209" t="s">
        <v>28</v>
      </c>
      <c r="T209">
        <v>4873</v>
      </c>
      <c r="U209" t="s">
        <v>57</v>
      </c>
      <c r="V209" t="s">
        <v>60</v>
      </c>
      <c r="W209" t="s">
        <v>53</v>
      </c>
    </row>
    <row r="210" spans="1:23" x14ac:dyDescent="0.3">
      <c r="A210">
        <v>3264</v>
      </c>
      <c r="B210" t="s">
        <v>87</v>
      </c>
      <c r="C210" s="1">
        <v>45060</v>
      </c>
      <c r="D210" s="1">
        <v>45635</v>
      </c>
      <c r="E210">
        <v>11.99</v>
      </c>
      <c r="F210">
        <v>456</v>
      </c>
      <c r="G210" t="s">
        <v>62</v>
      </c>
      <c r="H210">
        <v>1</v>
      </c>
      <c r="I210">
        <v>6</v>
      </c>
      <c r="J210" t="b">
        <v>1</v>
      </c>
      <c r="K210">
        <v>945</v>
      </c>
      <c r="L210">
        <v>114</v>
      </c>
      <c r="M210" t="s">
        <v>44</v>
      </c>
      <c r="N210" t="s">
        <v>49</v>
      </c>
      <c r="O210" t="s">
        <v>34</v>
      </c>
      <c r="P210">
        <v>44</v>
      </c>
      <c r="Q210">
        <v>3</v>
      </c>
      <c r="R210" t="b">
        <v>0</v>
      </c>
      <c r="S210" t="s">
        <v>28</v>
      </c>
      <c r="T210">
        <v>96</v>
      </c>
      <c r="U210" t="s">
        <v>29</v>
      </c>
      <c r="V210" t="s">
        <v>68</v>
      </c>
      <c r="W210" t="s">
        <v>31</v>
      </c>
    </row>
    <row r="211" spans="1:23" x14ac:dyDescent="0.3">
      <c r="A211">
        <v>1214</v>
      </c>
      <c r="B211" t="s">
        <v>208</v>
      </c>
      <c r="C211" s="1">
        <v>45085</v>
      </c>
      <c r="D211" s="1">
        <v>45637</v>
      </c>
      <c r="E211">
        <v>11.99</v>
      </c>
      <c r="F211">
        <v>281</v>
      </c>
      <c r="G211" t="s">
        <v>24</v>
      </c>
      <c r="H211">
        <v>5</v>
      </c>
      <c r="I211">
        <v>6</v>
      </c>
      <c r="J211" t="b">
        <v>1</v>
      </c>
      <c r="K211">
        <v>945</v>
      </c>
      <c r="L211">
        <v>108</v>
      </c>
      <c r="M211" t="s">
        <v>63</v>
      </c>
      <c r="N211" t="s">
        <v>26</v>
      </c>
      <c r="O211" t="s">
        <v>56</v>
      </c>
      <c r="P211">
        <v>98</v>
      </c>
      <c r="Q211">
        <v>3.8</v>
      </c>
      <c r="R211" t="b">
        <v>1</v>
      </c>
      <c r="S211" t="s">
        <v>28</v>
      </c>
      <c r="T211">
        <v>110</v>
      </c>
      <c r="U211" t="s">
        <v>57</v>
      </c>
      <c r="V211" t="s">
        <v>52</v>
      </c>
      <c r="W211" t="s">
        <v>75</v>
      </c>
    </row>
    <row r="212" spans="1:23" x14ac:dyDescent="0.3">
      <c r="A212">
        <v>6050</v>
      </c>
      <c r="B212" t="s">
        <v>209</v>
      </c>
      <c r="C212" s="1">
        <v>45512</v>
      </c>
      <c r="D212" s="1">
        <v>45619</v>
      </c>
      <c r="E212">
        <v>11.99</v>
      </c>
      <c r="F212">
        <v>281</v>
      </c>
      <c r="G212" t="s">
        <v>55</v>
      </c>
      <c r="H212">
        <v>5</v>
      </c>
      <c r="I212">
        <v>3</v>
      </c>
      <c r="J212" t="b">
        <v>0</v>
      </c>
      <c r="K212">
        <v>217</v>
      </c>
      <c r="L212">
        <v>162</v>
      </c>
      <c r="M212" t="s">
        <v>25</v>
      </c>
      <c r="N212" t="s">
        <v>40</v>
      </c>
      <c r="O212" t="s">
        <v>41</v>
      </c>
      <c r="P212">
        <v>0</v>
      </c>
      <c r="Q212">
        <v>3.4</v>
      </c>
      <c r="R212" t="b">
        <v>0</v>
      </c>
      <c r="S212" t="s">
        <v>28</v>
      </c>
      <c r="T212">
        <v>225</v>
      </c>
      <c r="U212" t="s">
        <v>29</v>
      </c>
      <c r="V212" t="s">
        <v>60</v>
      </c>
      <c r="W212" t="s">
        <v>31</v>
      </c>
    </row>
    <row r="213" spans="1:23" x14ac:dyDescent="0.3">
      <c r="A213">
        <v>7395</v>
      </c>
      <c r="B213" t="s">
        <v>94</v>
      </c>
      <c r="C213" s="1">
        <v>45256</v>
      </c>
      <c r="D213" s="1">
        <v>45631</v>
      </c>
      <c r="E213">
        <v>11.99</v>
      </c>
      <c r="F213">
        <v>73</v>
      </c>
      <c r="G213" t="s">
        <v>24</v>
      </c>
      <c r="H213">
        <v>1</v>
      </c>
      <c r="I213">
        <v>1</v>
      </c>
      <c r="J213" t="b">
        <v>1</v>
      </c>
      <c r="K213">
        <v>664</v>
      </c>
      <c r="L213">
        <v>123</v>
      </c>
      <c r="M213" t="s">
        <v>59</v>
      </c>
      <c r="N213" t="s">
        <v>40</v>
      </c>
      <c r="O213" t="s">
        <v>34</v>
      </c>
      <c r="P213">
        <v>70</v>
      </c>
      <c r="Q213">
        <v>4.4000000000000004</v>
      </c>
      <c r="R213" t="b">
        <v>1</v>
      </c>
      <c r="S213" t="s">
        <v>28</v>
      </c>
      <c r="T213">
        <v>4083</v>
      </c>
      <c r="U213" t="s">
        <v>51</v>
      </c>
      <c r="V213" t="s">
        <v>36</v>
      </c>
      <c r="W213" t="s">
        <v>31</v>
      </c>
    </row>
    <row r="214" spans="1:23" x14ac:dyDescent="0.3">
      <c r="A214">
        <v>3904</v>
      </c>
      <c r="B214" t="s">
        <v>146</v>
      </c>
      <c r="C214" s="1">
        <v>45461</v>
      </c>
      <c r="D214" s="1">
        <v>45635</v>
      </c>
      <c r="E214">
        <v>11.99</v>
      </c>
      <c r="F214">
        <v>365</v>
      </c>
      <c r="G214" t="s">
        <v>55</v>
      </c>
      <c r="H214">
        <v>3</v>
      </c>
      <c r="I214">
        <v>1</v>
      </c>
      <c r="J214" t="b">
        <v>1</v>
      </c>
      <c r="K214">
        <v>679</v>
      </c>
      <c r="L214">
        <v>1</v>
      </c>
      <c r="M214" t="s">
        <v>74</v>
      </c>
      <c r="N214" t="s">
        <v>40</v>
      </c>
      <c r="O214" t="s">
        <v>67</v>
      </c>
      <c r="P214">
        <v>100</v>
      </c>
      <c r="Q214">
        <v>4.7</v>
      </c>
      <c r="R214" t="b">
        <v>0</v>
      </c>
      <c r="S214" t="s">
        <v>28</v>
      </c>
      <c r="T214">
        <v>2714</v>
      </c>
      <c r="U214" t="s">
        <v>65</v>
      </c>
      <c r="V214" t="s">
        <v>30</v>
      </c>
      <c r="W214" t="s">
        <v>37</v>
      </c>
    </row>
    <row r="215" spans="1:23" x14ac:dyDescent="0.3">
      <c r="A215">
        <v>6545</v>
      </c>
      <c r="B215" t="s">
        <v>104</v>
      </c>
      <c r="C215" s="1">
        <v>45456</v>
      </c>
      <c r="D215" s="1">
        <v>45634</v>
      </c>
      <c r="E215">
        <v>7.99</v>
      </c>
      <c r="F215">
        <v>61</v>
      </c>
      <c r="G215" t="s">
        <v>33</v>
      </c>
      <c r="H215">
        <v>1</v>
      </c>
      <c r="I215">
        <v>5</v>
      </c>
      <c r="J215" t="b">
        <v>1</v>
      </c>
      <c r="K215">
        <v>242</v>
      </c>
      <c r="L215">
        <v>200</v>
      </c>
      <c r="M215" t="s">
        <v>63</v>
      </c>
      <c r="N215" t="s">
        <v>64</v>
      </c>
      <c r="O215" t="s">
        <v>41</v>
      </c>
      <c r="P215">
        <v>53</v>
      </c>
      <c r="Q215">
        <v>4.8</v>
      </c>
      <c r="R215" t="b">
        <v>1</v>
      </c>
      <c r="S215" t="s">
        <v>28</v>
      </c>
      <c r="T215">
        <v>674</v>
      </c>
      <c r="U215" t="s">
        <v>57</v>
      </c>
      <c r="V215" t="s">
        <v>30</v>
      </c>
      <c r="W215" t="s">
        <v>31</v>
      </c>
    </row>
    <row r="216" spans="1:23" x14ac:dyDescent="0.3">
      <c r="A216">
        <v>3131</v>
      </c>
      <c r="B216" t="s">
        <v>108</v>
      </c>
      <c r="C216" s="1">
        <v>45088</v>
      </c>
      <c r="D216" s="1">
        <v>45617</v>
      </c>
      <c r="E216">
        <v>15.99</v>
      </c>
      <c r="F216">
        <v>399</v>
      </c>
      <c r="G216" t="s">
        <v>43</v>
      </c>
      <c r="H216">
        <v>3</v>
      </c>
      <c r="I216">
        <v>5</v>
      </c>
      <c r="J216" t="b">
        <v>0</v>
      </c>
      <c r="K216">
        <v>541</v>
      </c>
      <c r="L216">
        <v>158</v>
      </c>
      <c r="M216" t="s">
        <v>44</v>
      </c>
      <c r="N216" t="s">
        <v>40</v>
      </c>
      <c r="O216" t="s">
        <v>67</v>
      </c>
      <c r="P216">
        <v>4</v>
      </c>
      <c r="Q216">
        <v>4.9000000000000004</v>
      </c>
      <c r="R216" t="b">
        <v>1</v>
      </c>
      <c r="S216" t="s">
        <v>28</v>
      </c>
      <c r="T216">
        <v>948</v>
      </c>
      <c r="U216" t="s">
        <v>57</v>
      </c>
      <c r="V216" t="s">
        <v>68</v>
      </c>
      <c r="W216" t="s">
        <v>53</v>
      </c>
    </row>
    <row r="217" spans="1:23" x14ac:dyDescent="0.3">
      <c r="A217">
        <v>8589</v>
      </c>
      <c r="B217" t="s">
        <v>137</v>
      </c>
      <c r="C217" s="1">
        <v>44945</v>
      </c>
      <c r="D217" s="1">
        <v>45616</v>
      </c>
      <c r="E217">
        <v>11.99</v>
      </c>
      <c r="F217">
        <v>102</v>
      </c>
      <c r="G217" t="s">
        <v>79</v>
      </c>
      <c r="H217">
        <v>2</v>
      </c>
      <c r="I217">
        <v>1</v>
      </c>
      <c r="J217" t="b">
        <v>1</v>
      </c>
      <c r="K217">
        <v>108</v>
      </c>
      <c r="L217">
        <v>105</v>
      </c>
      <c r="M217" t="s">
        <v>74</v>
      </c>
      <c r="N217" t="s">
        <v>26</v>
      </c>
      <c r="O217" t="s">
        <v>56</v>
      </c>
      <c r="P217">
        <v>76</v>
      </c>
      <c r="Q217">
        <v>4.7</v>
      </c>
      <c r="R217" t="b">
        <v>0</v>
      </c>
      <c r="S217" t="s">
        <v>28</v>
      </c>
      <c r="T217">
        <v>933</v>
      </c>
      <c r="U217" t="s">
        <v>35</v>
      </c>
      <c r="V217" t="s">
        <v>30</v>
      </c>
      <c r="W217" t="s">
        <v>75</v>
      </c>
    </row>
    <row r="218" spans="1:23" x14ac:dyDescent="0.3">
      <c r="A218">
        <v>2908</v>
      </c>
      <c r="B218" t="s">
        <v>160</v>
      </c>
      <c r="C218" s="1">
        <v>45561</v>
      </c>
      <c r="D218" s="1">
        <v>45618</v>
      </c>
      <c r="E218">
        <v>11.99</v>
      </c>
      <c r="F218">
        <v>88</v>
      </c>
      <c r="G218" t="s">
        <v>43</v>
      </c>
      <c r="H218">
        <v>4</v>
      </c>
      <c r="I218">
        <v>2</v>
      </c>
      <c r="J218" t="b">
        <v>1</v>
      </c>
      <c r="K218">
        <v>343</v>
      </c>
      <c r="L218">
        <v>163</v>
      </c>
      <c r="M218" t="s">
        <v>74</v>
      </c>
      <c r="N218" t="s">
        <v>64</v>
      </c>
      <c r="O218" t="s">
        <v>34</v>
      </c>
      <c r="P218">
        <v>89</v>
      </c>
      <c r="Q218">
        <v>5</v>
      </c>
      <c r="R218" t="b">
        <v>1</v>
      </c>
      <c r="S218" t="s">
        <v>28</v>
      </c>
      <c r="T218">
        <v>2914</v>
      </c>
      <c r="U218" t="s">
        <v>51</v>
      </c>
      <c r="V218" t="s">
        <v>68</v>
      </c>
      <c r="W218" t="s">
        <v>37</v>
      </c>
    </row>
    <row r="219" spans="1:23" x14ac:dyDescent="0.3">
      <c r="A219">
        <v>5209</v>
      </c>
      <c r="B219" t="s">
        <v>153</v>
      </c>
      <c r="C219" s="1">
        <v>45056</v>
      </c>
      <c r="D219" s="1">
        <v>45615</v>
      </c>
      <c r="E219">
        <v>11.99</v>
      </c>
      <c r="F219">
        <v>92</v>
      </c>
      <c r="G219" t="s">
        <v>79</v>
      </c>
      <c r="H219">
        <v>5</v>
      </c>
      <c r="I219">
        <v>3</v>
      </c>
      <c r="J219" t="b">
        <v>1</v>
      </c>
      <c r="K219">
        <v>477</v>
      </c>
      <c r="L219">
        <v>38</v>
      </c>
      <c r="M219" t="s">
        <v>74</v>
      </c>
      <c r="N219" t="s">
        <v>49</v>
      </c>
      <c r="O219" t="s">
        <v>56</v>
      </c>
      <c r="P219">
        <v>71</v>
      </c>
      <c r="Q219">
        <v>3.9</v>
      </c>
      <c r="R219" t="b">
        <v>1</v>
      </c>
      <c r="S219" t="s">
        <v>28</v>
      </c>
      <c r="T219">
        <v>3928</v>
      </c>
      <c r="U219" t="s">
        <v>29</v>
      </c>
      <c r="V219" t="s">
        <v>60</v>
      </c>
      <c r="W219" t="s">
        <v>37</v>
      </c>
    </row>
    <row r="220" spans="1:23" x14ac:dyDescent="0.3">
      <c r="A220">
        <v>2319</v>
      </c>
      <c r="B220" t="s">
        <v>106</v>
      </c>
      <c r="C220" s="1">
        <v>45078</v>
      </c>
      <c r="D220" s="1">
        <v>45616</v>
      </c>
      <c r="E220">
        <v>15.99</v>
      </c>
      <c r="F220">
        <v>295</v>
      </c>
      <c r="G220" t="s">
        <v>33</v>
      </c>
      <c r="H220">
        <v>5</v>
      </c>
      <c r="I220">
        <v>4</v>
      </c>
      <c r="J220" t="b">
        <v>0</v>
      </c>
      <c r="K220">
        <v>767</v>
      </c>
      <c r="L220">
        <v>190</v>
      </c>
      <c r="M220" t="s">
        <v>74</v>
      </c>
      <c r="N220" t="s">
        <v>49</v>
      </c>
      <c r="O220" t="s">
        <v>50</v>
      </c>
      <c r="P220">
        <v>7</v>
      </c>
      <c r="Q220">
        <v>4.0999999999999996</v>
      </c>
      <c r="R220" t="b">
        <v>0</v>
      </c>
      <c r="S220" t="s">
        <v>28</v>
      </c>
      <c r="T220">
        <v>2559</v>
      </c>
      <c r="U220" t="s">
        <v>29</v>
      </c>
      <c r="V220" t="s">
        <v>30</v>
      </c>
      <c r="W220" t="s">
        <v>37</v>
      </c>
    </row>
    <row r="221" spans="1:23" x14ac:dyDescent="0.3">
      <c r="A221">
        <v>9026</v>
      </c>
      <c r="B221" t="s">
        <v>132</v>
      </c>
      <c r="C221" s="1">
        <v>45415</v>
      </c>
      <c r="D221" s="1">
        <v>45618</v>
      </c>
      <c r="E221">
        <v>11.99</v>
      </c>
      <c r="F221">
        <v>139</v>
      </c>
      <c r="G221" t="s">
        <v>62</v>
      </c>
      <c r="H221">
        <v>1</v>
      </c>
      <c r="I221">
        <v>5</v>
      </c>
      <c r="J221" t="b">
        <v>1</v>
      </c>
      <c r="K221">
        <v>12</v>
      </c>
      <c r="L221">
        <v>9</v>
      </c>
      <c r="M221" t="s">
        <v>44</v>
      </c>
      <c r="N221" t="s">
        <v>49</v>
      </c>
      <c r="O221" t="s">
        <v>50</v>
      </c>
      <c r="P221">
        <v>21</v>
      </c>
      <c r="Q221">
        <v>4.8</v>
      </c>
      <c r="R221" t="b">
        <v>1</v>
      </c>
      <c r="S221" t="s">
        <v>28</v>
      </c>
      <c r="T221">
        <v>2571</v>
      </c>
      <c r="U221" t="s">
        <v>65</v>
      </c>
      <c r="V221" t="s">
        <v>30</v>
      </c>
      <c r="W221" t="s">
        <v>37</v>
      </c>
    </row>
    <row r="222" spans="1:23" x14ac:dyDescent="0.3">
      <c r="A222">
        <v>2723</v>
      </c>
      <c r="B222" t="s">
        <v>210</v>
      </c>
      <c r="C222" s="1">
        <v>45170</v>
      </c>
      <c r="D222" s="1">
        <v>45620</v>
      </c>
      <c r="E222">
        <v>15.99</v>
      </c>
      <c r="F222">
        <v>416</v>
      </c>
      <c r="G222" t="s">
        <v>24</v>
      </c>
      <c r="H222">
        <v>1</v>
      </c>
      <c r="I222">
        <v>2</v>
      </c>
      <c r="J222" t="b">
        <v>1</v>
      </c>
      <c r="K222">
        <v>920</v>
      </c>
      <c r="L222">
        <v>79</v>
      </c>
      <c r="M222" t="s">
        <v>48</v>
      </c>
      <c r="N222" t="s">
        <v>40</v>
      </c>
      <c r="O222" t="s">
        <v>67</v>
      </c>
      <c r="P222">
        <v>20</v>
      </c>
      <c r="Q222">
        <v>4.4000000000000004</v>
      </c>
      <c r="R222" t="b">
        <v>0</v>
      </c>
      <c r="S222" t="s">
        <v>28</v>
      </c>
      <c r="T222">
        <v>3834</v>
      </c>
      <c r="U222" t="s">
        <v>29</v>
      </c>
      <c r="V222" t="s">
        <v>68</v>
      </c>
      <c r="W222" t="s">
        <v>37</v>
      </c>
    </row>
    <row r="223" spans="1:23" x14ac:dyDescent="0.3">
      <c r="A223">
        <v>5487</v>
      </c>
      <c r="B223" t="s">
        <v>105</v>
      </c>
      <c r="C223" s="1">
        <v>45376</v>
      </c>
      <c r="D223" s="1">
        <v>45642</v>
      </c>
      <c r="E223">
        <v>7.99</v>
      </c>
      <c r="F223">
        <v>173</v>
      </c>
      <c r="G223" t="s">
        <v>62</v>
      </c>
      <c r="H223">
        <v>2</v>
      </c>
      <c r="I223">
        <v>2</v>
      </c>
      <c r="J223" t="b">
        <v>0</v>
      </c>
      <c r="K223">
        <v>819</v>
      </c>
      <c r="L223">
        <v>174</v>
      </c>
      <c r="M223" t="s">
        <v>25</v>
      </c>
      <c r="N223" t="s">
        <v>26</v>
      </c>
      <c r="O223" t="s">
        <v>27</v>
      </c>
      <c r="P223">
        <v>34</v>
      </c>
      <c r="Q223">
        <v>4.0999999999999996</v>
      </c>
      <c r="R223" t="b">
        <v>0</v>
      </c>
      <c r="S223" t="s">
        <v>28</v>
      </c>
      <c r="T223">
        <v>4714</v>
      </c>
      <c r="U223" t="s">
        <v>57</v>
      </c>
      <c r="V223" t="s">
        <v>36</v>
      </c>
      <c r="W223" t="s">
        <v>37</v>
      </c>
    </row>
    <row r="224" spans="1:23" x14ac:dyDescent="0.3">
      <c r="A224">
        <v>4656</v>
      </c>
      <c r="B224" t="s">
        <v>137</v>
      </c>
      <c r="C224" s="1">
        <v>45068</v>
      </c>
      <c r="D224" s="1">
        <v>45625</v>
      </c>
      <c r="E224">
        <v>7.99</v>
      </c>
      <c r="F224">
        <v>75</v>
      </c>
      <c r="G224" t="s">
        <v>24</v>
      </c>
      <c r="H224">
        <v>3</v>
      </c>
      <c r="I224">
        <v>5</v>
      </c>
      <c r="J224" t="b">
        <v>0</v>
      </c>
      <c r="K224">
        <v>607</v>
      </c>
      <c r="L224">
        <v>94</v>
      </c>
      <c r="M224" t="s">
        <v>39</v>
      </c>
      <c r="N224" t="s">
        <v>64</v>
      </c>
      <c r="O224" t="s">
        <v>34</v>
      </c>
      <c r="P224">
        <v>57</v>
      </c>
      <c r="Q224">
        <v>3.8</v>
      </c>
      <c r="R224" t="b">
        <v>1</v>
      </c>
      <c r="S224" t="s">
        <v>28</v>
      </c>
      <c r="T224">
        <v>4800</v>
      </c>
      <c r="U224" t="s">
        <v>51</v>
      </c>
      <c r="V224" t="s">
        <v>36</v>
      </c>
      <c r="W224" t="s">
        <v>75</v>
      </c>
    </row>
    <row r="225" spans="1:23" x14ac:dyDescent="0.3">
      <c r="A225">
        <v>5718</v>
      </c>
      <c r="B225" t="s">
        <v>211</v>
      </c>
      <c r="C225" s="1">
        <v>45457</v>
      </c>
      <c r="D225" s="1">
        <v>45624</v>
      </c>
      <c r="E225">
        <v>15.99</v>
      </c>
      <c r="F225">
        <v>173</v>
      </c>
      <c r="G225" t="s">
        <v>43</v>
      </c>
      <c r="H225">
        <v>1</v>
      </c>
      <c r="I225">
        <v>6</v>
      </c>
      <c r="J225" t="b">
        <v>1</v>
      </c>
      <c r="K225">
        <v>346</v>
      </c>
      <c r="L225">
        <v>76</v>
      </c>
      <c r="M225" t="s">
        <v>39</v>
      </c>
      <c r="N225" t="s">
        <v>26</v>
      </c>
      <c r="O225" t="s">
        <v>50</v>
      </c>
      <c r="P225">
        <v>28</v>
      </c>
      <c r="Q225">
        <v>3.3</v>
      </c>
      <c r="R225" t="b">
        <v>0</v>
      </c>
      <c r="S225" t="s">
        <v>28</v>
      </c>
      <c r="T225">
        <v>1610</v>
      </c>
      <c r="U225" t="s">
        <v>29</v>
      </c>
      <c r="V225" t="s">
        <v>60</v>
      </c>
      <c r="W225" t="s">
        <v>75</v>
      </c>
    </row>
    <row r="226" spans="1:23" x14ac:dyDescent="0.3">
      <c r="A226">
        <v>1215</v>
      </c>
      <c r="B226" t="s">
        <v>212</v>
      </c>
      <c r="C226" s="1">
        <v>45155</v>
      </c>
      <c r="D226" s="1">
        <v>45623</v>
      </c>
      <c r="E226">
        <v>7.99</v>
      </c>
      <c r="F226">
        <v>421</v>
      </c>
      <c r="G226" t="s">
        <v>46</v>
      </c>
      <c r="H226">
        <v>3</v>
      </c>
      <c r="I226">
        <v>1</v>
      </c>
      <c r="J226" t="b">
        <v>1</v>
      </c>
      <c r="K226">
        <v>668</v>
      </c>
      <c r="L226">
        <v>17</v>
      </c>
      <c r="M226" t="s">
        <v>39</v>
      </c>
      <c r="N226" t="s">
        <v>49</v>
      </c>
      <c r="O226" t="s">
        <v>50</v>
      </c>
      <c r="P226">
        <v>7</v>
      </c>
      <c r="Q226">
        <v>4</v>
      </c>
      <c r="R226" t="b">
        <v>1</v>
      </c>
      <c r="S226" t="s">
        <v>28</v>
      </c>
      <c r="T226">
        <v>2780</v>
      </c>
      <c r="U226" t="s">
        <v>65</v>
      </c>
      <c r="V226" t="s">
        <v>36</v>
      </c>
      <c r="W226" t="s">
        <v>37</v>
      </c>
    </row>
    <row r="227" spans="1:23" x14ac:dyDescent="0.3">
      <c r="A227">
        <v>3427</v>
      </c>
      <c r="B227" t="s">
        <v>213</v>
      </c>
      <c r="C227" s="1">
        <v>45270</v>
      </c>
      <c r="D227" s="1">
        <v>45633</v>
      </c>
      <c r="E227">
        <v>15.99</v>
      </c>
      <c r="F227">
        <v>29</v>
      </c>
      <c r="G227" t="s">
        <v>43</v>
      </c>
      <c r="H227">
        <v>5</v>
      </c>
      <c r="I227">
        <v>2</v>
      </c>
      <c r="J227" t="b">
        <v>1</v>
      </c>
      <c r="K227">
        <v>317</v>
      </c>
      <c r="L227">
        <v>116</v>
      </c>
      <c r="M227" t="s">
        <v>25</v>
      </c>
      <c r="N227" t="s">
        <v>49</v>
      </c>
      <c r="O227" t="s">
        <v>34</v>
      </c>
      <c r="P227">
        <v>78</v>
      </c>
      <c r="Q227">
        <v>3.8</v>
      </c>
      <c r="R227" t="b">
        <v>1</v>
      </c>
      <c r="S227" t="s">
        <v>28</v>
      </c>
      <c r="T227">
        <v>639</v>
      </c>
      <c r="U227" t="s">
        <v>65</v>
      </c>
      <c r="V227" t="s">
        <v>36</v>
      </c>
      <c r="W227" t="s">
        <v>53</v>
      </c>
    </row>
    <row r="228" spans="1:23" x14ac:dyDescent="0.3">
      <c r="A228">
        <v>2428</v>
      </c>
      <c r="B228" t="s">
        <v>214</v>
      </c>
      <c r="C228" s="1">
        <v>45349</v>
      </c>
      <c r="D228" s="1">
        <v>45617</v>
      </c>
      <c r="E228">
        <v>7.99</v>
      </c>
      <c r="F228">
        <v>180</v>
      </c>
      <c r="G228" t="s">
        <v>62</v>
      </c>
      <c r="H228">
        <v>2</v>
      </c>
      <c r="I228">
        <v>4</v>
      </c>
      <c r="J228" t="b">
        <v>1</v>
      </c>
      <c r="K228">
        <v>297</v>
      </c>
      <c r="L228">
        <v>19</v>
      </c>
      <c r="M228" t="s">
        <v>74</v>
      </c>
      <c r="N228" t="s">
        <v>49</v>
      </c>
      <c r="O228" t="s">
        <v>27</v>
      </c>
      <c r="P228">
        <v>84</v>
      </c>
      <c r="Q228">
        <v>4.9000000000000004</v>
      </c>
      <c r="R228" t="b">
        <v>0</v>
      </c>
      <c r="S228" t="s">
        <v>28</v>
      </c>
      <c r="T228">
        <v>1960</v>
      </c>
      <c r="U228" t="s">
        <v>29</v>
      </c>
      <c r="V228" t="s">
        <v>52</v>
      </c>
      <c r="W228" t="s">
        <v>75</v>
      </c>
    </row>
    <row r="229" spans="1:23" x14ac:dyDescent="0.3">
      <c r="A229">
        <v>1947</v>
      </c>
      <c r="B229" t="s">
        <v>215</v>
      </c>
      <c r="C229" s="1">
        <v>45536</v>
      </c>
      <c r="D229" s="1">
        <v>45620</v>
      </c>
      <c r="E229">
        <v>11.99</v>
      </c>
      <c r="F229">
        <v>469</v>
      </c>
      <c r="G229" t="s">
        <v>24</v>
      </c>
      <c r="H229">
        <v>4</v>
      </c>
      <c r="I229">
        <v>6</v>
      </c>
      <c r="J229" t="b">
        <v>1</v>
      </c>
      <c r="K229">
        <v>866</v>
      </c>
      <c r="L229">
        <v>120</v>
      </c>
      <c r="M229" t="s">
        <v>39</v>
      </c>
      <c r="N229" t="s">
        <v>49</v>
      </c>
      <c r="O229" t="s">
        <v>56</v>
      </c>
      <c r="P229">
        <v>92</v>
      </c>
      <c r="Q229">
        <v>3.6</v>
      </c>
      <c r="R229" t="b">
        <v>1</v>
      </c>
      <c r="S229" t="s">
        <v>28</v>
      </c>
      <c r="T229">
        <v>1764</v>
      </c>
      <c r="U229" t="s">
        <v>51</v>
      </c>
      <c r="V229" t="s">
        <v>52</v>
      </c>
      <c r="W229" t="s">
        <v>31</v>
      </c>
    </row>
    <row r="230" spans="1:23" x14ac:dyDescent="0.3">
      <c r="A230">
        <v>5036</v>
      </c>
      <c r="B230" t="s">
        <v>187</v>
      </c>
      <c r="C230" s="1">
        <v>45520</v>
      </c>
      <c r="D230" s="1">
        <v>45625</v>
      </c>
      <c r="E230">
        <v>15.99</v>
      </c>
      <c r="F230">
        <v>381</v>
      </c>
      <c r="G230" t="s">
        <v>55</v>
      </c>
      <c r="H230">
        <v>5</v>
      </c>
      <c r="I230">
        <v>1</v>
      </c>
      <c r="J230" t="b">
        <v>1</v>
      </c>
      <c r="K230">
        <v>286</v>
      </c>
      <c r="L230">
        <v>121</v>
      </c>
      <c r="M230" t="s">
        <v>39</v>
      </c>
      <c r="N230" t="s">
        <v>64</v>
      </c>
      <c r="O230" t="s">
        <v>67</v>
      </c>
      <c r="P230">
        <v>57</v>
      </c>
      <c r="Q230">
        <v>4.0999999999999996</v>
      </c>
      <c r="R230" t="b">
        <v>1</v>
      </c>
      <c r="S230" t="s">
        <v>28</v>
      </c>
      <c r="T230">
        <v>967</v>
      </c>
      <c r="U230" t="s">
        <v>29</v>
      </c>
      <c r="V230" t="s">
        <v>52</v>
      </c>
      <c r="W230" t="s">
        <v>75</v>
      </c>
    </row>
    <row r="231" spans="1:23" x14ac:dyDescent="0.3">
      <c r="A231">
        <v>5857</v>
      </c>
      <c r="B231" t="s">
        <v>72</v>
      </c>
      <c r="C231" s="1">
        <v>45631</v>
      </c>
      <c r="D231" s="1">
        <v>45641</v>
      </c>
      <c r="E231">
        <v>15.99</v>
      </c>
      <c r="F231">
        <v>263</v>
      </c>
      <c r="G231" t="s">
        <v>55</v>
      </c>
      <c r="H231">
        <v>5</v>
      </c>
      <c r="I231">
        <v>5</v>
      </c>
      <c r="J231" t="b">
        <v>0</v>
      </c>
      <c r="K231">
        <v>95</v>
      </c>
      <c r="L231">
        <v>149</v>
      </c>
      <c r="M231" t="s">
        <v>63</v>
      </c>
      <c r="N231" t="s">
        <v>49</v>
      </c>
      <c r="O231" t="s">
        <v>67</v>
      </c>
      <c r="P231">
        <v>17</v>
      </c>
      <c r="Q231">
        <v>4</v>
      </c>
      <c r="R231" t="b">
        <v>1</v>
      </c>
      <c r="S231" t="s">
        <v>28</v>
      </c>
      <c r="T231">
        <v>2086</v>
      </c>
      <c r="U231" t="s">
        <v>51</v>
      </c>
      <c r="V231" t="s">
        <v>68</v>
      </c>
      <c r="W231" t="s">
        <v>75</v>
      </c>
    </row>
    <row r="232" spans="1:23" x14ac:dyDescent="0.3">
      <c r="A232">
        <v>8770</v>
      </c>
      <c r="B232" t="s">
        <v>82</v>
      </c>
      <c r="C232" s="1">
        <v>45150</v>
      </c>
      <c r="D232" s="1">
        <v>45617</v>
      </c>
      <c r="E232">
        <v>7.99</v>
      </c>
      <c r="F232">
        <v>48</v>
      </c>
      <c r="G232" t="s">
        <v>33</v>
      </c>
      <c r="H232">
        <v>4</v>
      </c>
      <c r="I232">
        <v>2</v>
      </c>
      <c r="J232" t="b">
        <v>0</v>
      </c>
      <c r="K232">
        <v>938</v>
      </c>
      <c r="L232">
        <v>92</v>
      </c>
      <c r="M232" t="s">
        <v>39</v>
      </c>
      <c r="N232" t="s">
        <v>64</v>
      </c>
      <c r="O232" t="s">
        <v>67</v>
      </c>
      <c r="P232">
        <v>99</v>
      </c>
      <c r="Q232">
        <v>4.2</v>
      </c>
      <c r="R232" t="b">
        <v>1</v>
      </c>
      <c r="S232" t="s">
        <v>28</v>
      </c>
      <c r="T232">
        <v>3288</v>
      </c>
      <c r="U232" t="s">
        <v>51</v>
      </c>
      <c r="V232" t="s">
        <v>68</v>
      </c>
      <c r="W232" t="s">
        <v>31</v>
      </c>
    </row>
    <row r="233" spans="1:23" x14ac:dyDescent="0.3">
      <c r="A233">
        <v>4118</v>
      </c>
      <c r="B233" t="s">
        <v>216</v>
      </c>
      <c r="C233" s="1">
        <v>45062</v>
      </c>
      <c r="D233" s="1">
        <v>45615</v>
      </c>
      <c r="E233">
        <v>11.99</v>
      </c>
      <c r="F233">
        <v>447</v>
      </c>
      <c r="G233" t="s">
        <v>46</v>
      </c>
      <c r="H233">
        <v>3</v>
      </c>
      <c r="I233">
        <v>4</v>
      </c>
      <c r="J233" t="b">
        <v>0</v>
      </c>
      <c r="K233">
        <v>264</v>
      </c>
      <c r="L233">
        <v>55</v>
      </c>
      <c r="M233" t="s">
        <v>59</v>
      </c>
      <c r="N233" t="s">
        <v>26</v>
      </c>
      <c r="O233" t="s">
        <v>41</v>
      </c>
      <c r="P233">
        <v>58</v>
      </c>
      <c r="Q233">
        <v>3.6</v>
      </c>
      <c r="R233" t="b">
        <v>0</v>
      </c>
      <c r="S233" t="s">
        <v>28</v>
      </c>
      <c r="T233">
        <v>1486</v>
      </c>
      <c r="U233" t="s">
        <v>29</v>
      </c>
      <c r="V233" t="s">
        <v>68</v>
      </c>
      <c r="W233" t="s">
        <v>75</v>
      </c>
    </row>
    <row r="234" spans="1:23" x14ac:dyDescent="0.3">
      <c r="A234">
        <v>7162</v>
      </c>
      <c r="B234" t="s">
        <v>217</v>
      </c>
      <c r="C234" s="1">
        <v>45525</v>
      </c>
      <c r="D234" s="1">
        <v>45640</v>
      </c>
      <c r="E234">
        <v>15.99</v>
      </c>
      <c r="F234">
        <v>415</v>
      </c>
      <c r="G234" t="s">
        <v>43</v>
      </c>
      <c r="H234">
        <v>1</v>
      </c>
      <c r="I234">
        <v>3</v>
      </c>
      <c r="J234" t="b">
        <v>1</v>
      </c>
      <c r="K234">
        <v>44</v>
      </c>
      <c r="L234">
        <v>10</v>
      </c>
      <c r="M234" t="s">
        <v>74</v>
      </c>
      <c r="N234" t="s">
        <v>40</v>
      </c>
      <c r="O234" t="s">
        <v>67</v>
      </c>
      <c r="P234">
        <v>91</v>
      </c>
      <c r="Q234">
        <v>3.3</v>
      </c>
      <c r="R234" t="b">
        <v>0</v>
      </c>
      <c r="S234" t="s">
        <v>28</v>
      </c>
      <c r="T234">
        <v>223</v>
      </c>
      <c r="U234" t="s">
        <v>51</v>
      </c>
      <c r="V234" t="s">
        <v>68</v>
      </c>
      <c r="W234" t="s">
        <v>75</v>
      </c>
    </row>
    <row r="235" spans="1:23" x14ac:dyDescent="0.3">
      <c r="A235">
        <v>9278</v>
      </c>
      <c r="B235" t="s">
        <v>195</v>
      </c>
      <c r="C235" s="1">
        <v>45554</v>
      </c>
      <c r="D235" s="1">
        <v>45640</v>
      </c>
      <c r="E235">
        <v>7.99</v>
      </c>
      <c r="F235">
        <v>429</v>
      </c>
      <c r="G235" t="s">
        <v>33</v>
      </c>
      <c r="H235">
        <v>5</v>
      </c>
      <c r="I235">
        <v>4</v>
      </c>
      <c r="J235" t="b">
        <v>0</v>
      </c>
      <c r="K235">
        <v>944</v>
      </c>
      <c r="L235">
        <v>165</v>
      </c>
      <c r="M235" t="s">
        <v>74</v>
      </c>
      <c r="N235" t="s">
        <v>26</v>
      </c>
      <c r="O235" t="s">
        <v>67</v>
      </c>
      <c r="P235">
        <v>12</v>
      </c>
      <c r="Q235">
        <v>4.7</v>
      </c>
      <c r="R235" t="b">
        <v>1</v>
      </c>
      <c r="S235" t="s">
        <v>28</v>
      </c>
      <c r="T235">
        <v>2394</v>
      </c>
      <c r="U235" t="s">
        <v>65</v>
      </c>
      <c r="V235" t="s">
        <v>60</v>
      </c>
      <c r="W235" t="s">
        <v>53</v>
      </c>
    </row>
    <row r="236" spans="1:23" x14ac:dyDescent="0.3">
      <c r="A236">
        <v>5406</v>
      </c>
      <c r="B236" t="s">
        <v>218</v>
      </c>
      <c r="C236" s="1">
        <v>45577</v>
      </c>
      <c r="D236" s="1">
        <v>45633</v>
      </c>
      <c r="E236">
        <v>7.99</v>
      </c>
      <c r="F236">
        <v>26</v>
      </c>
      <c r="G236" t="s">
        <v>33</v>
      </c>
      <c r="H236">
        <v>5</v>
      </c>
      <c r="I236">
        <v>5</v>
      </c>
      <c r="J236" t="b">
        <v>0</v>
      </c>
      <c r="K236">
        <v>542</v>
      </c>
      <c r="L236">
        <v>152</v>
      </c>
      <c r="M236" t="s">
        <v>39</v>
      </c>
      <c r="N236" t="s">
        <v>49</v>
      </c>
      <c r="O236" t="s">
        <v>41</v>
      </c>
      <c r="P236">
        <v>6</v>
      </c>
      <c r="Q236">
        <v>3.1</v>
      </c>
      <c r="R236" t="b">
        <v>0</v>
      </c>
      <c r="S236" t="s">
        <v>28</v>
      </c>
      <c r="T236">
        <v>4329</v>
      </c>
      <c r="U236" t="s">
        <v>29</v>
      </c>
      <c r="V236" t="s">
        <v>52</v>
      </c>
      <c r="W236" t="s">
        <v>53</v>
      </c>
    </row>
    <row r="237" spans="1:23" x14ac:dyDescent="0.3">
      <c r="A237">
        <v>4641</v>
      </c>
      <c r="B237" t="s">
        <v>197</v>
      </c>
      <c r="C237" s="1">
        <v>45547</v>
      </c>
      <c r="D237" s="1">
        <v>45634</v>
      </c>
      <c r="E237">
        <v>15.99</v>
      </c>
      <c r="F237">
        <v>101</v>
      </c>
      <c r="G237" t="s">
        <v>79</v>
      </c>
      <c r="H237">
        <v>4</v>
      </c>
      <c r="I237">
        <v>6</v>
      </c>
      <c r="J237" t="b">
        <v>1</v>
      </c>
      <c r="K237">
        <v>350</v>
      </c>
      <c r="L237">
        <v>17</v>
      </c>
      <c r="M237" t="s">
        <v>59</v>
      </c>
      <c r="N237" t="s">
        <v>26</v>
      </c>
      <c r="O237" t="s">
        <v>41</v>
      </c>
      <c r="P237">
        <v>11</v>
      </c>
      <c r="Q237">
        <v>3.4</v>
      </c>
      <c r="R237" t="b">
        <v>1</v>
      </c>
      <c r="S237" t="s">
        <v>28</v>
      </c>
      <c r="T237">
        <v>2193</v>
      </c>
      <c r="U237" t="s">
        <v>65</v>
      </c>
      <c r="V237" t="s">
        <v>30</v>
      </c>
      <c r="W237" t="s">
        <v>75</v>
      </c>
    </row>
    <row r="238" spans="1:23" x14ac:dyDescent="0.3">
      <c r="A238">
        <v>3969</v>
      </c>
      <c r="B238" t="s">
        <v>205</v>
      </c>
      <c r="C238" s="1">
        <v>45069</v>
      </c>
      <c r="D238" s="1">
        <v>45638</v>
      </c>
      <c r="E238">
        <v>15.99</v>
      </c>
      <c r="F238">
        <v>461</v>
      </c>
      <c r="G238" t="s">
        <v>43</v>
      </c>
      <c r="H238">
        <v>2</v>
      </c>
      <c r="I238">
        <v>6</v>
      </c>
      <c r="J238" t="b">
        <v>1</v>
      </c>
      <c r="K238">
        <v>31</v>
      </c>
      <c r="L238">
        <v>173</v>
      </c>
      <c r="M238" t="s">
        <v>39</v>
      </c>
      <c r="N238" t="s">
        <v>26</v>
      </c>
      <c r="O238" t="s">
        <v>50</v>
      </c>
      <c r="P238">
        <v>84</v>
      </c>
      <c r="Q238">
        <v>3.5</v>
      </c>
      <c r="R238" t="b">
        <v>1</v>
      </c>
      <c r="S238" t="s">
        <v>28</v>
      </c>
      <c r="T238">
        <v>3730</v>
      </c>
      <c r="U238" t="s">
        <v>65</v>
      </c>
      <c r="V238" t="s">
        <v>36</v>
      </c>
      <c r="W238" t="s">
        <v>53</v>
      </c>
    </row>
    <row r="239" spans="1:23" x14ac:dyDescent="0.3">
      <c r="A239">
        <v>3078</v>
      </c>
      <c r="B239" t="s">
        <v>219</v>
      </c>
      <c r="C239" s="1">
        <v>45101</v>
      </c>
      <c r="D239" s="1">
        <v>45640</v>
      </c>
      <c r="E239">
        <v>7.99</v>
      </c>
      <c r="F239">
        <v>246</v>
      </c>
      <c r="G239" t="s">
        <v>24</v>
      </c>
      <c r="H239">
        <v>3</v>
      </c>
      <c r="I239">
        <v>3</v>
      </c>
      <c r="J239" t="b">
        <v>0</v>
      </c>
      <c r="K239">
        <v>358</v>
      </c>
      <c r="L239">
        <v>158</v>
      </c>
      <c r="M239" t="s">
        <v>63</v>
      </c>
      <c r="N239" t="s">
        <v>49</v>
      </c>
      <c r="O239" t="s">
        <v>27</v>
      </c>
      <c r="P239">
        <v>18</v>
      </c>
      <c r="Q239">
        <v>3.8</v>
      </c>
      <c r="R239" t="b">
        <v>0</v>
      </c>
      <c r="S239" t="s">
        <v>28</v>
      </c>
      <c r="T239">
        <v>2234</v>
      </c>
      <c r="U239" t="s">
        <v>51</v>
      </c>
      <c r="V239" t="s">
        <v>52</v>
      </c>
      <c r="W239" t="s">
        <v>75</v>
      </c>
    </row>
    <row r="240" spans="1:23" x14ac:dyDescent="0.3">
      <c r="A240">
        <v>2808</v>
      </c>
      <c r="B240" t="s">
        <v>120</v>
      </c>
      <c r="C240" s="1">
        <v>45242</v>
      </c>
      <c r="D240" s="1">
        <v>45640</v>
      </c>
      <c r="E240">
        <v>15.99</v>
      </c>
      <c r="F240">
        <v>91</v>
      </c>
      <c r="G240" t="s">
        <v>55</v>
      </c>
      <c r="H240">
        <v>3</v>
      </c>
      <c r="I240">
        <v>6</v>
      </c>
      <c r="J240" t="b">
        <v>0</v>
      </c>
      <c r="K240">
        <v>961</v>
      </c>
      <c r="L240">
        <v>170</v>
      </c>
      <c r="M240" t="s">
        <v>25</v>
      </c>
      <c r="N240" t="s">
        <v>26</v>
      </c>
      <c r="O240" t="s">
        <v>41</v>
      </c>
      <c r="P240">
        <v>87</v>
      </c>
      <c r="Q240">
        <v>4.2</v>
      </c>
      <c r="R240" t="b">
        <v>0</v>
      </c>
      <c r="S240" t="s">
        <v>28</v>
      </c>
      <c r="T240">
        <v>718</v>
      </c>
      <c r="U240" t="s">
        <v>51</v>
      </c>
      <c r="V240" t="s">
        <v>36</v>
      </c>
      <c r="W240" t="s">
        <v>75</v>
      </c>
    </row>
    <row r="241" spans="1:23" x14ac:dyDescent="0.3">
      <c r="A241">
        <v>7484</v>
      </c>
      <c r="B241" t="s">
        <v>211</v>
      </c>
      <c r="C241" s="1">
        <v>45634</v>
      </c>
      <c r="D241" s="1">
        <v>45617</v>
      </c>
      <c r="E241">
        <v>11.99</v>
      </c>
      <c r="F241">
        <v>152</v>
      </c>
      <c r="G241" t="s">
        <v>79</v>
      </c>
      <c r="H241">
        <v>5</v>
      </c>
      <c r="I241">
        <v>1</v>
      </c>
      <c r="J241" t="b">
        <v>0</v>
      </c>
      <c r="K241">
        <v>623</v>
      </c>
      <c r="L241">
        <v>180</v>
      </c>
      <c r="M241" t="s">
        <v>39</v>
      </c>
      <c r="N241" t="s">
        <v>64</v>
      </c>
      <c r="O241" t="s">
        <v>67</v>
      </c>
      <c r="P241">
        <v>89</v>
      </c>
      <c r="Q241">
        <v>4.5</v>
      </c>
      <c r="R241" t="b">
        <v>1</v>
      </c>
      <c r="S241" t="s">
        <v>28</v>
      </c>
      <c r="T241">
        <v>1594</v>
      </c>
      <c r="U241" t="s">
        <v>29</v>
      </c>
      <c r="V241" t="s">
        <v>36</v>
      </c>
      <c r="W241" t="s">
        <v>31</v>
      </c>
    </row>
    <row r="242" spans="1:23" x14ac:dyDescent="0.3">
      <c r="A242">
        <v>2396</v>
      </c>
      <c r="B242" t="s">
        <v>176</v>
      </c>
      <c r="C242" s="1">
        <v>45262</v>
      </c>
      <c r="D242" s="1">
        <v>45621</v>
      </c>
      <c r="E242">
        <v>11.99</v>
      </c>
      <c r="F242">
        <v>283</v>
      </c>
      <c r="G242" t="s">
        <v>24</v>
      </c>
      <c r="H242">
        <v>3</v>
      </c>
      <c r="I242">
        <v>5</v>
      </c>
      <c r="J242" t="b">
        <v>0</v>
      </c>
      <c r="K242">
        <v>466</v>
      </c>
      <c r="L242">
        <v>139</v>
      </c>
      <c r="M242" t="s">
        <v>44</v>
      </c>
      <c r="N242" t="s">
        <v>26</v>
      </c>
      <c r="O242" t="s">
        <v>27</v>
      </c>
      <c r="P242">
        <v>62</v>
      </c>
      <c r="Q242">
        <v>4</v>
      </c>
      <c r="R242" t="b">
        <v>1</v>
      </c>
      <c r="S242" t="s">
        <v>28</v>
      </c>
      <c r="T242">
        <v>681</v>
      </c>
      <c r="U242" t="s">
        <v>57</v>
      </c>
      <c r="V242" t="s">
        <v>30</v>
      </c>
      <c r="W242" t="s">
        <v>37</v>
      </c>
    </row>
    <row r="243" spans="1:23" x14ac:dyDescent="0.3">
      <c r="A243">
        <v>2472</v>
      </c>
      <c r="B243" t="s">
        <v>203</v>
      </c>
      <c r="C243" s="1">
        <v>45248</v>
      </c>
      <c r="D243" s="1">
        <v>45621</v>
      </c>
      <c r="E243">
        <v>7.99</v>
      </c>
      <c r="F243">
        <v>61</v>
      </c>
      <c r="G243" t="s">
        <v>62</v>
      </c>
      <c r="H243">
        <v>3</v>
      </c>
      <c r="I243">
        <v>4</v>
      </c>
      <c r="J243" t="b">
        <v>0</v>
      </c>
      <c r="K243">
        <v>860</v>
      </c>
      <c r="L243">
        <v>145</v>
      </c>
      <c r="M243" t="s">
        <v>48</v>
      </c>
      <c r="N243" t="s">
        <v>40</v>
      </c>
      <c r="O243" t="s">
        <v>50</v>
      </c>
      <c r="P243">
        <v>82</v>
      </c>
      <c r="Q243">
        <v>4.7</v>
      </c>
      <c r="R243" t="b">
        <v>1</v>
      </c>
      <c r="S243" t="s">
        <v>28</v>
      </c>
      <c r="T243">
        <v>428</v>
      </c>
      <c r="U243" t="s">
        <v>65</v>
      </c>
      <c r="V243" t="s">
        <v>68</v>
      </c>
      <c r="W243" t="s">
        <v>31</v>
      </c>
    </row>
    <row r="244" spans="1:23" x14ac:dyDescent="0.3">
      <c r="A244">
        <v>7939</v>
      </c>
      <c r="B244" t="s">
        <v>220</v>
      </c>
      <c r="C244" s="1">
        <v>45177</v>
      </c>
      <c r="D244" s="1">
        <v>45621</v>
      </c>
      <c r="E244">
        <v>11.99</v>
      </c>
      <c r="F244">
        <v>410</v>
      </c>
      <c r="G244" t="s">
        <v>62</v>
      </c>
      <c r="H244">
        <v>5</v>
      </c>
      <c r="I244">
        <v>6</v>
      </c>
      <c r="J244" t="b">
        <v>0</v>
      </c>
      <c r="K244">
        <v>410</v>
      </c>
      <c r="L244">
        <v>125</v>
      </c>
      <c r="M244" t="s">
        <v>74</v>
      </c>
      <c r="N244" t="s">
        <v>26</v>
      </c>
      <c r="O244" t="s">
        <v>34</v>
      </c>
      <c r="P244">
        <v>68</v>
      </c>
      <c r="Q244">
        <v>4.7</v>
      </c>
      <c r="R244" t="b">
        <v>0</v>
      </c>
      <c r="S244" t="s">
        <v>28</v>
      </c>
      <c r="T244">
        <v>2542</v>
      </c>
      <c r="U244" t="s">
        <v>35</v>
      </c>
      <c r="V244" t="s">
        <v>36</v>
      </c>
      <c r="W244" t="s">
        <v>53</v>
      </c>
    </row>
    <row r="245" spans="1:23" x14ac:dyDescent="0.3">
      <c r="A245">
        <v>8269</v>
      </c>
      <c r="B245" t="s">
        <v>72</v>
      </c>
      <c r="C245" s="1">
        <v>45348</v>
      </c>
      <c r="D245" s="1">
        <v>45643</v>
      </c>
      <c r="E245">
        <v>7.99</v>
      </c>
      <c r="F245">
        <v>88</v>
      </c>
      <c r="G245" t="s">
        <v>24</v>
      </c>
      <c r="H245">
        <v>3</v>
      </c>
      <c r="I245">
        <v>1</v>
      </c>
      <c r="J245" t="b">
        <v>0</v>
      </c>
      <c r="K245">
        <v>69</v>
      </c>
      <c r="L245">
        <v>75</v>
      </c>
      <c r="M245" t="s">
        <v>48</v>
      </c>
      <c r="N245" t="s">
        <v>49</v>
      </c>
      <c r="O245" t="s">
        <v>34</v>
      </c>
      <c r="P245">
        <v>80</v>
      </c>
      <c r="Q245">
        <v>4.0999999999999996</v>
      </c>
      <c r="R245" t="b">
        <v>0</v>
      </c>
      <c r="S245" t="s">
        <v>28</v>
      </c>
      <c r="T245">
        <v>4763</v>
      </c>
      <c r="U245" t="s">
        <v>51</v>
      </c>
      <c r="V245" t="s">
        <v>68</v>
      </c>
      <c r="W245" t="s">
        <v>37</v>
      </c>
    </row>
    <row r="246" spans="1:23" x14ac:dyDescent="0.3">
      <c r="A246">
        <v>9073</v>
      </c>
      <c r="B246" t="s">
        <v>81</v>
      </c>
      <c r="C246" s="1">
        <v>45118</v>
      </c>
      <c r="D246" s="1">
        <v>45635</v>
      </c>
      <c r="E246">
        <v>15.99</v>
      </c>
      <c r="F246">
        <v>322</v>
      </c>
      <c r="G246" t="s">
        <v>46</v>
      </c>
      <c r="H246">
        <v>3</v>
      </c>
      <c r="I246">
        <v>4</v>
      </c>
      <c r="J246" t="b">
        <v>1</v>
      </c>
      <c r="K246">
        <v>424</v>
      </c>
      <c r="L246">
        <v>74</v>
      </c>
      <c r="M246" t="s">
        <v>59</v>
      </c>
      <c r="N246" t="s">
        <v>49</v>
      </c>
      <c r="O246" t="s">
        <v>67</v>
      </c>
      <c r="P246">
        <v>3</v>
      </c>
      <c r="Q246">
        <v>3</v>
      </c>
      <c r="R246" t="b">
        <v>0</v>
      </c>
      <c r="S246" t="s">
        <v>28</v>
      </c>
      <c r="T246">
        <v>486</v>
      </c>
      <c r="U246" t="s">
        <v>65</v>
      </c>
      <c r="V246" t="s">
        <v>60</v>
      </c>
      <c r="W246" t="s">
        <v>37</v>
      </c>
    </row>
    <row r="247" spans="1:23" x14ac:dyDescent="0.3">
      <c r="A247">
        <v>9879</v>
      </c>
      <c r="B247" t="s">
        <v>102</v>
      </c>
      <c r="C247" s="1">
        <v>44959</v>
      </c>
      <c r="D247" s="1">
        <v>45630</v>
      </c>
      <c r="E247">
        <v>7.99</v>
      </c>
      <c r="F247">
        <v>217</v>
      </c>
      <c r="G247" t="s">
        <v>55</v>
      </c>
      <c r="H247">
        <v>3</v>
      </c>
      <c r="I247">
        <v>3</v>
      </c>
      <c r="J247" t="b">
        <v>0</v>
      </c>
      <c r="K247">
        <v>377</v>
      </c>
      <c r="L247">
        <v>136</v>
      </c>
      <c r="M247" t="s">
        <v>39</v>
      </c>
      <c r="N247" t="s">
        <v>26</v>
      </c>
      <c r="O247" t="s">
        <v>41</v>
      </c>
      <c r="P247">
        <v>8</v>
      </c>
      <c r="Q247">
        <v>4.2</v>
      </c>
      <c r="R247" t="b">
        <v>1</v>
      </c>
      <c r="S247" t="s">
        <v>28</v>
      </c>
      <c r="T247">
        <v>4327</v>
      </c>
      <c r="U247" t="s">
        <v>65</v>
      </c>
      <c r="V247" t="s">
        <v>36</v>
      </c>
      <c r="W247" t="s">
        <v>31</v>
      </c>
    </row>
    <row r="248" spans="1:23" x14ac:dyDescent="0.3">
      <c r="A248">
        <v>3822</v>
      </c>
      <c r="B248" t="s">
        <v>221</v>
      </c>
      <c r="C248" s="1">
        <v>45141</v>
      </c>
      <c r="D248" s="1">
        <v>45630</v>
      </c>
      <c r="E248">
        <v>15.99</v>
      </c>
      <c r="F248">
        <v>180</v>
      </c>
      <c r="G248" t="s">
        <v>24</v>
      </c>
      <c r="H248">
        <v>3</v>
      </c>
      <c r="I248">
        <v>4</v>
      </c>
      <c r="J248" t="b">
        <v>0</v>
      </c>
      <c r="K248">
        <v>132</v>
      </c>
      <c r="L248">
        <v>127</v>
      </c>
      <c r="M248" t="s">
        <v>25</v>
      </c>
      <c r="N248" t="s">
        <v>49</v>
      </c>
      <c r="O248" t="s">
        <v>56</v>
      </c>
      <c r="P248">
        <v>79</v>
      </c>
      <c r="Q248">
        <v>4.8</v>
      </c>
      <c r="R248" t="b">
        <v>1</v>
      </c>
      <c r="S248" t="s">
        <v>28</v>
      </c>
      <c r="T248">
        <v>2938</v>
      </c>
      <c r="U248" t="s">
        <v>29</v>
      </c>
      <c r="V248" t="s">
        <v>30</v>
      </c>
      <c r="W248" t="s">
        <v>75</v>
      </c>
    </row>
    <row r="249" spans="1:23" x14ac:dyDescent="0.3">
      <c r="A249">
        <v>9183</v>
      </c>
      <c r="B249" t="s">
        <v>80</v>
      </c>
      <c r="C249" s="1">
        <v>45042</v>
      </c>
      <c r="D249" s="1">
        <v>45635</v>
      </c>
      <c r="E249">
        <v>15.99</v>
      </c>
      <c r="F249">
        <v>11</v>
      </c>
      <c r="G249" t="s">
        <v>43</v>
      </c>
      <c r="H249">
        <v>1</v>
      </c>
      <c r="I249">
        <v>1</v>
      </c>
      <c r="J249" t="b">
        <v>0</v>
      </c>
      <c r="K249">
        <v>818</v>
      </c>
      <c r="L249">
        <v>45</v>
      </c>
      <c r="M249" t="s">
        <v>63</v>
      </c>
      <c r="N249" t="s">
        <v>26</v>
      </c>
      <c r="O249" t="s">
        <v>50</v>
      </c>
      <c r="P249">
        <v>97</v>
      </c>
      <c r="Q249">
        <v>4.9000000000000004</v>
      </c>
      <c r="R249" t="b">
        <v>0</v>
      </c>
      <c r="S249" t="s">
        <v>28</v>
      </c>
      <c r="T249">
        <v>1429</v>
      </c>
      <c r="U249" t="s">
        <v>35</v>
      </c>
      <c r="V249" t="s">
        <v>52</v>
      </c>
      <c r="W249" t="s">
        <v>75</v>
      </c>
    </row>
    <row r="250" spans="1:23" x14ac:dyDescent="0.3">
      <c r="A250">
        <v>8674</v>
      </c>
      <c r="B250" t="s">
        <v>222</v>
      </c>
      <c r="C250" s="1">
        <v>44927</v>
      </c>
      <c r="D250" s="1">
        <v>45616</v>
      </c>
      <c r="E250">
        <v>15.99</v>
      </c>
      <c r="F250">
        <v>455</v>
      </c>
      <c r="G250" t="s">
        <v>62</v>
      </c>
      <c r="H250">
        <v>5</v>
      </c>
      <c r="I250">
        <v>6</v>
      </c>
      <c r="J250" t="b">
        <v>1</v>
      </c>
      <c r="K250">
        <v>813</v>
      </c>
      <c r="L250">
        <v>155</v>
      </c>
      <c r="M250" t="s">
        <v>39</v>
      </c>
      <c r="N250" t="s">
        <v>64</v>
      </c>
      <c r="O250" t="s">
        <v>67</v>
      </c>
      <c r="P250">
        <v>85</v>
      </c>
      <c r="Q250">
        <v>3.6</v>
      </c>
      <c r="R250" t="b">
        <v>1</v>
      </c>
      <c r="S250" t="s">
        <v>28</v>
      </c>
      <c r="T250">
        <v>2897</v>
      </c>
      <c r="U250" t="s">
        <v>51</v>
      </c>
      <c r="V250" t="s">
        <v>36</v>
      </c>
      <c r="W250" t="s">
        <v>53</v>
      </c>
    </row>
    <row r="251" spans="1:23" x14ac:dyDescent="0.3">
      <c r="A251">
        <v>2481</v>
      </c>
      <c r="B251" t="s">
        <v>223</v>
      </c>
      <c r="C251" s="1">
        <v>45374</v>
      </c>
      <c r="D251" s="1">
        <v>45616</v>
      </c>
      <c r="E251">
        <v>7.99</v>
      </c>
      <c r="F251">
        <v>487</v>
      </c>
      <c r="G251" t="s">
        <v>79</v>
      </c>
      <c r="H251">
        <v>2</v>
      </c>
      <c r="I251">
        <v>6</v>
      </c>
      <c r="J251" t="b">
        <v>0</v>
      </c>
      <c r="K251">
        <v>362</v>
      </c>
      <c r="L251">
        <v>130</v>
      </c>
      <c r="M251" t="s">
        <v>74</v>
      </c>
      <c r="N251" t="s">
        <v>64</v>
      </c>
      <c r="O251" t="s">
        <v>56</v>
      </c>
      <c r="P251">
        <v>36</v>
      </c>
      <c r="Q251">
        <v>3.3</v>
      </c>
      <c r="R251" t="b">
        <v>1</v>
      </c>
      <c r="S251" t="s">
        <v>28</v>
      </c>
      <c r="T251">
        <v>274</v>
      </c>
      <c r="U251" t="s">
        <v>51</v>
      </c>
      <c r="V251" t="s">
        <v>60</v>
      </c>
      <c r="W251" t="s">
        <v>53</v>
      </c>
    </row>
    <row r="252" spans="1:23" x14ac:dyDescent="0.3">
      <c r="A252">
        <v>8729</v>
      </c>
      <c r="B252" t="s">
        <v>224</v>
      </c>
      <c r="C252" s="1">
        <v>45300</v>
      </c>
      <c r="D252" s="1">
        <v>45639</v>
      </c>
      <c r="E252">
        <v>7.99</v>
      </c>
      <c r="F252">
        <v>459</v>
      </c>
      <c r="G252" t="s">
        <v>46</v>
      </c>
      <c r="H252">
        <v>2</v>
      </c>
      <c r="I252">
        <v>4</v>
      </c>
      <c r="J252" t="b">
        <v>0</v>
      </c>
      <c r="K252">
        <v>573</v>
      </c>
      <c r="L252">
        <v>190</v>
      </c>
      <c r="M252" t="s">
        <v>59</v>
      </c>
      <c r="N252" t="s">
        <v>26</v>
      </c>
      <c r="O252" t="s">
        <v>50</v>
      </c>
      <c r="P252">
        <v>81</v>
      </c>
      <c r="Q252">
        <v>4.3</v>
      </c>
      <c r="R252" t="b">
        <v>0</v>
      </c>
      <c r="S252" t="s">
        <v>28</v>
      </c>
      <c r="T252">
        <v>3910</v>
      </c>
      <c r="U252" t="s">
        <v>57</v>
      </c>
      <c r="V252" t="s">
        <v>60</v>
      </c>
      <c r="W252" t="s">
        <v>53</v>
      </c>
    </row>
    <row r="253" spans="1:23" x14ac:dyDescent="0.3">
      <c r="A253">
        <v>5534</v>
      </c>
      <c r="B253" t="s">
        <v>225</v>
      </c>
      <c r="C253" s="1">
        <v>44989</v>
      </c>
      <c r="D253" s="1">
        <v>45639</v>
      </c>
      <c r="E253">
        <v>7.99</v>
      </c>
      <c r="F253">
        <v>74</v>
      </c>
      <c r="G253" t="s">
        <v>33</v>
      </c>
      <c r="H253">
        <v>2</v>
      </c>
      <c r="I253">
        <v>1</v>
      </c>
      <c r="J253" t="b">
        <v>0</v>
      </c>
      <c r="K253">
        <v>657</v>
      </c>
      <c r="L253">
        <v>88</v>
      </c>
      <c r="M253" t="s">
        <v>39</v>
      </c>
      <c r="N253" t="s">
        <v>40</v>
      </c>
      <c r="O253" t="s">
        <v>41</v>
      </c>
      <c r="P253">
        <v>40</v>
      </c>
      <c r="Q253">
        <v>3.8</v>
      </c>
      <c r="R253" t="b">
        <v>0</v>
      </c>
      <c r="S253" t="s">
        <v>28</v>
      </c>
      <c r="T253">
        <v>130</v>
      </c>
      <c r="U253" t="s">
        <v>35</v>
      </c>
      <c r="V253" t="s">
        <v>52</v>
      </c>
      <c r="W253" t="s">
        <v>53</v>
      </c>
    </row>
    <row r="254" spans="1:23" x14ac:dyDescent="0.3">
      <c r="A254">
        <v>9785</v>
      </c>
      <c r="B254" t="s">
        <v>168</v>
      </c>
      <c r="C254" s="1">
        <v>45295</v>
      </c>
      <c r="D254" s="1">
        <v>45644</v>
      </c>
      <c r="E254">
        <v>11.99</v>
      </c>
      <c r="F254">
        <v>54</v>
      </c>
      <c r="G254" t="s">
        <v>24</v>
      </c>
      <c r="H254">
        <v>5</v>
      </c>
      <c r="I254">
        <v>4</v>
      </c>
      <c r="J254" t="b">
        <v>0</v>
      </c>
      <c r="K254">
        <v>659</v>
      </c>
      <c r="L254">
        <v>2</v>
      </c>
      <c r="M254" t="s">
        <v>63</v>
      </c>
      <c r="N254" t="s">
        <v>26</v>
      </c>
      <c r="O254" t="s">
        <v>41</v>
      </c>
      <c r="P254">
        <v>82</v>
      </c>
      <c r="Q254">
        <v>4.3</v>
      </c>
      <c r="R254" t="b">
        <v>1</v>
      </c>
      <c r="S254" t="s">
        <v>28</v>
      </c>
      <c r="T254">
        <v>2557</v>
      </c>
      <c r="U254" t="s">
        <v>35</v>
      </c>
      <c r="V254" t="s">
        <v>30</v>
      </c>
      <c r="W254" t="s">
        <v>53</v>
      </c>
    </row>
    <row r="255" spans="1:23" x14ac:dyDescent="0.3">
      <c r="A255">
        <v>9609</v>
      </c>
      <c r="B255" t="s">
        <v>213</v>
      </c>
      <c r="C255" s="1">
        <v>45172</v>
      </c>
      <c r="D255" s="1">
        <v>45623</v>
      </c>
      <c r="E255">
        <v>11.99</v>
      </c>
      <c r="F255">
        <v>292</v>
      </c>
      <c r="G255" t="s">
        <v>79</v>
      </c>
      <c r="H255">
        <v>3</v>
      </c>
      <c r="I255">
        <v>4</v>
      </c>
      <c r="J255" t="b">
        <v>1</v>
      </c>
      <c r="K255">
        <v>653</v>
      </c>
      <c r="L255">
        <v>173</v>
      </c>
      <c r="M255" t="s">
        <v>59</v>
      </c>
      <c r="N255" t="s">
        <v>40</v>
      </c>
      <c r="O255" t="s">
        <v>27</v>
      </c>
      <c r="P255">
        <v>8</v>
      </c>
      <c r="Q255">
        <v>3.5</v>
      </c>
      <c r="R255" t="b">
        <v>0</v>
      </c>
      <c r="S255" t="s">
        <v>28</v>
      </c>
      <c r="T255">
        <v>3823</v>
      </c>
      <c r="U255" t="s">
        <v>35</v>
      </c>
      <c r="V255" t="s">
        <v>60</v>
      </c>
      <c r="W255" t="s">
        <v>37</v>
      </c>
    </row>
    <row r="256" spans="1:23" x14ac:dyDescent="0.3">
      <c r="A256">
        <v>2829</v>
      </c>
      <c r="B256" t="s">
        <v>226</v>
      </c>
      <c r="C256" s="1">
        <v>45558</v>
      </c>
      <c r="D256" s="1">
        <v>45635</v>
      </c>
      <c r="E256">
        <v>15.99</v>
      </c>
      <c r="F256">
        <v>23</v>
      </c>
      <c r="G256" t="s">
        <v>24</v>
      </c>
      <c r="H256">
        <v>2</v>
      </c>
      <c r="I256">
        <v>2</v>
      </c>
      <c r="J256" t="b">
        <v>0</v>
      </c>
      <c r="K256">
        <v>577</v>
      </c>
      <c r="L256">
        <v>131</v>
      </c>
      <c r="M256" t="s">
        <v>74</v>
      </c>
      <c r="N256" t="s">
        <v>49</v>
      </c>
      <c r="O256" t="s">
        <v>34</v>
      </c>
      <c r="P256">
        <v>14</v>
      </c>
      <c r="Q256">
        <v>3.9</v>
      </c>
      <c r="R256" t="b">
        <v>0</v>
      </c>
      <c r="S256" t="s">
        <v>28</v>
      </c>
      <c r="T256">
        <v>4048</v>
      </c>
      <c r="U256" t="s">
        <v>57</v>
      </c>
      <c r="V256" t="s">
        <v>36</v>
      </c>
      <c r="W256" t="s">
        <v>75</v>
      </c>
    </row>
    <row r="257" spans="1:23" x14ac:dyDescent="0.3">
      <c r="A257">
        <v>1714</v>
      </c>
      <c r="B257" t="s">
        <v>227</v>
      </c>
      <c r="C257" s="1">
        <v>45167</v>
      </c>
      <c r="D257" s="1">
        <v>45622</v>
      </c>
      <c r="E257">
        <v>11.99</v>
      </c>
      <c r="F257">
        <v>147</v>
      </c>
      <c r="G257" t="s">
        <v>55</v>
      </c>
      <c r="H257">
        <v>3</v>
      </c>
      <c r="I257">
        <v>1</v>
      </c>
      <c r="J257" t="b">
        <v>1</v>
      </c>
      <c r="K257">
        <v>802</v>
      </c>
      <c r="L257">
        <v>177</v>
      </c>
      <c r="M257" t="s">
        <v>74</v>
      </c>
      <c r="N257" t="s">
        <v>49</v>
      </c>
      <c r="O257" t="s">
        <v>34</v>
      </c>
      <c r="P257">
        <v>21</v>
      </c>
      <c r="Q257">
        <v>3.5</v>
      </c>
      <c r="R257" t="b">
        <v>1</v>
      </c>
      <c r="S257" t="s">
        <v>28</v>
      </c>
      <c r="T257">
        <v>3173</v>
      </c>
      <c r="U257" t="s">
        <v>51</v>
      </c>
      <c r="V257" t="s">
        <v>30</v>
      </c>
      <c r="W257" t="s">
        <v>53</v>
      </c>
    </row>
    <row r="258" spans="1:23" x14ac:dyDescent="0.3">
      <c r="A258">
        <v>4475</v>
      </c>
      <c r="B258" t="s">
        <v>228</v>
      </c>
      <c r="C258" s="1">
        <v>45286</v>
      </c>
      <c r="D258" s="1">
        <v>45638</v>
      </c>
      <c r="E258">
        <v>7.99</v>
      </c>
      <c r="F258">
        <v>221</v>
      </c>
      <c r="G258" t="s">
        <v>24</v>
      </c>
      <c r="H258">
        <v>2</v>
      </c>
      <c r="I258">
        <v>4</v>
      </c>
      <c r="J258" t="b">
        <v>0</v>
      </c>
      <c r="K258">
        <v>702</v>
      </c>
      <c r="L258">
        <v>130</v>
      </c>
      <c r="M258" t="s">
        <v>39</v>
      </c>
      <c r="N258" t="s">
        <v>26</v>
      </c>
      <c r="O258" t="s">
        <v>67</v>
      </c>
      <c r="P258">
        <v>36</v>
      </c>
      <c r="Q258">
        <v>4.3</v>
      </c>
      <c r="R258" t="b">
        <v>0</v>
      </c>
      <c r="S258" t="s">
        <v>28</v>
      </c>
      <c r="T258">
        <v>3289</v>
      </c>
      <c r="U258" t="s">
        <v>57</v>
      </c>
      <c r="V258" t="s">
        <v>36</v>
      </c>
      <c r="W258" t="s">
        <v>37</v>
      </c>
    </row>
    <row r="259" spans="1:23" x14ac:dyDescent="0.3">
      <c r="A259">
        <v>9820</v>
      </c>
      <c r="B259" t="s">
        <v>108</v>
      </c>
      <c r="C259" s="1">
        <v>45586</v>
      </c>
      <c r="D259" s="1">
        <v>45623</v>
      </c>
      <c r="E259">
        <v>7.99</v>
      </c>
      <c r="F259">
        <v>40</v>
      </c>
      <c r="G259" t="s">
        <v>46</v>
      </c>
      <c r="H259">
        <v>2</v>
      </c>
      <c r="I259">
        <v>1</v>
      </c>
      <c r="J259" t="b">
        <v>1</v>
      </c>
      <c r="K259">
        <v>92</v>
      </c>
      <c r="L259">
        <v>184</v>
      </c>
      <c r="M259" t="s">
        <v>44</v>
      </c>
      <c r="N259" t="s">
        <v>49</v>
      </c>
      <c r="O259" t="s">
        <v>41</v>
      </c>
      <c r="P259">
        <v>66</v>
      </c>
      <c r="Q259">
        <v>4.0999999999999996</v>
      </c>
      <c r="R259" t="b">
        <v>1</v>
      </c>
      <c r="S259" t="s">
        <v>28</v>
      </c>
      <c r="T259">
        <v>4377</v>
      </c>
      <c r="U259" t="s">
        <v>51</v>
      </c>
      <c r="V259" t="s">
        <v>36</v>
      </c>
      <c r="W259" t="s">
        <v>75</v>
      </c>
    </row>
    <row r="260" spans="1:23" x14ac:dyDescent="0.3">
      <c r="A260">
        <v>3261</v>
      </c>
      <c r="B260" t="s">
        <v>121</v>
      </c>
      <c r="C260" s="1">
        <v>44926</v>
      </c>
      <c r="D260" s="1">
        <v>45639</v>
      </c>
      <c r="E260">
        <v>11.99</v>
      </c>
      <c r="F260">
        <v>365</v>
      </c>
      <c r="G260" t="s">
        <v>43</v>
      </c>
      <c r="H260">
        <v>1</v>
      </c>
      <c r="I260">
        <v>5</v>
      </c>
      <c r="J260" t="b">
        <v>1</v>
      </c>
      <c r="K260">
        <v>582</v>
      </c>
      <c r="L260">
        <v>162</v>
      </c>
      <c r="M260" t="s">
        <v>59</v>
      </c>
      <c r="N260" t="s">
        <v>64</v>
      </c>
      <c r="O260" t="s">
        <v>27</v>
      </c>
      <c r="P260">
        <v>8</v>
      </c>
      <c r="Q260">
        <v>3.3</v>
      </c>
      <c r="R260" t="b">
        <v>0</v>
      </c>
      <c r="S260" t="s">
        <v>28</v>
      </c>
      <c r="T260">
        <v>995</v>
      </c>
      <c r="U260" t="s">
        <v>57</v>
      </c>
      <c r="V260" t="s">
        <v>36</v>
      </c>
      <c r="W260" t="s">
        <v>37</v>
      </c>
    </row>
    <row r="261" spans="1:23" x14ac:dyDescent="0.3">
      <c r="A261">
        <v>6130</v>
      </c>
      <c r="B261" t="s">
        <v>109</v>
      </c>
      <c r="C261" s="1">
        <v>45407</v>
      </c>
      <c r="D261" s="1">
        <v>45642</v>
      </c>
      <c r="E261">
        <v>11.99</v>
      </c>
      <c r="F261">
        <v>360</v>
      </c>
      <c r="G261" t="s">
        <v>79</v>
      </c>
      <c r="H261">
        <v>1</v>
      </c>
      <c r="I261">
        <v>2</v>
      </c>
      <c r="J261" t="b">
        <v>1</v>
      </c>
      <c r="K261">
        <v>161</v>
      </c>
      <c r="L261">
        <v>93</v>
      </c>
      <c r="M261" t="s">
        <v>48</v>
      </c>
      <c r="N261" t="s">
        <v>40</v>
      </c>
      <c r="O261" t="s">
        <v>50</v>
      </c>
      <c r="P261">
        <v>30</v>
      </c>
      <c r="Q261">
        <v>3.3</v>
      </c>
      <c r="R261" t="b">
        <v>1</v>
      </c>
      <c r="S261" t="s">
        <v>28</v>
      </c>
      <c r="T261">
        <v>2299</v>
      </c>
      <c r="U261" t="s">
        <v>35</v>
      </c>
      <c r="V261" t="s">
        <v>68</v>
      </c>
      <c r="W261" t="s">
        <v>75</v>
      </c>
    </row>
    <row r="262" spans="1:23" x14ac:dyDescent="0.3">
      <c r="A262">
        <v>9399</v>
      </c>
      <c r="B262" t="s">
        <v>123</v>
      </c>
      <c r="C262" s="1">
        <v>45040</v>
      </c>
      <c r="D262" s="1">
        <v>45624</v>
      </c>
      <c r="E262">
        <v>7.99</v>
      </c>
      <c r="F262">
        <v>127</v>
      </c>
      <c r="G262" t="s">
        <v>24</v>
      </c>
      <c r="H262">
        <v>2</v>
      </c>
      <c r="I262">
        <v>2</v>
      </c>
      <c r="J262" t="b">
        <v>0</v>
      </c>
      <c r="K262">
        <v>842</v>
      </c>
      <c r="L262">
        <v>24</v>
      </c>
      <c r="M262" t="s">
        <v>39</v>
      </c>
      <c r="N262" t="s">
        <v>64</v>
      </c>
      <c r="O262" t="s">
        <v>50</v>
      </c>
      <c r="P262">
        <v>72</v>
      </c>
      <c r="Q262">
        <v>3.2</v>
      </c>
      <c r="R262" t="b">
        <v>1</v>
      </c>
      <c r="S262" t="s">
        <v>28</v>
      </c>
      <c r="T262">
        <v>4644</v>
      </c>
      <c r="U262" t="s">
        <v>29</v>
      </c>
      <c r="V262" t="s">
        <v>36</v>
      </c>
      <c r="W262" t="s">
        <v>31</v>
      </c>
    </row>
    <row r="263" spans="1:23" x14ac:dyDescent="0.3">
      <c r="A263">
        <v>6047</v>
      </c>
      <c r="B263" t="s">
        <v>184</v>
      </c>
      <c r="C263" s="1">
        <v>45619</v>
      </c>
      <c r="D263" s="1">
        <v>45628</v>
      </c>
      <c r="E263">
        <v>15.99</v>
      </c>
      <c r="F263">
        <v>30</v>
      </c>
      <c r="G263" t="s">
        <v>55</v>
      </c>
      <c r="H263">
        <v>3</v>
      </c>
      <c r="I263">
        <v>2</v>
      </c>
      <c r="J263" t="b">
        <v>1</v>
      </c>
      <c r="K263">
        <v>609</v>
      </c>
      <c r="L263">
        <v>6</v>
      </c>
      <c r="M263" t="s">
        <v>39</v>
      </c>
      <c r="N263" t="s">
        <v>26</v>
      </c>
      <c r="O263" t="s">
        <v>41</v>
      </c>
      <c r="P263">
        <v>57</v>
      </c>
      <c r="Q263">
        <v>3</v>
      </c>
      <c r="R263" t="b">
        <v>1</v>
      </c>
      <c r="S263" t="s">
        <v>28</v>
      </c>
      <c r="T263">
        <v>746</v>
      </c>
      <c r="U263" t="s">
        <v>65</v>
      </c>
      <c r="V263" t="s">
        <v>68</v>
      </c>
      <c r="W263" t="s">
        <v>31</v>
      </c>
    </row>
    <row r="264" spans="1:23" x14ac:dyDescent="0.3">
      <c r="A264">
        <v>7789</v>
      </c>
      <c r="B264" t="s">
        <v>88</v>
      </c>
      <c r="C264" s="1">
        <v>45134</v>
      </c>
      <c r="D264" s="1">
        <v>45620</v>
      </c>
      <c r="E264">
        <v>7.99</v>
      </c>
      <c r="F264">
        <v>222</v>
      </c>
      <c r="G264" t="s">
        <v>33</v>
      </c>
      <c r="H264">
        <v>1</v>
      </c>
      <c r="I264">
        <v>6</v>
      </c>
      <c r="J264" t="b">
        <v>0</v>
      </c>
      <c r="K264">
        <v>391</v>
      </c>
      <c r="L264">
        <v>17</v>
      </c>
      <c r="M264" t="s">
        <v>25</v>
      </c>
      <c r="N264" t="s">
        <v>64</v>
      </c>
      <c r="O264" t="s">
        <v>27</v>
      </c>
      <c r="P264">
        <v>21</v>
      </c>
      <c r="Q264">
        <v>3.4</v>
      </c>
      <c r="R264" t="b">
        <v>1</v>
      </c>
      <c r="S264" t="s">
        <v>28</v>
      </c>
      <c r="T264">
        <v>2835</v>
      </c>
      <c r="U264" t="s">
        <v>65</v>
      </c>
      <c r="V264" t="s">
        <v>60</v>
      </c>
      <c r="W264" t="s">
        <v>37</v>
      </c>
    </row>
    <row r="265" spans="1:23" x14ac:dyDescent="0.3">
      <c r="A265">
        <v>6111</v>
      </c>
      <c r="B265" t="s">
        <v>119</v>
      </c>
      <c r="C265" s="1">
        <v>45241</v>
      </c>
      <c r="D265" s="1">
        <v>45639</v>
      </c>
      <c r="E265">
        <v>11.99</v>
      </c>
      <c r="F265">
        <v>168</v>
      </c>
      <c r="G265" t="s">
        <v>79</v>
      </c>
      <c r="H265">
        <v>1</v>
      </c>
      <c r="I265">
        <v>2</v>
      </c>
      <c r="J265" t="b">
        <v>0</v>
      </c>
      <c r="K265">
        <v>247</v>
      </c>
      <c r="L265">
        <v>172</v>
      </c>
      <c r="M265" t="s">
        <v>74</v>
      </c>
      <c r="N265" t="s">
        <v>64</v>
      </c>
      <c r="O265" t="s">
        <v>67</v>
      </c>
      <c r="P265">
        <v>98</v>
      </c>
      <c r="Q265">
        <v>3.5</v>
      </c>
      <c r="R265" t="b">
        <v>0</v>
      </c>
      <c r="S265" t="s">
        <v>28</v>
      </c>
      <c r="T265">
        <v>3626</v>
      </c>
      <c r="U265" t="s">
        <v>51</v>
      </c>
      <c r="V265" t="s">
        <v>30</v>
      </c>
      <c r="W265" t="s">
        <v>37</v>
      </c>
    </row>
    <row r="266" spans="1:23" x14ac:dyDescent="0.3">
      <c r="A266">
        <v>4968</v>
      </c>
      <c r="B266" t="s">
        <v>229</v>
      </c>
      <c r="C266" s="1">
        <v>45393</v>
      </c>
      <c r="D266" s="1">
        <v>45622</v>
      </c>
      <c r="E266">
        <v>7.99</v>
      </c>
      <c r="F266">
        <v>317</v>
      </c>
      <c r="G266" t="s">
        <v>62</v>
      </c>
      <c r="H266">
        <v>5</v>
      </c>
      <c r="I266">
        <v>1</v>
      </c>
      <c r="J266" t="b">
        <v>0</v>
      </c>
      <c r="K266">
        <v>559</v>
      </c>
      <c r="L266">
        <v>113</v>
      </c>
      <c r="M266" t="s">
        <v>48</v>
      </c>
      <c r="N266" t="s">
        <v>49</v>
      </c>
      <c r="O266" t="s">
        <v>56</v>
      </c>
      <c r="P266">
        <v>92</v>
      </c>
      <c r="Q266">
        <v>4.5999999999999996</v>
      </c>
      <c r="R266" t="b">
        <v>0</v>
      </c>
      <c r="S266" t="s">
        <v>28</v>
      </c>
      <c r="T266">
        <v>1000</v>
      </c>
      <c r="U266" t="s">
        <v>57</v>
      </c>
      <c r="V266" t="s">
        <v>68</v>
      </c>
      <c r="W266" t="s">
        <v>37</v>
      </c>
    </row>
    <row r="267" spans="1:23" x14ac:dyDescent="0.3">
      <c r="A267">
        <v>2739</v>
      </c>
      <c r="B267" t="s">
        <v>230</v>
      </c>
      <c r="C267" s="1">
        <v>45040</v>
      </c>
      <c r="D267" s="1">
        <v>45616</v>
      </c>
      <c r="E267">
        <v>15.99</v>
      </c>
      <c r="F267">
        <v>285</v>
      </c>
      <c r="G267" t="s">
        <v>46</v>
      </c>
      <c r="H267">
        <v>1</v>
      </c>
      <c r="I267">
        <v>3</v>
      </c>
      <c r="J267" t="b">
        <v>0</v>
      </c>
      <c r="K267">
        <v>706</v>
      </c>
      <c r="L267">
        <v>22</v>
      </c>
      <c r="M267" t="s">
        <v>44</v>
      </c>
      <c r="N267" t="s">
        <v>26</v>
      </c>
      <c r="O267" t="s">
        <v>41</v>
      </c>
      <c r="P267">
        <v>4</v>
      </c>
      <c r="Q267">
        <v>3.4</v>
      </c>
      <c r="R267" t="b">
        <v>1</v>
      </c>
      <c r="S267" t="s">
        <v>28</v>
      </c>
      <c r="T267">
        <v>368</v>
      </c>
      <c r="U267" t="s">
        <v>35</v>
      </c>
      <c r="V267" t="s">
        <v>36</v>
      </c>
      <c r="W267" t="s">
        <v>31</v>
      </c>
    </row>
    <row r="268" spans="1:23" x14ac:dyDescent="0.3">
      <c r="A268">
        <v>6974</v>
      </c>
      <c r="B268" t="s">
        <v>66</v>
      </c>
      <c r="C268" s="1">
        <v>45168</v>
      </c>
      <c r="D268" s="1">
        <v>45624</v>
      </c>
      <c r="E268">
        <v>11.99</v>
      </c>
      <c r="F268">
        <v>420</v>
      </c>
      <c r="G268" t="s">
        <v>62</v>
      </c>
      <c r="H268">
        <v>1</v>
      </c>
      <c r="I268">
        <v>2</v>
      </c>
      <c r="J268" t="b">
        <v>0</v>
      </c>
      <c r="K268">
        <v>1000</v>
      </c>
      <c r="L268">
        <v>159</v>
      </c>
      <c r="M268" t="s">
        <v>48</v>
      </c>
      <c r="N268" t="s">
        <v>64</v>
      </c>
      <c r="O268" t="s">
        <v>34</v>
      </c>
      <c r="P268">
        <v>22</v>
      </c>
      <c r="Q268">
        <v>4.8</v>
      </c>
      <c r="R268" t="b">
        <v>0</v>
      </c>
      <c r="S268" t="s">
        <v>28</v>
      </c>
      <c r="T268">
        <v>2229</v>
      </c>
      <c r="U268" t="s">
        <v>51</v>
      </c>
      <c r="V268" t="s">
        <v>36</v>
      </c>
      <c r="W268" t="s">
        <v>53</v>
      </c>
    </row>
    <row r="269" spans="1:23" x14ac:dyDescent="0.3">
      <c r="A269">
        <v>1784</v>
      </c>
      <c r="B269" t="s">
        <v>157</v>
      </c>
      <c r="C269" s="1">
        <v>45088</v>
      </c>
      <c r="D269" s="1">
        <v>45642</v>
      </c>
      <c r="E269">
        <v>15.99</v>
      </c>
      <c r="F269">
        <v>100</v>
      </c>
      <c r="G269" t="s">
        <v>33</v>
      </c>
      <c r="H269">
        <v>5</v>
      </c>
      <c r="I269">
        <v>1</v>
      </c>
      <c r="J269" t="b">
        <v>1</v>
      </c>
      <c r="K269">
        <v>586</v>
      </c>
      <c r="L269">
        <v>32</v>
      </c>
      <c r="M269" t="s">
        <v>74</v>
      </c>
      <c r="N269" t="s">
        <v>49</v>
      </c>
      <c r="O269" t="s">
        <v>27</v>
      </c>
      <c r="P269">
        <v>100</v>
      </c>
      <c r="Q269">
        <v>3.6</v>
      </c>
      <c r="R269" t="b">
        <v>1</v>
      </c>
      <c r="S269" t="s">
        <v>28</v>
      </c>
      <c r="T269">
        <v>2643</v>
      </c>
      <c r="U269" t="s">
        <v>35</v>
      </c>
      <c r="V269" t="s">
        <v>36</v>
      </c>
      <c r="W269" t="s">
        <v>75</v>
      </c>
    </row>
    <row r="270" spans="1:23" x14ac:dyDescent="0.3">
      <c r="A270">
        <v>8077</v>
      </c>
      <c r="B270" t="s">
        <v>93</v>
      </c>
      <c r="C270" s="1">
        <v>45446</v>
      </c>
      <c r="D270" s="1">
        <v>45644</v>
      </c>
      <c r="E270">
        <v>11.99</v>
      </c>
      <c r="F270">
        <v>426</v>
      </c>
      <c r="G270" t="s">
        <v>46</v>
      </c>
      <c r="H270">
        <v>4</v>
      </c>
      <c r="I270">
        <v>6</v>
      </c>
      <c r="J270" t="b">
        <v>0</v>
      </c>
      <c r="K270">
        <v>450</v>
      </c>
      <c r="L270">
        <v>92</v>
      </c>
      <c r="M270" t="s">
        <v>63</v>
      </c>
      <c r="N270" t="s">
        <v>40</v>
      </c>
      <c r="O270" t="s">
        <v>27</v>
      </c>
      <c r="P270">
        <v>71</v>
      </c>
      <c r="Q270">
        <v>4.0999999999999996</v>
      </c>
      <c r="R270" t="b">
        <v>0</v>
      </c>
      <c r="S270" t="s">
        <v>28</v>
      </c>
      <c r="T270">
        <v>2647</v>
      </c>
      <c r="U270" t="s">
        <v>29</v>
      </c>
      <c r="V270" t="s">
        <v>36</v>
      </c>
      <c r="W270" t="s">
        <v>53</v>
      </c>
    </row>
    <row r="271" spans="1:23" x14ac:dyDescent="0.3">
      <c r="A271">
        <v>2727</v>
      </c>
      <c r="B271" t="s">
        <v>231</v>
      </c>
      <c r="C271" s="1">
        <v>45320</v>
      </c>
      <c r="D271" s="1">
        <v>45634</v>
      </c>
      <c r="E271">
        <v>7.99</v>
      </c>
      <c r="F271">
        <v>263</v>
      </c>
      <c r="G271" t="s">
        <v>79</v>
      </c>
      <c r="H271">
        <v>1</v>
      </c>
      <c r="I271">
        <v>4</v>
      </c>
      <c r="J271" t="b">
        <v>1</v>
      </c>
      <c r="K271">
        <v>468</v>
      </c>
      <c r="L271">
        <v>95</v>
      </c>
      <c r="M271" t="s">
        <v>48</v>
      </c>
      <c r="N271" t="s">
        <v>40</v>
      </c>
      <c r="O271" t="s">
        <v>56</v>
      </c>
      <c r="P271">
        <v>87</v>
      </c>
      <c r="Q271">
        <v>3.5</v>
      </c>
      <c r="R271" t="b">
        <v>0</v>
      </c>
      <c r="S271" t="s">
        <v>28</v>
      </c>
      <c r="T271">
        <v>4497</v>
      </c>
      <c r="U271" t="s">
        <v>65</v>
      </c>
      <c r="V271" t="s">
        <v>36</v>
      </c>
      <c r="W271" t="s">
        <v>37</v>
      </c>
    </row>
    <row r="272" spans="1:23" x14ac:dyDescent="0.3">
      <c r="A272">
        <v>7661</v>
      </c>
      <c r="B272" t="s">
        <v>232</v>
      </c>
      <c r="C272" s="1">
        <v>45158</v>
      </c>
      <c r="D272" s="1">
        <v>45640</v>
      </c>
      <c r="E272">
        <v>11.99</v>
      </c>
      <c r="F272">
        <v>162</v>
      </c>
      <c r="G272" t="s">
        <v>24</v>
      </c>
      <c r="H272">
        <v>1</v>
      </c>
      <c r="I272">
        <v>1</v>
      </c>
      <c r="J272" t="b">
        <v>0</v>
      </c>
      <c r="K272">
        <v>370</v>
      </c>
      <c r="L272">
        <v>130</v>
      </c>
      <c r="M272" t="s">
        <v>25</v>
      </c>
      <c r="N272" t="s">
        <v>40</v>
      </c>
      <c r="O272" t="s">
        <v>27</v>
      </c>
      <c r="P272">
        <v>49</v>
      </c>
      <c r="Q272">
        <v>4.0999999999999996</v>
      </c>
      <c r="R272" t="b">
        <v>1</v>
      </c>
      <c r="S272" t="s">
        <v>28</v>
      </c>
      <c r="T272">
        <v>1121</v>
      </c>
      <c r="U272" t="s">
        <v>51</v>
      </c>
      <c r="V272" t="s">
        <v>60</v>
      </c>
      <c r="W272" t="s">
        <v>75</v>
      </c>
    </row>
    <row r="273" spans="1:23" x14ac:dyDescent="0.3">
      <c r="A273">
        <v>5083</v>
      </c>
      <c r="B273" t="s">
        <v>105</v>
      </c>
      <c r="C273" s="1">
        <v>45620</v>
      </c>
      <c r="D273" s="1">
        <v>45619</v>
      </c>
      <c r="E273">
        <v>15.99</v>
      </c>
      <c r="F273">
        <v>19</v>
      </c>
      <c r="G273" t="s">
        <v>79</v>
      </c>
      <c r="H273">
        <v>3</v>
      </c>
      <c r="I273">
        <v>2</v>
      </c>
      <c r="J273" t="b">
        <v>1</v>
      </c>
      <c r="K273">
        <v>781</v>
      </c>
      <c r="L273">
        <v>179</v>
      </c>
      <c r="M273" t="s">
        <v>39</v>
      </c>
      <c r="N273" t="s">
        <v>40</v>
      </c>
      <c r="O273" t="s">
        <v>34</v>
      </c>
      <c r="P273">
        <v>8</v>
      </c>
      <c r="Q273">
        <v>4.3</v>
      </c>
      <c r="R273" t="b">
        <v>0</v>
      </c>
      <c r="S273" t="s">
        <v>28</v>
      </c>
      <c r="T273">
        <v>1525</v>
      </c>
      <c r="U273" t="s">
        <v>57</v>
      </c>
      <c r="V273" t="s">
        <v>60</v>
      </c>
      <c r="W273" t="s">
        <v>37</v>
      </c>
    </row>
    <row r="274" spans="1:23" x14ac:dyDescent="0.3">
      <c r="A274">
        <v>7275</v>
      </c>
      <c r="B274" t="s">
        <v>233</v>
      </c>
      <c r="C274" s="1">
        <v>45540</v>
      </c>
      <c r="D274" s="1">
        <v>45633</v>
      </c>
      <c r="E274">
        <v>11.99</v>
      </c>
      <c r="F274">
        <v>358</v>
      </c>
      <c r="G274" t="s">
        <v>79</v>
      </c>
      <c r="H274">
        <v>5</v>
      </c>
      <c r="I274">
        <v>4</v>
      </c>
      <c r="J274" t="b">
        <v>1</v>
      </c>
      <c r="K274">
        <v>829</v>
      </c>
      <c r="L274">
        <v>62</v>
      </c>
      <c r="M274" t="s">
        <v>63</v>
      </c>
      <c r="N274" t="s">
        <v>26</v>
      </c>
      <c r="O274" t="s">
        <v>34</v>
      </c>
      <c r="P274">
        <v>65</v>
      </c>
      <c r="Q274">
        <v>3.4</v>
      </c>
      <c r="R274" t="b">
        <v>0</v>
      </c>
      <c r="S274" t="s">
        <v>28</v>
      </c>
      <c r="T274">
        <v>3488</v>
      </c>
      <c r="U274" t="s">
        <v>51</v>
      </c>
      <c r="V274" t="s">
        <v>68</v>
      </c>
      <c r="W274" t="s">
        <v>31</v>
      </c>
    </row>
    <row r="275" spans="1:23" x14ac:dyDescent="0.3">
      <c r="A275">
        <v>7316</v>
      </c>
      <c r="B275" t="s">
        <v>234</v>
      </c>
      <c r="C275" s="1">
        <v>44981</v>
      </c>
      <c r="D275" s="1">
        <v>45641</v>
      </c>
      <c r="E275">
        <v>11.99</v>
      </c>
      <c r="F275">
        <v>183</v>
      </c>
      <c r="G275" t="s">
        <v>33</v>
      </c>
      <c r="H275">
        <v>3</v>
      </c>
      <c r="I275">
        <v>5</v>
      </c>
      <c r="J275" t="b">
        <v>0</v>
      </c>
      <c r="K275">
        <v>944</v>
      </c>
      <c r="L275">
        <v>94</v>
      </c>
      <c r="M275" t="s">
        <v>39</v>
      </c>
      <c r="N275" t="s">
        <v>26</v>
      </c>
      <c r="O275" t="s">
        <v>56</v>
      </c>
      <c r="P275">
        <v>72</v>
      </c>
      <c r="Q275">
        <v>4.7</v>
      </c>
      <c r="R275" t="b">
        <v>0</v>
      </c>
      <c r="S275" t="s">
        <v>28</v>
      </c>
      <c r="T275">
        <v>3009</v>
      </c>
      <c r="U275" t="s">
        <v>51</v>
      </c>
      <c r="V275" t="s">
        <v>60</v>
      </c>
      <c r="W275" t="s">
        <v>31</v>
      </c>
    </row>
    <row r="276" spans="1:23" x14ac:dyDescent="0.3">
      <c r="A276">
        <v>4497</v>
      </c>
      <c r="B276" t="s">
        <v>235</v>
      </c>
      <c r="C276" s="1">
        <v>44929</v>
      </c>
      <c r="D276" s="1">
        <v>45641</v>
      </c>
      <c r="E276">
        <v>15.99</v>
      </c>
      <c r="F276">
        <v>63</v>
      </c>
      <c r="G276" t="s">
        <v>24</v>
      </c>
      <c r="H276">
        <v>4</v>
      </c>
      <c r="I276">
        <v>4</v>
      </c>
      <c r="J276" t="b">
        <v>0</v>
      </c>
      <c r="K276">
        <v>670</v>
      </c>
      <c r="L276">
        <v>72</v>
      </c>
      <c r="M276" t="s">
        <v>25</v>
      </c>
      <c r="N276" t="s">
        <v>26</v>
      </c>
      <c r="O276" t="s">
        <v>50</v>
      </c>
      <c r="P276">
        <v>27</v>
      </c>
      <c r="Q276">
        <v>4.8</v>
      </c>
      <c r="R276" t="b">
        <v>0</v>
      </c>
      <c r="S276" t="s">
        <v>28</v>
      </c>
      <c r="T276">
        <v>15</v>
      </c>
      <c r="U276" t="s">
        <v>29</v>
      </c>
      <c r="V276" t="s">
        <v>30</v>
      </c>
      <c r="W276" t="s">
        <v>37</v>
      </c>
    </row>
    <row r="277" spans="1:23" x14ac:dyDescent="0.3">
      <c r="A277">
        <v>8685</v>
      </c>
      <c r="B277" t="s">
        <v>99</v>
      </c>
      <c r="C277" s="1">
        <v>45360</v>
      </c>
      <c r="D277" s="1">
        <v>45616</v>
      </c>
      <c r="E277">
        <v>11.99</v>
      </c>
      <c r="F277">
        <v>446</v>
      </c>
      <c r="G277" t="s">
        <v>46</v>
      </c>
      <c r="H277">
        <v>5</v>
      </c>
      <c r="I277">
        <v>3</v>
      </c>
      <c r="J277" t="b">
        <v>1</v>
      </c>
      <c r="K277">
        <v>831</v>
      </c>
      <c r="L277">
        <v>37</v>
      </c>
      <c r="M277" t="s">
        <v>74</v>
      </c>
      <c r="N277" t="s">
        <v>26</v>
      </c>
      <c r="O277" t="s">
        <v>56</v>
      </c>
      <c r="P277">
        <v>54</v>
      </c>
      <c r="Q277">
        <v>3.3</v>
      </c>
      <c r="R277" t="b">
        <v>1</v>
      </c>
      <c r="S277" t="s">
        <v>28</v>
      </c>
      <c r="T277">
        <v>3007</v>
      </c>
      <c r="U277" t="s">
        <v>51</v>
      </c>
      <c r="V277" t="s">
        <v>60</v>
      </c>
      <c r="W277" t="s">
        <v>37</v>
      </c>
    </row>
    <row r="278" spans="1:23" x14ac:dyDescent="0.3">
      <c r="A278">
        <v>8583</v>
      </c>
      <c r="B278" t="s">
        <v>87</v>
      </c>
      <c r="C278" s="1">
        <v>45612</v>
      </c>
      <c r="D278" s="1">
        <v>45623</v>
      </c>
      <c r="E278">
        <v>15.99</v>
      </c>
      <c r="F278">
        <v>352</v>
      </c>
      <c r="G278" t="s">
        <v>43</v>
      </c>
      <c r="H278">
        <v>3</v>
      </c>
      <c r="I278">
        <v>3</v>
      </c>
      <c r="J278" t="b">
        <v>0</v>
      </c>
      <c r="K278">
        <v>154</v>
      </c>
      <c r="L278">
        <v>148</v>
      </c>
      <c r="M278" t="s">
        <v>74</v>
      </c>
      <c r="N278" t="s">
        <v>40</v>
      </c>
      <c r="O278" t="s">
        <v>56</v>
      </c>
      <c r="P278">
        <v>39</v>
      </c>
      <c r="Q278">
        <v>4.7</v>
      </c>
      <c r="R278" t="b">
        <v>1</v>
      </c>
      <c r="S278" t="s">
        <v>28</v>
      </c>
      <c r="T278">
        <v>4588</v>
      </c>
      <c r="U278" t="s">
        <v>57</v>
      </c>
      <c r="V278" t="s">
        <v>30</v>
      </c>
      <c r="W278" t="s">
        <v>53</v>
      </c>
    </row>
    <row r="279" spans="1:23" x14ac:dyDescent="0.3">
      <c r="A279">
        <v>1062</v>
      </c>
      <c r="B279" t="s">
        <v>121</v>
      </c>
      <c r="C279" s="1">
        <v>45568</v>
      </c>
      <c r="D279" s="1">
        <v>45639</v>
      </c>
      <c r="E279">
        <v>7.99</v>
      </c>
      <c r="F279">
        <v>209</v>
      </c>
      <c r="G279" t="s">
        <v>43</v>
      </c>
      <c r="H279">
        <v>2</v>
      </c>
      <c r="I279">
        <v>6</v>
      </c>
      <c r="J279" t="b">
        <v>0</v>
      </c>
      <c r="K279">
        <v>707</v>
      </c>
      <c r="L279">
        <v>162</v>
      </c>
      <c r="M279" t="s">
        <v>25</v>
      </c>
      <c r="N279" t="s">
        <v>40</v>
      </c>
      <c r="O279" t="s">
        <v>34</v>
      </c>
      <c r="P279">
        <v>95</v>
      </c>
      <c r="Q279">
        <v>3.5</v>
      </c>
      <c r="R279" t="b">
        <v>1</v>
      </c>
      <c r="S279" t="s">
        <v>28</v>
      </c>
      <c r="T279">
        <v>73</v>
      </c>
      <c r="U279" t="s">
        <v>29</v>
      </c>
      <c r="V279" t="s">
        <v>68</v>
      </c>
      <c r="W279" t="s">
        <v>31</v>
      </c>
    </row>
    <row r="280" spans="1:23" x14ac:dyDescent="0.3">
      <c r="A280">
        <v>2593</v>
      </c>
      <c r="B280" t="s">
        <v>94</v>
      </c>
      <c r="C280" s="1">
        <v>44916</v>
      </c>
      <c r="D280" s="1">
        <v>45637</v>
      </c>
      <c r="E280">
        <v>7.99</v>
      </c>
      <c r="F280">
        <v>311</v>
      </c>
      <c r="G280" t="s">
        <v>55</v>
      </c>
      <c r="H280">
        <v>5</v>
      </c>
      <c r="I280">
        <v>6</v>
      </c>
      <c r="J280" t="b">
        <v>0</v>
      </c>
      <c r="K280">
        <v>587</v>
      </c>
      <c r="L280">
        <v>140</v>
      </c>
      <c r="M280" t="s">
        <v>48</v>
      </c>
      <c r="N280" t="s">
        <v>26</v>
      </c>
      <c r="O280" t="s">
        <v>41</v>
      </c>
      <c r="P280">
        <v>43</v>
      </c>
      <c r="Q280">
        <v>3.6</v>
      </c>
      <c r="R280" t="b">
        <v>1</v>
      </c>
      <c r="S280" t="s">
        <v>28</v>
      </c>
      <c r="T280">
        <v>4635</v>
      </c>
      <c r="U280" t="s">
        <v>29</v>
      </c>
      <c r="V280" t="s">
        <v>52</v>
      </c>
      <c r="W280" t="s">
        <v>75</v>
      </c>
    </row>
    <row r="281" spans="1:23" x14ac:dyDescent="0.3">
      <c r="A281">
        <v>3951</v>
      </c>
      <c r="B281" t="s">
        <v>236</v>
      </c>
      <c r="C281" s="1">
        <v>45103</v>
      </c>
      <c r="D281" s="1">
        <v>45632</v>
      </c>
      <c r="E281">
        <v>11.99</v>
      </c>
      <c r="F281">
        <v>293</v>
      </c>
      <c r="G281" t="s">
        <v>43</v>
      </c>
      <c r="H281">
        <v>3</v>
      </c>
      <c r="I281">
        <v>6</v>
      </c>
      <c r="J281" t="b">
        <v>1</v>
      </c>
      <c r="K281">
        <v>158</v>
      </c>
      <c r="L281">
        <v>119</v>
      </c>
      <c r="M281" t="s">
        <v>48</v>
      </c>
      <c r="N281" t="s">
        <v>49</v>
      </c>
      <c r="O281" t="s">
        <v>50</v>
      </c>
      <c r="P281">
        <v>60</v>
      </c>
      <c r="Q281">
        <v>3.7</v>
      </c>
      <c r="R281" t="b">
        <v>0</v>
      </c>
      <c r="S281" t="s">
        <v>28</v>
      </c>
      <c r="T281">
        <v>1882</v>
      </c>
      <c r="U281" t="s">
        <v>65</v>
      </c>
      <c r="V281" t="s">
        <v>60</v>
      </c>
      <c r="W281" t="s">
        <v>31</v>
      </c>
    </row>
    <row r="282" spans="1:23" x14ac:dyDescent="0.3">
      <c r="A282">
        <v>8580</v>
      </c>
      <c r="B282" t="s">
        <v>237</v>
      </c>
      <c r="C282" s="1">
        <v>45445</v>
      </c>
      <c r="D282" s="1">
        <v>45636</v>
      </c>
      <c r="E282">
        <v>15.99</v>
      </c>
      <c r="F282">
        <v>119</v>
      </c>
      <c r="G282" t="s">
        <v>79</v>
      </c>
      <c r="H282">
        <v>4</v>
      </c>
      <c r="I282">
        <v>2</v>
      </c>
      <c r="J282" t="b">
        <v>0</v>
      </c>
      <c r="K282">
        <v>936</v>
      </c>
      <c r="L282">
        <v>188</v>
      </c>
      <c r="M282" t="s">
        <v>25</v>
      </c>
      <c r="N282" t="s">
        <v>64</v>
      </c>
      <c r="O282" t="s">
        <v>41</v>
      </c>
      <c r="P282">
        <v>59</v>
      </c>
      <c r="Q282">
        <v>4.0999999999999996</v>
      </c>
      <c r="R282" t="b">
        <v>1</v>
      </c>
      <c r="S282" t="s">
        <v>28</v>
      </c>
      <c r="T282">
        <v>1690</v>
      </c>
      <c r="U282" t="s">
        <v>35</v>
      </c>
      <c r="V282" t="s">
        <v>36</v>
      </c>
      <c r="W282" t="s">
        <v>75</v>
      </c>
    </row>
    <row r="283" spans="1:23" x14ac:dyDescent="0.3">
      <c r="A283">
        <v>4372</v>
      </c>
      <c r="B283" t="s">
        <v>109</v>
      </c>
      <c r="C283" s="1">
        <v>44944</v>
      </c>
      <c r="D283" s="1">
        <v>45631</v>
      </c>
      <c r="E283">
        <v>15.99</v>
      </c>
      <c r="F283">
        <v>329</v>
      </c>
      <c r="G283" t="s">
        <v>43</v>
      </c>
      <c r="H283">
        <v>2</v>
      </c>
      <c r="I283">
        <v>1</v>
      </c>
      <c r="J283" t="b">
        <v>0</v>
      </c>
      <c r="K283">
        <v>670</v>
      </c>
      <c r="L283">
        <v>94</v>
      </c>
      <c r="M283" t="s">
        <v>44</v>
      </c>
      <c r="N283" t="s">
        <v>26</v>
      </c>
      <c r="O283" t="s">
        <v>27</v>
      </c>
      <c r="P283">
        <v>61</v>
      </c>
      <c r="Q283">
        <v>3</v>
      </c>
      <c r="R283" t="b">
        <v>0</v>
      </c>
      <c r="S283" t="s">
        <v>28</v>
      </c>
      <c r="T283">
        <v>2572</v>
      </c>
      <c r="U283" t="s">
        <v>57</v>
      </c>
      <c r="V283" t="s">
        <v>30</v>
      </c>
      <c r="W283" t="s">
        <v>53</v>
      </c>
    </row>
    <row r="284" spans="1:23" x14ac:dyDescent="0.3">
      <c r="A284">
        <v>4463</v>
      </c>
      <c r="B284" t="s">
        <v>238</v>
      </c>
      <c r="C284" s="1">
        <v>45214</v>
      </c>
      <c r="D284" s="1">
        <v>45620</v>
      </c>
      <c r="E284">
        <v>15.99</v>
      </c>
      <c r="F284">
        <v>141</v>
      </c>
      <c r="G284" t="s">
        <v>55</v>
      </c>
      <c r="H284">
        <v>5</v>
      </c>
      <c r="I284">
        <v>5</v>
      </c>
      <c r="J284" t="b">
        <v>1</v>
      </c>
      <c r="K284">
        <v>636</v>
      </c>
      <c r="L284">
        <v>186</v>
      </c>
      <c r="M284" t="s">
        <v>44</v>
      </c>
      <c r="N284" t="s">
        <v>49</v>
      </c>
      <c r="O284" t="s">
        <v>41</v>
      </c>
      <c r="P284">
        <v>95</v>
      </c>
      <c r="Q284">
        <v>3.6</v>
      </c>
      <c r="R284" t="b">
        <v>0</v>
      </c>
      <c r="S284" t="s">
        <v>28</v>
      </c>
      <c r="T284">
        <v>3865</v>
      </c>
      <c r="U284" t="s">
        <v>57</v>
      </c>
      <c r="V284" t="s">
        <v>52</v>
      </c>
      <c r="W284" t="s">
        <v>31</v>
      </c>
    </row>
    <row r="285" spans="1:23" x14ac:dyDescent="0.3">
      <c r="A285">
        <v>7498</v>
      </c>
      <c r="B285" t="s">
        <v>239</v>
      </c>
      <c r="C285" s="1">
        <v>44966</v>
      </c>
      <c r="D285" s="1">
        <v>45620</v>
      </c>
      <c r="E285">
        <v>11.99</v>
      </c>
      <c r="F285">
        <v>15</v>
      </c>
      <c r="G285" t="s">
        <v>46</v>
      </c>
      <c r="H285">
        <v>1</v>
      </c>
      <c r="I285">
        <v>3</v>
      </c>
      <c r="J285" t="b">
        <v>1</v>
      </c>
      <c r="K285">
        <v>700</v>
      </c>
      <c r="L285">
        <v>64</v>
      </c>
      <c r="M285" t="s">
        <v>59</v>
      </c>
      <c r="N285" t="s">
        <v>64</v>
      </c>
      <c r="O285" t="s">
        <v>50</v>
      </c>
      <c r="P285">
        <v>35</v>
      </c>
      <c r="Q285">
        <v>4.7</v>
      </c>
      <c r="R285" t="b">
        <v>0</v>
      </c>
      <c r="S285" t="s">
        <v>28</v>
      </c>
      <c r="T285">
        <v>380</v>
      </c>
      <c r="U285" t="s">
        <v>57</v>
      </c>
      <c r="V285" t="s">
        <v>36</v>
      </c>
      <c r="W285" t="s">
        <v>31</v>
      </c>
    </row>
    <row r="286" spans="1:23" x14ac:dyDescent="0.3">
      <c r="A286">
        <v>9618</v>
      </c>
      <c r="B286" t="s">
        <v>151</v>
      </c>
      <c r="C286" s="1">
        <v>45613</v>
      </c>
      <c r="D286" s="1">
        <v>45626</v>
      </c>
      <c r="E286">
        <v>11.99</v>
      </c>
      <c r="F286">
        <v>30</v>
      </c>
      <c r="G286" t="s">
        <v>62</v>
      </c>
      <c r="H286">
        <v>5</v>
      </c>
      <c r="I286">
        <v>4</v>
      </c>
      <c r="J286" t="b">
        <v>1</v>
      </c>
      <c r="K286">
        <v>310</v>
      </c>
      <c r="L286">
        <v>162</v>
      </c>
      <c r="M286" t="s">
        <v>59</v>
      </c>
      <c r="N286" t="s">
        <v>40</v>
      </c>
      <c r="O286" t="s">
        <v>34</v>
      </c>
      <c r="P286">
        <v>30</v>
      </c>
      <c r="Q286">
        <v>3.1</v>
      </c>
      <c r="R286" t="b">
        <v>1</v>
      </c>
      <c r="S286" t="s">
        <v>28</v>
      </c>
      <c r="T286">
        <v>3566</v>
      </c>
      <c r="U286" t="s">
        <v>51</v>
      </c>
      <c r="V286" t="s">
        <v>36</v>
      </c>
      <c r="W286" t="s">
        <v>37</v>
      </c>
    </row>
    <row r="287" spans="1:23" x14ac:dyDescent="0.3">
      <c r="A287">
        <v>1813</v>
      </c>
      <c r="B287" t="s">
        <v>240</v>
      </c>
      <c r="C287" s="1">
        <v>45464</v>
      </c>
      <c r="D287" s="1">
        <v>45625</v>
      </c>
      <c r="E287">
        <v>11.99</v>
      </c>
      <c r="F287">
        <v>145</v>
      </c>
      <c r="G287" t="s">
        <v>55</v>
      </c>
      <c r="H287">
        <v>2</v>
      </c>
      <c r="I287">
        <v>4</v>
      </c>
      <c r="J287" t="b">
        <v>0</v>
      </c>
      <c r="K287">
        <v>237</v>
      </c>
      <c r="L287">
        <v>32</v>
      </c>
      <c r="M287" t="s">
        <v>59</v>
      </c>
      <c r="N287" t="s">
        <v>64</v>
      </c>
      <c r="O287" t="s">
        <v>67</v>
      </c>
      <c r="P287">
        <v>39</v>
      </c>
      <c r="Q287">
        <v>4.8</v>
      </c>
      <c r="R287" t="b">
        <v>0</v>
      </c>
      <c r="S287" t="s">
        <v>28</v>
      </c>
      <c r="T287">
        <v>1835</v>
      </c>
      <c r="U287" t="s">
        <v>35</v>
      </c>
      <c r="V287" t="s">
        <v>60</v>
      </c>
      <c r="W287" t="s">
        <v>53</v>
      </c>
    </row>
    <row r="288" spans="1:23" x14ac:dyDescent="0.3">
      <c r="A288">
        <v>3009</v>
      </c>
      <c r="B288" t="s">
        <v>241</v>
      </c>
      <c r="C288" s="1">
        <v>45559</v>
      </c>
      <c r="D288" s="1">
        <v>45639</v>
      </c>
      <c r="E288">
        <v>15.99</v>
      </c>
      <c r="F288">
        <v>250</v>
      </c>
      <c r="G288" t="s">
        <v>46</v>
      </c>
      <c r="H288">
        <v>4</v>
      </c>
      <c r="I288">
        <v>3</v>
      </c>
      <c r="J288" t="b">
        <v>0</v>
      </c>
      <c r="K288">
        <v>774</v>
      </c>
      <c r="L288">
        <v>88</v>
      </c>
      <c r="M288" t="s">
        <v>59</v>
      </c>
      <c r="N288" t="s">
        <v>40</v>
      </c>
      <c r="O288" t="s">
        <v>41</v>
      </c>
      <c r="P288">
        <v>64</v>
      </c>
      <c r="Q288">
        <v>3.3</v>
      </c>
      <c r="R288" t="b">
        <v>0</v>
      </c>
      <c r="S288" t="s">
        <v>28</v>
      </c>
      <c r="T288">
        <v>1882</v>
      </c>
      <c r="U288" t="s">
        <v>35</v>
      </c>
      <c r="V288" t="s">
        <v>52</v>
      </c>
      <c r="W288" t="s">
        <v>53</v>
      </c>
    </row>
    <row r="289" spans="1:23" x14ac:dyDescent="0.3">
      <c r="A289">
        <v>8210</v>
      </c>
      <c r="B289" t="s">
        <v>85</v>
      </c>
      <c r="C289" s="1">
        <v>44931</v>
      </c>
      <c r="D289" s="1">
        <v>45618</v>
      </c>
      <c r="E289">
        <v>15.99</v>
      </c>
      <c r="F289">
        <v>243</v>
      </c>
      <c r="G289" t="s">
        <v>55</v>
      </c>
      <c r="H289">
        <v>2</v>
      </c>
      <c r="I289">
        <v>6</v>
      </c>
      <c r="J289" t="b">
        <v>1</v>
      </c>
      <c r="K289">
        <v>532</v>
      </c>
      <c r="L289">
        <v>110</v>
      </c>
      <c r="M289" t="s">
        <v>63</v>
      </c>
      <c r="N289" t="s">
        <v>26</v>
      </c>
      <c r="O289" t="s">
        <v>50</v>
      </c>
      <c r="P289">
        <v>73</v>
      </c>
      <c r="Q289">
        <v>4.7</v>
      </c>
      <c r="R289" t="b">
        <v>0</v>
      </c>
      <c r="S289" t="s">
        <v>28</v>
      </c>
      <c r="T289">
        <v>525</v>
      </c>
      <c r="U289" t="s">
        <v>29</v>
      </c>
      <c r="V289" t="s">
        <v>60</v>
      </c>
      <c r="W289" t="s">
        <v>75</v>
      </c>
    </row>
    <row r="290" spans="1:23" x14ac:dyDescent="0.3">
      <c r="A290">
        <v>8439</v>
      </c>
      <c r="B290" t="s">
        <v>242</v>
      </c>
      <c r="C290" s="1">
        <v>45133</v>
      </c>
      <c r="D290" s="1">
        <v>45617</v>
      </c>
      <c r="E290">
        <v>11.99</v>
      </c>
      <c r="F290">
        <v>392</v>
      </c>
      <c r="G290" t="s">
        <v>55</v>
      </c>
      <c r="H290">
        <v>4</v>
      </c>
      <c r="I290">
        <v>1</v>
      </c>
      <c r="J290" t="b">
        <v>1</v>
      </c>
      <c r="K290">
        <v>813</v>
      </c>
      <c r="L290">
        <v>2</v>
      </c>
      <c r="M290" t="s">
        <v>44</v>
      </c>
      <c r="N290" t="s">
        <v>64</v>
      </c>
      <c r="O290" t="s">
        <v>56</v>
      </c>
      <c r="P290">
        <v>57</v>
      </c>
      <c r="Q290">
        <v>3</v>
      </c>
      <c r="R290" t="b">
        <v>1</v>
      </c>
      <c r="S290" t="s">
        <v>28</v>
      </c>
      <c r="T290">
        <v>1025</v>
      </c>
      <c r="U290" t="s">
        <v>35</v>
      </c>
      <c r="V290" t="s">
        <v>52</v>
      </c>
      <c r="W290" t="s">
        <v>75</v>
      </c>
    </row>
    <row r="291" spans="1:23" x14ac:dyDescent="0.3">
      <c r="A291">
        <v>8310</v>
      </c>
      <c r="B291" t="s">
        <v>213</v>
      </c>
      <c r="C291" s="1">
        <v>45075</v>
      </c>
      <c r="D291" s="1">
        <v>45637</v>
      </c>
      <c r="E291">
        <v>11.99</v>
      </c>
      <c r="F291">
        <v>389</v>
      </c>
      <c r="G291" t="s">
        <v>33</v>
      </c>
      <c r="H291">
        <v>5</v>
      </c>
      <c r="I291">
        <v>4</v>
      </c>
      <c r="J291" t="b">
        <v>0</v>
      </c>
      <c r="K291">
        <v>727</v>
      </c>
      <c r="L291">
        <v>26</v>
      </c>
      <c r="M291" t="s">
        <v>63</v>
      </c>
      <c r="N291" t="s">
        <v>26</v>
      </c>
      <c r="O291" t="s">
        <v>56</v>
      </c>
      <c r="P291">
        <v>67</v>
      </c>
      <c r="Q291">
        <v>3.4</v>
      </c>
      <c r="R291" t="b">
        <v>0</v>
      </c>
      <c r="S291" t="s">
        <v>28</v>
      </c>
      <c r="T291">
        <v>2508</v>
      </c>
      <c r="U291" t="s">
        <v>29</v>
      </c>
      <c r="V291" t="s">
        <v>60</v>
      </c>
      <c r="W291" t="s">
        <v>75</v>
      </c>
    </row>
    <row r="292" spans="1:23" x14ac:dyDescent="0.3">
      <c r="A292">
        <v>6369</v>
      </c>
      <c r="B292" t="s">
        <v>102</v>
      </c>
      <c r="C292" s="1">
        <v>45222</v>
      </c>
      <c r="D292" s="1">
        <v>45623</v>
      </c>
      <c r="E292">
        <v>7.99</v>
      </c>
      <c r="F292">
        <v>414</v>
      </c>
      <c r="G292" t="s">
        <v>55</v>
      </c>
      <c r="H292">
        <v>4</v>
      </c>
      <c r="I292">
        <v>6</v>
      </c>
      <c r="J292" t="b">
        <v>1</v>
      </c>
      <c r="K292">
        <v>271</v>
      </c>
      <c r="L292">
        <v>51</v>
      </c>
      <c r="M292" t="s">
        <v>48</v>
      </c>
      <c r="N292" t="s">
        <v>26</v>
      </c>
      <c r="O292" t="s">
        <v>34</v>
      </c>
      <c r="P292">
        <v>8</v>
      </c>
      <c r="Q292">
        <v>4.3</v>
      </c>
      <c r="R292" t="b">
        <v>0</v>
      </c>
      <c r="S292" t="s">
        <v>28</v>
      </c>
      <c r="T292">
        <v>1546</v>
      </c>
      <c r="U292" t="s">
        <v>35</v>
      </c>
      <c r="V292" t="s">
        <v>36</v>
      </c>
      <c r="W292" t="s">
        <v>37</v>
      </c>
    </row>
    <row r="293" spans="1:23" x14ac:dyDescent="0.3">
      <c r="A293">
        <v>5721</v>
      </c>
      <c r="B293" t="s">
        <v>243</v>
      </c>
      <c r="C293" s="1">
        <v>45088</v>
      </c>
      <c r="D293" s="1">
        <v>45638</v>
      </c>
      <c r="E293">
        <v>15.99</v>
      </c>
      <c r="F293">
        <v>415</v>
      </c>
      <c r="G293" t="s">
        <v>46</v>
      </c>
      <c r="H293">
        <v>2</v>
      </c>
      <c r="I293">
        <v>1</v>
      </c>
      <c r="J293" t="b">
        <v>0</v>
      </c>
      <c r="K293">
        <v>958</v>
      </c>
      <c r="L293">
        <v>192</v>
      </c>
      <c r="M293" t="s">
        <v>25</v>
      </c>
      <c r="N293" t="s">
        <v>49</v>
      </c>
      <c r="O293" t="s">
        <v>34</v>
      </c>
      <c r="P293">
        <v>22</v>
      </c>
      <c r="Q293">
        <v>4.8</v>
      </c>
      <c r="R293" t="b">
        <v>1</v>
      </c>
      <c r="S293" t="s">
        <v>28</v>
      </c>
      <c r="T293">
        <v>1955</v>
      </c>
      <c r="U293" t="s">
        <v>65</v>
      </c>
      <c r="V293" t="s">
        <v>30</v>
      </c>
      <c r="W293" t="s">
        <v>75</v>
      </c>
    </row>
    <row r="294" spans="1:23" x14ac:dyDescent="0.3">
      <c r="A294">
        <v>4204</v>
      </c>
      <c r="B294" t="s">
        <v>114</v>
      </c>
      <c r="C294" s="1">
        <v>45242</v>
      </c>
      <c r="D294" s="1">
        <v>45640</v>
      </c>
      <c r="E294">
        <v>11.99</v>
      </c>
      <c r="F294">
        <v>494</v>
      </c>
      <c r="G294" t="s">
        <v>55</v>
      </c>
      <c r="H294">
        <v>5</v>
      </c>
      <c r="I294">
        <v>6</v>
      </c>
      <c r="J294" t="b">
        <v>1</v>
      </c>
      <c r="K294">
        <v>202</v>
      </c>
      <c r="L294">
        <v>163</v>
      </c>
      <c r="M294" t="s">
        <v>44</v>
      </c>
      <c r="N294" t="s">
        <v>40</v>
      </c>
      <c r="O294" t="s">
        <v>50</v>
      </c>
      <c r="P294">
        <v>61</v>
      </c>
      <c r="Q294">
        <v>4</v>
      </c>
      <c r="R294" t="b">
        <v>1</v>
      </c>
      <c r="S294" t="s">
        <v>28</v>
      </c>
      <c r="T294">
        <v>4889</v>
      </c>
      <c r="U294" t="s">
        <v>65</v>
      </c>
      <c r="V294" t="s">
        <v>30</v>
      </c>
      <c r="W294" t="s">
        <v>53</v>
      </c>
    </row>
    <row r="295" spans="1:23" x14ac:dyDescent="0.3">
      <c r="A295">
        <v>5666</v>
      </c>
      <c r="B295" t="s">
        <v>176</v>
      </c>
      <c r="C295" s="1">
        <v>45038</v>
      </c>
      <c r="D295" s="1">
        <v>45616</v>
      </c>
      <c r="E295">
        <v>7.99</v>
      </c>
      <c r="F295">
        <v>109</v>
      </c>
      <c r="G295" t="s">
        <v>33</v>
      </c>
      <c r="H295">
        <v>4</v>
      </c>
      <c r="I295">
        <v>4</v>
      </c>
      <c r="J295" t="b">
        <v>1</v>
      </c>
      <c r="K295">
        <v>899</v>
      </c>
      <c r="L295">
        <v>11</v>
      </c>
      <c r="M295" t="s">
        <v>44</v>
      </c>
      <c r="N295" t="s">
        <v>49</v>
      </c>
      <c r="O295" t="s">
        <v>34</v>
      </c>
      <c r="P295">
        <v>63</v>
      </c>
      <c r="Q295">
        <v>4.3</v>
      </c>
      <c r="R295" t="b">
        <v>0</v>
      </c>
      <c r="S295" t="s">
        <v>28</v>
      </c>
      <c r="T295">
        <v>1185</v>
      </c>
      <c r="U295" t="s">
        <v>57</v>
      </c>
      <c r="V295" t="s">
        <v>52</v>
      </c>
      <c r="W295" t="s">
        <v>31</v>
      </c>
    </row>
    <row r="296" spans="1:23" x14ac:dyDescent="0.3">
      <c r="A296">
        <v>5943</v>
      </c>
      <c r="B296" t="s">
        <v>244</v>
      </c>
      <c r="C296" s="1">
        <v>45278</v>
      </c>
      <c r="D296" s="1">
        <v>45633</v>
      </c>
      <c r="E296">
        <v>7.99</v>
      </c>
      <c r="F296">
        <v>200</v>
      </c>
      <c r="G296" t="s">
        <v>79</v>
      </c>
      <c r="H296">
        <v>1</v>
      </c>
      <c r="I296">
        <v>2</v>
      </c>
      <c r="J296" t="b">
        <v>0</v>
      </c>
      <c r="K296">
        <v>465</v>
      </c>
      <c r="L296">
        <v>35</v>
      </c>
      <c r="M296" t="s">
        <v>48</v>
      </c>
      <c r="N296" t="s">
        <v>64</v>
      </c>
      <c r="O296" t="s">
        <v>41</v>
      </c>
      <c r="P296">
        <v>29</v>
      </c>
      <c r="Q296">
        <v>4.7</v>
      </c>
      <c r="R296" t="b">
        <v>1</v>
      </c>
      <c r="S296" t="s">
        <v>28</v>
      </c>
      <c r="T296">
        <v>3040</v>
      </c>
      <c r="U296" t="s">
        <v>35</v>
      </c>
      <c r="V296" t="s">
        <v>68</v>
      </c>
      <c r="W296" t="s">
        <v>37</v>
      </c>
    </row>
    <row r="297" spans="1:23" x14ac:dyDescent="0.3">
      <c r="A297">
        <v>3202</v>
      </c>
      <c r="B297" t="s">
        <v>47</v>
      </c>
      <c r="C297" s="1">
        <v>45345</v>
      </c>
      <c r="D297" s="1">
        <v>45630</v>
      </c>
      <c r="E297">
        <v>11.99</v>
      </c>
      <c r="F297">
        <v>134</v>
      </c>
      <c r="G297" t="s">
        <v>43</v>
      </c>
      <c r="H297">
        <v>4</v>
      </c>
      <c r="I297">
        <v>1</v>
      </c>
      <c r="J297" t="b">
        <v>1</v>
      </c>
      <c r="K297">
        <v>459</v>
      </c>
      <c r="L297">
        <v>105</v>
      </c>
      <c r="M297" t="s">
        <v>44</v>
      </c>
      <c r="N297" t="s">
        <v>64</v>
      </c>
      <c r="O297" t="s">
        <v>34</v>
      </c>
      <c r="P297">
        <v>3</v>
      </c>
      <c r="Q297">
        <v>3.7</v>
      </c>
      <c r="R297" t="b">
        <v>1</v>
      </c>
      <c r="S297" t="s">
        <v>28</v>
      </c>
      <c r="T297">
        <v>4729</v>
      </c>
      <c r="U297" t="s">
        <v>29</v>
      </c>
      <c r="V297" t="s">
        <v>60</v>
      </c>
      <c r="W297" t="s">
        <v>75</v>
      </c>
    </row>
    <row r="298" spans="1:23" x14ac:dyDescent="0.3">
      <c r="A298">
        <v>4512</v>
      </c>
      <c r="B298" t="s">
        <v>168</v>
      </c>
      <c r="C298" s="1">
        <v>44978</v>
      </c>
      <c r="D298" s="1">
        <v>45626</v>
      </c>
      <c r="E298">
        <v>11.99</v>
      </c>
      <c r="F298">
        <v>250</v>
      </c>
      <c r="G298" t="s">
        <v>46</v>
      </c>
      <c r="H298">
        <v>5</v>
      </c>
      <c r="I298">
        <v>2</v>
      </c>
      <c r="J298" t="b">
        <v>0</v>
      </c>
      <c r="K298">
        <v>611</v>
      </c>
      <c r="L298">
        <v>170</v>
      </c>
      <c r="M298" t="s">
        <v>44</v>
      </c>
      <c r="N298" t="s">
        <v>49</v>
      </c>
      <c r="O298" t="s">
        <v>56</v>
      </c>
      <c r="P298">
        <v>71</v>
      </c>
      <c r="Q298">
        <v>3.9</v>
      </c>
      <c r="R298" t="b">
        <v>0</v>
      </c>
      <c r="S298" t="s">
        <v>28</v>
      </c>
      <c r="T298">
        <v>4193</v>
      </c>
      <c r="U298" t="s">
        <v>29</v>
      </c>
      <c r="V298" t="s">
        <v>36</v>
      </c>
      <c r="W298" t="s">
        <v>37</v>
      </c>
    </row>
    <row r="299" spans="1:23" x14ac:dyDescent="0.3">
      <c r="A299">
        <v>2075</v>
      </c>
      <c r="B299" t="s">
        <v>215</v>
      </c>
      <c r="C299" s="1">
        <v>45593</v>
      </c>
      <c r="D299" s="1">
        <v>45635</v>
      </c>
      <c r="E299">
        <v>7.99</v>
      </c>
      <c r="F299">
        <v>305</v>
      </c>
      <c r="G299" t="s">
        <v>33</v>
      </c>
      <c r="H299">
        <v>2</v>
      </c>
      <c r="I299">
        <v>3</v>
      </c>
      <c r="J299" t="b">
        <v>1</v>
      </c>
      <c r="K299">
        <v>49</v>
      </c>
      <c r="L299">
        <v>146</v>
      </c>
      <c r="M299" t="s">
        <v>25</v>
      </c>
      <c r="N299" t="s">
        <v>40</v>
      </c>
      <c r="O299" t="s">
        <v>41</v>
      </c>
      <c r="P299">
        <v>48</v>
      </c>
      <c r="Q299">
        <v>4.5999999999999996</v>
      </c>
      <c r="R299" t="b">
        <v>0</v>
      </c>
      <c r="S299" t="s">
        <v>28</v>
      </c>
      <c r="T299">
        <v>4626</v>
      </c>
      <c r="U299" t="s">
        <v>51</v>
      </c>
      <c r="V299" t="s">
        <v>68</v>
      </c>
      <c r="W299" t="s">
        <v>53</v>
      </c>
    </row>
    <row r="300" spans="1:23" x14ac:dyDescent="0.3">
      <c r="A300">
        <v>4057</v>
      </c>
      <c r="B300" t="s">
        <v>245</v>
      </c>
      <c r="C300" s="1">
        <v>45422</v>
      </c>
      <c r="D300" s="1">
        <v>45624</v>
      </c>
      <c r="E300">
        <v>15.99</v>
      </c>
      <c r="F300">
        <v>256</v>
      </c>
      <c r="G300" t="s">
        <v>62</v>
      </c>
      <c r="H300">
        <v>5</v>
      </c>
      <c r="I300">
        <v>3</v>
      </c>
      <c r="J300" t="b">
        <v>0</v>
      </c>
      <c r="K300">
        <v>929</v>
      </c>
      <c r="L300">
        <v>89</v>
      </c>
      <c r="M300" t="s">
        <v>39</v>
      </c>
      <c r="N300" t="s">
        <v>26</v>
      </c>
      <c r="O300" t="s">
        <v>50</v>
      </c>
      <c r="P300">
        <v>89</v>
      </c>
      <c r="Q300">
        <v>3.3</v>
      </c>
      <c r="R300" t="b">
        <v>0</v>
      </c>
      <c r="S300" t="s">
        <v>28</v>
      </c>
      <c r="T300">
        <v>60</v>
      </c>
      <c r="U300" t="s">
        <v>29</v>
      </c>
      <c r="V300" t="s">
        <v>68</v>
      </c>
      <c r="W300" t="s">
        <v>53</v>
      </c>
    </row>
    <row r="301" spans="1:23" x14ac:dyDescent="0.3">
      <c r="A301">
        <v>5537</v>
      </c>
      <c r="B301" t="s">
        <v>140</v>
      </c>
      <c r="C301" s="1">
        <v>45547</v>
      </c>
      <c r="D301" s="1">
        <v>45615</v>
      </c>
      <c r="E301">
        <v>11.99</v>
      </c>
      <c r="F301">
        <v>214</v>
      </c>
      <c r="G301" t="s">
        <v>46</v>
      </c>
      <c r="H301">
        <v>1</v>
      </c>
      <c r="I301">
        <v>3</v>
      </c>
      <c r="J301" t="b">
        <v>0</v>
      </c>
      <c r="K301">
        <v>39</v>
      </c>
      <c r="L301">
        <v>89</v>
      </c>
      <c r="M301" t="s">
        <v>39</v>
      </c>
      <c r="N301" t="s">
        <v>40</v>
      </c>
      <c r="O301" t="s">
        <v>27</v>
      </c>
      <c r="P301">
        <v>37</v>
      </c>
      <c r="Q301">
        <v>3.5</v>
      </c>
      <c r="R301" t="b">
        <v>1</v>
      </c>
      <c r="S301" t="s">
        <v>28</v>
      </c>
      <c r="T301">
        <v>2597</v>
      </c>
      <c r="U301" t="s">
        <v>65</v>
      </c>
      <c r="V301" t="s">
        <v>60</v>
      </c>
      <c r="W301" t="s">
        <v>53</v>
      </c>
    </row>
    <row r="302" spans="1:23" x14ac:dyDescent="0.3">
      <c r="A302">
        <v>9520</v>
      </c>
      <c r="B302" t="s">
        <v>246</v>
      </c>
      <c r="C302" s="1">
        <v>45143</v>
      </c>
      <c r="D302" s="1">
        <v>45627</v>
      </c>
      <c r="E302">
        <v>11.99</v>
      </c>
      <c r="F302">
        <v>272</v>
      </c>
      <c r="G302" t="s">
        <v>79</v>
      </c>
      <c r="H302">
        <v>1</v>
      </c>
      <c r="I302">
        <v>2</v>
      </c>
      <c r="J302" t="b">
        <v>0</v>
      </c>
      <c r="K302">
        <v>520</v>
      </c>
      <c r="L302">
        <v>170</v>
      </c>
      <c r="M302" t="s">
        <v>63</v>
      </c>
      <c r="N302" t="s">
        <v>26</v>
      </c>
      <c r="O302" t="s">
        <v>34</v>
      </c>
      <c r="P302">
        <v>100</v>
      </c>
      <c r="Q302">
        <v>5</v>
      </c>
      <c r="R302" t="b">
        <v>0</v>
      </c>
      <c r="S302" t="s">
        <v>28</v>
      </c>
      <c r="T302">
        <v>260</v>
      </c>
      <c r="U302" t="s">
        <v>65</v>
      </c>
      <c r="V302" t="s">
        <v>68</v>
      </c>
      <c r="W302" t="s">
        <v>53</v>
      </c>
    </row>
    <row r="303" spans="1:23" x14ac:dyDescent="0.3">
      <c r="A303">
        <v>1081</v>
      </c>
      <c r="B303" t="s">
        <v>247</v>
      </c>
      <c r="C303" s="1">
        <v>45501</v>
      </c>
      <c r="D303" s="1">
        <v>45625</v>
      </c>
      <c r="E303">
        <v>15.99</v>
      </c>
      <c r="F303">
        <v>144</v>
      </c>
      <c r="G303" t="s">
        <v>33</v>
      </c>
      <c r="H303">
        <v>3</v>
      </c>
      <c r="I303">
        <v>4</v>
      </c>
      <c r="J303" t="b">
        <v>0</v>
      </c>
      <c r="K303">
        <v>501</v>
      </c>
      <c r="L303">
        <v>64</v>
      </c>
      <c r="M303" t="s">
        <v>39</v>
      </c>
      <c r="N303" t="s">
        <v>40</v>
      </c>
      <c r="O303" t="s">
        <v>56</v>
      </c>
      <c r="P303">
        <v>98</v>
      </c>
      <c r="Q303">
        <v>3.3</v>
      </c>
      <c r="R303" t="b">
        <v>0</v>
      </c>
      <c r="S303" t="s">
        <v>28</v>
      </c>
      <c r="T303">
        <v>1544</v>
      </c>
      <c r="U303" t="s">
        <v>65</v>
      </c>
      <c r="V303" t="s">
        <v>30</v>
      </c>
      <c r="W303" t="s">
        <v>31</v>
      </c>
    </row>
    <row r="304" spans="1:23" x14ac:dyDescent="0.3">
      <c r="A304">
        <v>7621</v>
      </c>
      <c r="B304" t="s">
        <v>246</v>
      </c>
      <c r="C304" s="1">
        <v>45175</v>
      </c>
      <c r="D304" s="1">
        <v>45632</v>
      </c>
      <c r="E304">
        <v>7.99</v>
      </c>
      <c r="F304">
        <v>381</v>
      </c>
      <c r="G304" t="s">
        <v>33</v>
      </c>
      <c r="H304">
        <v>5</v>
      </c>
      <c r="I304">
        <v>6</v>
      </c>
      <c r="J304" t="b">
        <v>0</v>
      </c>
      <c r="K304">
        <v>593</v>
      </c>
      <c r="L304">
        <v>46</v>
      </c>
      <c r="M304" t="s">
        <v>59</v>
      </c>
      <c r="N304" t="s">
        <v>40</v>
      </c>
      <c r="O304" t="s">
        <v>56</v>
      </c>
      <c r="P304">
        <v>10</v>
      </c>
      <c r="Q304">
        <v>4.5999999999999996</v>
      </c>
      <c r="R304" t="b">
        <v>1</v>
      </c>
      <c r="S304" t="s">
        <v>28</v>
      </c>
      <c r="T304">
        <v>4528</v>
      </c>
      <c r="U304" t="s">
        <v>65</v>
      </c>
      <c r="V304" t="s">
        <v>68</v>
      </c>
      <c r="W304" t="s">
        <v>37</v>
      </c>
    </row>
    <row r="305" spans="1:23" x14ac:dyDescent="0.3">
      <c r="A305">
        <v>4558</v>
      </c>
      <c r="B305" t="s">
        <v>136</v>
      </c>
      <c r="C305" s="1">
        <v>44944</v>
      </c>
      <c r="D305" s="1">
        <v>45616</v>
      </c>
      <c r="E305">
        <v>11.99</v>
      </c>
      <c r="F305">
        <v>292</v>
      </c>
      <c r="G305" t="s">
        <v>33</v>
      </c>
      <c r="H305">
        <v>4</v>
      </c>
      <c r="I305">
        <v>2</v>
      </c>
      <c r="J305" t="b">
        <v>1</v>
      </c>
      <c r="K305">
        <v>109</v>
      </c>
      <c r="L305">
        <v>68</v>
      </c>
      <c r="M305" t="s">
        <v>63</v>
      </c>
      <c r="N305" t="s">
        <v>49</v>
      </c>
      <c r="O305" t="s">
        <v>56</v>
      </c>
      <c r="P305">
        <v>95</v>
      </c>
      <c r="Q305">
        <v>4.3</v>
      </c>
      <c r="R305" t="b">
        <v>0</v>
      </c>
      <c r="S305" t="s">
        <v>28</v>
      </c>
      <c r="T305">
        <v>1127</v>
      </c>
      <c r="U305" t="s">
        <v>57</v>
      </c>
      <c r="V305" t="s">
        <v>68</v>
      </c>
      <c r="W305" t="s">
        <v>37</v>
      </c>
    </row>
    <row r="306" spans="1:23" x14ac:dyDescent="0.3">
      <c r="A306">
        <v>6628</v>
      </c>
      <c r="B306" t="s">
        <v>220</v>
      </c>
      <c r="C306" s="1">
        <v>45013</v>
      </c>
      <c r="D306" s="1">
        <v>45641</v>
      </c>
      <c r="E306">
        <v>11.99</v>
      </c>
      <c r="F306">
        <v>358</v>
      </c>
      <c r="G306" t="s">
        <v>79</v>
      </c>
      <c r="H306">
        <v>4</v>
      </c>
      <c r="I306">
        <v>3</v>
      </c>
      <c r="J306" t="b">
        <v>0</v>
      </c>
      <c r="K306">
        <v>472</v>
      </c>
      <c r="L306">
        <v>65</v>
      </c>
      <c r="M306" t="s">
        <v>48</v>
      </c>
      <c r="N306" t="s">
        <v>40</v>
      </c>
      <c r="O306" t="s">
        <v>50</v>
      </c>
      <c r="P306">
        <v>92</v>
      </c>
      <c r="Q306">
        <v>4</v>
      </c>
      <c r="R306" t="b">
        <v>0</v>
      </c>
      <c r="S306" t="s">
        <v>28</v>
      </c>
      <c r="T306">
        <v>4542</v>
      </c>
      <c r="U306" t="s">
        <v>29</v>
      </c>
      <c r="V306" t="s">
        <v>60</v>
      </c>
      <c r="W306" t="s">
        <v>37</v>
      </c>
    </row>
    <row r="307" spans="1:23" x14ac:dyDescent="0.3">
      <c r="A307">
        <v>7643</v>
      </c>
      <c r="B307" t="s">
        <v>248</v>
      </c>
      <c r="C307" s="1">
        <v>45483</v>
      </c>
      <c r="D307" s="1">
        <v>45629</v>
      </c>
      <c r="E307">
        <v>15.99</v>
      </c>
      <c r="F307">
        <v>426</v>
      </c>
      <c r="G307" t="s">
        <v>43</v>
      </c>
      <c r="H307">
        <v>1</v>
      </c>
      <c r="I307">
        <v>6</v>
      </c>
      <c r="J307" t="b">
        <v>1</v>
      </c>
      <c r="K307">
        <v>229</v>
      </c>
      <c r="L307">
        <v>120</v>
      </c>
      <c r="M307" t="s">
        <v>25</v>
      </c>
      <c r="N307" t="s">
        <v>26</v>
      </c>
      <c r="O307" t="s">
        <v>67</v>
      </c>
      <c r="P307">
        <v>38</v>
      </c>
      <c r="Q307">
        <v>3.3</v>
      </c>
      <c r="R307" t="b">
        <v>1</v>
      </c>
      <c r="S307" t="s">
        <v>28</v>
      </c>
      <c r="T307">
        <v>1436</v>
      </c>
      <c r="U307" t="s">
        <v>29</v>
      </c>
      <c r="V307" t="s">
        <v>68</v>
      </c>
      <c r="W307" t="s">
        <v>53</v>
      </c>
    </row>
    <row r="308" spans="1:23" x14ac:dyDescent="0.3">
      <c r="A308">
        <v>4709</v>
      </c>
      <c r="B308" t="s">
        <v>249</v>
      </c>
      <c r="C308" s="1">
        <v>45191</v>
      </c>
      <c r="D308" s="1">
        <v>45620</v>
      </c>
      <c r="E308">
        <v>11.99</v>
      </c>
      <c r="F308">
        <v>474</v>
      </c>
      <c r="G308" t="s">
        <v>62</v>
      </c>
      <c r="H308">
        <v>5</v>
      </c>
      <c r="I308">
        <v>1</v>
      </c>
      <c r="J308" t="b">
        <v>0</v>
      </c>
      <c r="K308">
        <v>487</v>
      </c>
      <c r="L308">
        <v>107</v>
      </c>
      <c r="M308" t="s">
        <v>59</v>
      </c>
      <c r="N308" t="s">
        <v>40</v>
      </c>
      <c r="O308" t="s">
        <v>34</v>
      </c>
      <c r="P308">
        <v>66</v>
      </c>
      <c r="Q308">
        <v>4</v>
      </c>
      <c r="R308" t="b">
        <v>0</v>
      </c>
      <c r="S308" t="s">
        <v>28</v>
      </c>
      <c r="T308">
        <v>4438</v>
      </c>
      <c r="U308" t="s">
        <v>35</v>
      </c>
      <c r="V308" t="s">
        <v>60</v>
      </c>
      <c r="W308" t="s">
        <v>31</v>
      </c>
    </row>
    <row r="309" spans="1:23" x14ac:dyDescent="0.3">
      <c r="A309">
        <v>8408</v>
      </c>
      <c r="B309" t="s">
        <v>119</v>
      </c>
      <c r="C309" s="1">
        <v>45135</v>
      </c>
      <c r="D309" s="1">
        <v>45638</v>
      </c>
      <c r="E309">
        <v>7.99</v>
      </c>
      <c r="F309">
        <v>286</v>
      </c>
      <c r="G309" t="s">
        <v>46</v>
      </c>
      <c r="H309">
        <v>2</v>
      </c>
      <c r="I309">
        <v>5</v>
      </c>
      <c r="J309" t="b">
        <v>1</v>
      </c>
      <c r="K309">
        <v>543</v>
      </c>
      <c r="L309">
        <v>16</v>
      </c>
      <c r="M309" t="s">
        <v>25</v>
      </c>
      <c r="N309" t="s">
        <v>49</v>
      </c>
      <c r="O309" t="s">
        <v>41</v>
      </c>
      <c r="P309">
        <v>8</v>
      </c>
      <c r="Q309">
        <v>3.7</v>
      </c>
      <c r="R309" t="b">
        <v>1</v>
      </c>
      <c r="S309" t="s">
        <v>28</v>
      </c>
      <c r="T309">
        <v>3130</v>
      </c>
      <c r="U309" t="s">
        <v>29</v>
      </c>
      <c r="V309" t="s">
        <v>30</v>
      </c>
      <c r="W309" t="s">
        <v>75</v>
      </c>
    </row>
    <row r="310" spans="1:23" x14ac:dyDescent="0.3">
      <c r="A310">
        <v>3530</v>
      </c>
      <c r="B310" t="s">
        <v>250</v>
      </c>
      <c r="C310" s="1">
        <v>45575</v>
      </c>
      <c r="D310" s="1">
        <v>45632</v>
      </c>
      <c r="E310">
        <v>15.99</v>
      </c>
      <c r="F310">
        <v>498</v>
      </c>
      <c r="G310" t="s">
        <v>33</v>
      </c>
      <c r="H310">
        <v>5</v>
      </c>
      <c r="I310">
        <v>6</v>
      </c>
      <c r="J310" t="b">
        <v>0</v>
      </c>
      <c r="K310">
        <v>105</v>
      </c>
      <c r="L310">
        <v>35</v>
      </c>
      <c r="M310" t="s">
        <v>48</v>
      </c>
      <c r="N310" t="s">
        <v>40</v>
      </c>
      <c r="O310" t="s">
        <v>56</v>
      </c>
      <c r="P310">
        <v>6</v>
      </c>
      <c r="Q310">
        <v>3.9</v>
      </c>
      <c r="R310" t="b">
        <v>1</v>
      </c>
      <c r="S310" t="s">
        <v>28</v>
      </c>
      <c r="T310">
        <v>3379</v>
      </c>
      <c r="U310" t="s">
        <v>35</v>
      </c>
      <c r="V310" t="s">
        <v>36</v>
      </c>
      <c r="W310" t="s">
        <v>31</v>
      </c>
    </row>
    <row r="311" spans="1:23" x14ac:dyDescent="0.3">
      <c r="A311">
        <v>3779</v>
      </c>
      <c r="B311" t="s">
        <v>188</v>
      </c>
      <c r="C311" s="1">
        <v>45464</v>
      </c>
      <c r="D311" s="1">
        <v>45641</v>
      </c>
      <c r="E311">
        <v>11.99</v>
      </c>
      <c r="F311">
        <v>32</v>
      </c>
      <c r="G311" t="s">
        <v>33</v>
      </c>
      <c r="H311">
        <v>2</v>
      </c>
      <c r="I311">
        <v>4</v>
      </c>
      <c r="J311" t="b">
        <v>0</v>
      </c>
      <c r="K311">
        <v>334</v>
      </c>
      <c r="L311">
        <v>151</v>
      </c>
      <c r="M311" t="s">
        <v>44</v>
      </c>
      <c r="N311" t="s">
        <v>64</v>
      </c>
      <c r="O311" t="s">
        <v>50</v>
      </c>
      <c r="P311">
        <v>88</v>
      </c>
      <c r="Q311">
        <v>3.4</v>
      </c>
      <c r="R311" t="b">
        <v>0</v>
      </c>
      <c r="S311" t="s">
        <v>28</v>
      </c>
      <c r="T311">
        <v>3696</v>
      </c>
      <c r="U311" t="s">
        <v>65</v>
      </c>
      <c r="V311" t="s">
        <v>36</v>
      </c>
      <c r="W311" t="s">
        <v>37</v>
      </c>
    </row>
    <row r="312" spans="1:23" x14ac:dyDescent="0.3">
      <c r="A312">
        <v>8564</v>
      </c>
      <c r="B312" t="s">
        <v>135</v>
      </c>
      <c r="C312" s="1">
        <v>45033</v>
      </c>
      <c r="D312" s="1">
        <v>45627</v>
      </c>
      <c r="E312">
        <v>7.99</v>
      </c>
      <c r="F312">
        <v>84</v>
      </c>
      <c r="G312" t="s">
        <v>79</v>
      </c>
      <c r="H312">
        <v>1</v>
      </c>
      <c r="I312">
        <v>2</v>
      </c>
      <c r="J312" t="b">
        <v>1</v>
      </c>
      <c r="K312">
        <v>871</v>
      </c>
      <c r="L312">
        <v>187</v>
      </c>
      <c r="M312" t="s">
        <v>25</v>
      </c>
      <c r="N312" t="s">
        <v>40</v>
      </c>
      <c r="O312" t="s">
        <v>41</v>
      </c>
      <c r="P312">
        <v>96</v>
      </c>
      <c r="Q312">
        <v>4.5</v>
      </c>
      <c r="R312" t="b">
        <v>1</v>
      </c>
      <c r="S312" t="s">
        <v>28</v>
      </c>
      <c r="T312">
        <v>2416</v>
      </c>
      <c r="U312" t="s">
        <v>29</v>
      </c>
      <c r="V312" t="s">
        <v>60</v>
      </c>
      <c r="W312" t="s">
        <v>31</v>
      </c>
    </row>
    <row r="313" spans="1:23" x14ac:dyDescent="0.3">
      <c r="A313">
        <v>8731</v>
      </c>
      <c r="B313" t="s">
        <v>120</v>
      </c>
      <c r="C313" s="1">
        <v>45291</v>
      </c>
      <c r="D313" s="1">
        <v>45628</v>
      </c>
      <c r="E313">
        <v>15.99</v>
      </c>
      <c r="F313">
        <v>210</v>
      </c>
      <c r="G313" t="s">
        <v>79</v>
      </c>
      <c r="H313">
        <v>5</v>
      </c>
      <c r="I313">
        <v>5</v>
      </c>
      <c r="J313" t="b">
        <v>0</v>
      </c>
      <c r="K313">
        <v>206</v>
      </c>
      <c r="L313">
        <v>194</v>
      </c>
      <c r="M313" t="s">
        <v>39</v>
      </c>
      <c r="N313" t="s">
        <v>26</v>
      </c>
      <c r="O313" t="s">
        <v>27</v>
      </c>
      <c r="P313">
        <v>62</v>
      </c>
      <c r="Q313">
        <v>3.9</v>
      </c>
      <c r="R313" t="b">
        <v>0</v>
      </c>
      <c r="S313" t="s">
        <v>28</v>
      </c>
      <c r="T313">
        <v>2856</v>
      </c>
      <c r="U313" t="s">
        <v>29</v>
      </c>
      <c r="V313" t="s">
        <v>60</v>
      </c>
      <c r="W313" t="s">
        <v>37</v>
      </c>
    </row>
    <row r="314" spans="1:23" x14ac:dyDescent="0.3">
      <c r="A314">
        <v>5000</v>
      </c>
      <c r="B314" t="s">
        <v>106</v>
      </c>
      <c r="C314" s="1">
        <v>44972</v>
      </c>
      <c r="D314" s="1">
        <v>45620</v>
      </c>
      <c r="E314">
        <v>15.99</v>
      </c>
      <c r="F314">
        <v>231</v>
      </c>
      <c r="G314" t="s">
        <v>55</v>
      </c>
      <c r="H314">
        <v>3</v>
      </c>
      <c r="I314">
        <v>5</v>
      </c>
      <c r="J314" t="b">
        <v>1</v>
      </c>
      <c r="K314">
        <v>701</v>
      </c>
      <c r="L314">
        <v>173</v>
      </c>
      <c r="M314" t="s">
        <v>48</v>
      </c>
      <c r="N314" t="s">
        <v>49</v>
      </c>
      <c r="O314" t="s">
        <v>34</v>
      </c>
      <c r="P314">
        <v>65</v>
      </c>
      <c r="Q314">
        <v>3.4</v>
      </c>
      <c r="R314" t="b">
        <v>1</v>
      </c>
      <c r="S314" t="s">
        <v>28</v>
      </c>
      <c r="T314">
        <v>4177</v>
      </c>
      <c r="U314" t="s">
        <v>29</v>
      </c>
      <c r="V314" t="s">
        <v>52</v>
      </c>
      <c r="W314" t="s">
        <v>53</v>
      </c>
    </row>
    <row r="315" spans="1:23" x14ac:dyDescent="0.3">
      <c r="A315">
        <v>3882</v>
      </c>
      <c r="B315" t="s">
        <v>200</v>
      </c>
      <c r="C315" s="1">
        <v>45627</v>
      </c>
      <c r="D315" s="1">
        <v>45641</v>
      </c>
      <c r="E315">
        <v>15.99</v>
      </c>
      <c r="F315">
        <v>246</v>
      </c>
      <c r="G315" t="s">
        <v>33</v>
      </c>
      <c r="H315">
        <v>3</v>
      </c>
      <c r="I315">
        <v>3</v>
      </c>
      <c r="J315" t="b">
        <v>0</v>
      </c>
      <c r="K315">
        <v>505</v>
      </c>
      <c r="L315">
        <v>129</v>
      </c>
      <c r="M315" t="s">
        <v>39</v>
      </c>
      <c r="N315" t="s">
        <v>49</v>
      </c>
      <c r="O315" t="s">
        <v>56</v>
      </c>
      <c r="P315">
        <v>82</v>
      </c>
      <c r="Q315">
        <v>4.9000000000000004</v>
      </c>
      <c r="R315" t="b">
        <v>0</v>
      </c>
      <c r="S315" t="s">
        <v>28</v>
      </c>
      <c r="T315">
        <v>1912</v>
      </c>
      <c r="U315" t="s">
        <v>57</v>
      </c>
      <c r="V315" t="s">
        <v>52</v>
      </c>
      <c r="W315" t="s">
        <v>37</v>
      </c>
    </row>
    <row r="316" spans="1:23" x14ac:dyDescent="0.3">
      <c r="A316">
        <v>4551</v>
      </c>
      <c r="B316" t="s">
        <v>251</v>
      </c>
      <c r="C316" s="1">
        <v>45310</v>
      </c>
      <c r="D316" s="1">
        <v>45615</v>
      </c>
      <c r="E316">
        <v>11.99</v>
      </c>
      <c r="F316">
        <v>174</v>
      </c>
      <c r="G316" t="s">
        <v>79</v>
      </c>
      <c r="H316">
        <v>1</v>
      </c>
      <c r="I316">
        <v>6</v>
      </c>
      <c r="J316" t="b">
        <v>1</v>
      </c>
      <c r="K316">
        <v>239</v>
      </c>
      <c r="L316">
        <v>175</v>
      </c>
      <c r="M316" t="s">
        <v>25</v>
      </c>
      <c r="N316" t="s">
        <v>49</v>
      </c>
      <c r="O316" t="s">
        <v>56</v>
      </c>
      <c r="P316">
        <v>65</v>
      </c>
      <c r="Q316">
        <v>3.7</v>
      </c>
      <c r="R316" t="b">
        <v>0</v>
      </c>
      <c r="S316" t="s">
        <v>28</v>
      </c>
      <c r="T316">
        <v>2388</v>
      </c>
      <c r="U316" t="s">
        <v>65</v>
      </c>
      <c r="V316" t="s">
        <v>52</v>
      </c>
      <c r="W316" t="s">
        <v>53</v>
      </c>
    </row>
    <row r="317" spans="1:23" x14ac:dyDescent="0.3">
      <c r="A317">
        <v>7970</v>
      </c>
      <c r="B317" t="s">
        <v>114</v>
      </c>
      <c r="C317" s="1">
        <v>45128</v>
      </c>
      <c r="D317" s="1">
        <v>45615</v>
      </c>
      <c r="E317">
        <v>15.99</v>
      </c>
      <c r="F317">
        <v>298</v>
      </c>
      <c r="G317" t="s">
        <v>62</v>
      </c>
      <c r="H317">
        <v>3</v>
      </c>
      <c r="I317">
        <v>1</v>
      </c>
      <c r="J317" t="b">
        <v>1</v>
      </c>
      <c r="K317">
        <v>115</v>
      </c>
      <c r="L317">
        <v>168</v>
      </c>
      <c r="M317" t="s">
        <v>63</v>
      </c>
      <c r="N317" t="s">
        <v>26</v>
      </c>
      <c r="O317" t="s">
        <v>27</v>
      </c>
      <c r="P317">
        <v>27</v>
      </c>
      <c r="Q317">
        <v>3</v>
      </c>
      <c r="R317" t="b">
        <v>0</v>
      </c>
      <c r="S317" t="s">
        <v>28</v>
      </c>
      <c r="T317">
        <v>4216</v>
      </c>
      <c r="U317" t="s">
        <v>29</v>
      </c>
      <c r="V317" t="s">
        <v>68</v>
      </c>
      <c r="W317" t="s">
        <v>53</v>
      </c>
    </row>
    <row r="318" spans="1:23" x14ac:dyDescent="0.3">
      <c r="A318">
        <v>2466</v>
      </c>
      <c r="B318" t="s">
        <v>252</v>
      </c>
      <c r="C318" s="1">
        <v>45594</v>
      </c>
      <c r="D318" s="1">
        <v>45629</v>
      </c>
      <c r="E318">
        <v>11.99</v>
      </c>
      <c r="F318">
        <v>344</v>
      </c>
      <c r="G318" t="s">
        <v>46</v>
      </c>
      <c r="H318">
        <v>5</v>
      </c>
      <c r="I318">
        <v>2</v>
      </c>
      <c r="J318" t="b">
        <v>0</v>
      </c>
      <c r="K318">
        <v>142</v>
      </c>
      <c r="L318">
        <v>113</v>
      </c>
      <c r="M318" t="s">
        <v>25</v>
      </c>
      <c r="N318" t="s">
        <v>26</v>
      </c>
      <c r="O318" t="s">
        <v>34</v>
      </c>
      <c r="P318">
        <v>100</v>
      </c>
      <c r="Q318">
        <v>4.5999999999999996</v>
      </c>
      <c r="R318" t="b">
        <v>1</v>
      </c>
      <c r="S318" t="s">
        <v>28</v>
      </c>
      <c r="T318">
        <v>599</v>
      </c>
      <c r="U318" t="s">
        <v>57</v>
      </c>
      <c r="V318" t="s">
        <v>36</v>
      </c>
      <c r="W318" t="s">
        <v>75</v>
      </c>
    </row>
    <row r="319" spans="1:23" x14ac:dyDescent="0.3">
      <c r="A319">
        <v>1303</v>
      </c>
      <c r="B319" t="s">
        <v>100</v>
      </c>
      <c r="C319" s="1">
        <v>45094</v>
      </c>
      <c r="D319" s="1">
        <v>45630</v>
      </c>
      <c r="E319">
        <v>11.99</v>
      </c>
      <c r="F319">
        <v>264</v>
      </c>
      <c r="G319" t="s">
        <v>79</v>
      </c>
      <c r="H319">
        <v>2</v>
      </c>
      <c r="I319">
        <v>1</v>
      </c>
      <c r="J319" t="b">
        <v>1</v>
      </c>
      <c r="K319">
        <v>744</v>
      </c>
      <c r="L319">
        <v>33</v>
      </c>
      <c r="M319" t="s">
        <v>59</v>
      </c>
      <c r="N319" t="s">
        <v>64</v>
      </c>
      <c r="O319" t="s">
        <v>56</v>
      </c>
      <c r="P319">
        <v>29</v>
      </c>
      <c r="Q319">
        <v>4.9000000000000004</v>
      </c>
      <c r="R319" t="b">
        <v>1</v>
      </c>
      <c r="S319" t="s">
        <v>28</v>
      </c>
      <c r="T319">
        <v>804</v>
      </c>
      <c r="U319" t="s">
        <v>35</v>
      </c>
      <c r="V319" t="s">
        <v>36</v>
      </c>
      <c r="W319" t="s">
        <v>37</v>
      </c>
    </row>
    <row r="320" spans="1:23" x14ac:dyDescent="0.3">
      <c r="A320">
        <v>9832</v>
      </c>
      <c r="B320" t="s">
        <v>197</v>
      </c>
      <c r="C320" s="1">
        <v>44916</v>
      </c>
      <c r="D320" s="1">
        <v>45617</v>
      </c>
      <c r="E320">
        <v>7.99</v>
      </c>
      <c r="F320">
        <v>380</v>
      </c>
      <c r="G320" t="s">
        <v>33</v>
      </c>
      <c r="H320">
        <v>2</v>
      </c>
      <c r="I320">
        <v>5</v>
      </c>
      <c r="J320" t="b">
        <v>1</v>
      </c>
      <c r="K320">
        <v>820</v>
      </c>
      <c r="L320">
        <v>17</v>
      </c>
      <c r="M320" t="s">
        <v>59</v>
      </c>
      <c r="N320" t="s">
        <v>26</v>
      </c>
      <c r="O320" t="s">
        <v>67</v>
      </c>
      <c r="P320">
        <v>93</v>
      </c>
      <c r="Q320">
        <v>3</v>
      </c>
      <c r="R320" t="b">
        <v>0</v>
      </c>
      <c r="S320" t="s">
        <v>28</v>
      </c>
      <c r="T320">
        <v>4565</v>
      </c>
      <c r="U320" t="s">
        <v>57</v>
      </c>
      <c r="V320" t="s">
        <v>36</v>
      </c>
      <c r="W320" t="s">
        <v>37</v>
      </c>
    </row>
    <row r="321" spans="1:23" x14ac:dyDescent="0.3">
      <c r="A321">
        <v>3618</v>
      </c>
      <c r="B321" t="s">
        <v>184</v>
      </c>
      <c r="C321" s="1">
        <v>45325</v>
      </c>
      <c r="D321" s="1">
        <v>45629</v>
      </c>
      <c r="E321">
        <v>11.99</v>
      </c>
      <c r="F321">
        <v>160</v>
      </c>
      <c r="G321" t="s">
        <v>24</v>
      </c>
      <c r="H321">
        <v>2</v>
      </c>
      <c r="I321">
        <v>1</v>
      </c>
      <c r="J321" t="b">
        <v>0</v>
      </c>
      <c r="K321">
        <v>940</v>
      </c>
      <c r="L321">
        <v>50</v>
      </c>
      <c r="M321" t="s">
        <v>59</v>
      </c>
      <c r="N321" t="s">
        <v>64</v>
      </c>
      <c r="O321" t="s">
        <v>34</v>
      </c>
      <c r="P321">
        <v>71</v>
      </c>
      <c r="Q321">
        <v>3</v>
      </c>
      <c r="R321" t="b">
        <v>0</v>
      </c>
      <c r="S321" t="s">
        <v>28</v>
      </c>
      <c r="T321">
        <v>1095</v>
      </c>
      <c r="U321" t="s">
        <v>35</v>
      </c>
      <c r="V321" t="s">
        <v>68</v>
      </c>
      <c r="W321" t="s">
        <v>31</v>
      </c>
    </row>
    <row r="322" spans="1:23" x14ac:dyDescent="0.3">
      <c r="A322">
        <v>7424</v>
      </c>
      <c r="B322" t="s">
        <v>105</v>
      </c>
      <c r="C322" s="1">
        <v>45146</v>
      </c>
      <c r="D322" s="1">
        <v>45639</v>
      </c>
      <c r="E322">
        <v>7.99</v>
      </c>
      <c r="F322">
        <v>55</v>
      </c>
      <c r="G322" t="s">
        <v>62</v>
      </c>
      <c r="H322">
        <v>4</v>
      </c>
      <c r="I322">
        <v>6</v>
      </c>
      <c r="J322" t="b">
        <v>1</v>
      </c>
      <c r="K322">
        <v>135</v>
      </c>
      <c r="L322">
        <v>138</v>
      </c>
      <c r="M322" t="s">
        <v>63</v>
      </c>
      <c r="N322" t="s">
        <v>49</v>
      </c>
      <c r="O322" t="s">
        <v>67</v>
      </c>
      <c r="P322">
        <v>5</v>
      </c>
      <c r="Q322">
        <v>3.4</v>
      </c>
      <c r="R322" t="b">
        <v>0</v>
      </c>
      <c r="S322" t="s">
        <v>28</v>
      </c>
      <c r="T322">
        <v>1512</v>
      </c>
      <c r="U322" t="s">
        <v>65</v>
      </c>
      <c r="V322" t="s">
        <v>60</v>
      </c>
      <c r="W322" t="s">
        <v>37</v>
      </c>
    </row>
    <row r="323" spans="1:23" x14ac:dyDescent="0.3">
      <c r="A323">
        <v>8414</v>
      </c>
      <c r="B323" t="s">
        <v>105</v>
      </c>
      <c r="C323" s="1">
        <v>45304</v>
      </c>
      <c r="D323" s="1">
        <v>45618</v>
      </c>
      <c r="E323">
        <v>11.99</v>
      </c>
      <c r="F323">
        <v>70</v>
      </c>
      <c r="G323" t="s">
        <v>33</v>
      </c>
      <c r="H323">
        <v>2</v>
      </c>
      <c r="I323">
        <v>3</v>
      </c>
      <c r="J323" t="b">
        <v>1</v>
      </c>
      <c r="K323">
        <v>803</v>
      </c>
      <c r="L323">
        <v>51</v>
      </c>
      <c r="M323" t="s">
        <v>48</v>
      </c>
      <c r="N323" t="s">
        <v>64</v>
      </c>
      <c r="O323" t="s">
        <v>41</v>
      </c>
      <c r="P323">
        <v>24</v>
      </c>
      <c r="Q323">
        <v>3.8</v>
      </c>
      <c r="R323" t="b">
        <v>0</v>
      </c>
      <c r="S323" t="s">
        <v>28</v>
      </c>
      <c r="T323">
        <v>1422</v>
      </c>
      <c r="U323" t="s">
        <v>57</v>
      </c>
      <c r="V323" t="s">
        <v>68</v>
      </c>
      <c r="W323" t="s">
        <v>75</v>
      </c>
    </row>
    <row r="324" spans="1:23" x14ac:dyDescent="0.3">
      <c r="A324">
        <v>5688</v>
      </c>
      <c r="B324" t="s">
        <v>100</v>
      </c>
      <c r="C324" s="1">
        <v>45562</v>
      </c>
      <c r="D324" s="1">
        <v>45626</v>
      </c>
      <c r="E324">
        <v>7.99</v>
      </c>
      <c r="F324">
        <v>256</v>
      </c>
      <c r="G324" t="s">
        <v>33</v>
      </c>
      <c r="H324">
        <v>3</v>
      </c>
      <c r="I324">
        <v>3</v>
      </c>
      <c r="J324" t="b">
        <v>0</v>
      </c>
      <c r="K324">
        <v>322</v>
      </c>
      <c r="L324">
        <v>199</v>
      </c>
      <c r="M324" t="s">
        <v>39</v>
      </c>
      <c r="N324" t="s">
        <v>49</v>
      </c>
      <c r="O324" t="s">
        <v>56</v>
      </c>
      <c r="P324">
        <v>65</v>
      </c>
      <c r="Q324">
        <v>4.5</v>
      </c>
      <c r="R324" t="b">
        <v>0</v>
      </c>
      <c r="S324" t="s">
        <v>28</v>
      </c>
      <c r="T324">
        <v>147</v>
      </c>
      <c r="U324" t="s">
        <v>29</v>
      </c>
      <c r="V324" t="s">
        <v>60</v>
      </c>
      <c r="W324" t="s">
        <v>53</v>
      </c>
    </row>
    <row r="325" spans="1:23" x14ac:dyDescent="0.3">
      <c r="A325">
        <v>2062</v>
      </c>
      <c r="B325" t="s">
        <v>253</v>
      </c>
      <c r="C325" s="1">
        <v>45467</v>
      </c>
      <c r="D325" s="1">
        <v>45620</v>
      </c>
      <c r="E325">
        <v>15.99</v>
      </c>
      <c r="F325">
        <v>436</v>
      </c>
      <c r="G325" t="s">
        <v>46</v>
      </c>
      <c r="H325">
        <v>5</v>
      </c>
      <c r="I325">
        <v>6</v>
      </c>
      <c r="J325" t="b">
        <v>1</v>
      </c>
      <c r="K325">
        <v>424</v>
      </c>
      <c r="L325">
        <v>111</v>
      </c>
      <c r="M325" t="s">
        <v>74</v>
      </c>
      <c r="N325" t="s">
        <v>49</v>
      </c>
      <c r="O325" t="s">
        <v>34</v>
      </c>
      <c r="P325">
        <v>64</v>
      </c>
      <c r="Q325">
        <v>3.5</v>
      </c>
      <c r="R325" t="b">
        <v>1</v>
      </c>
      <c r="S325" t="s">
        <v>28</v>
      </c>
      <c r="T325">
        <v>4317</v>
      </c>
      <c r="U325" t="s">
        <v>51</v>
      </c>
      <c r="V325" t="s">
        <v>60</v>
      </c>
      <c r="W325" t="s">
        <v>31</v>
      </c>
    </row>
    <row r="326" spans="1:23" x14ac:dyDescent="0.3">
      <c r="A326">
        <v>5031</v>
      </c>
      <c r="B326" t="s">
        <v>254</v>
      </c>
      <c r="C326" s="1">
        <v>45142</v>
      </c>
      <c r="D326" s="1">
        <v>45623</v>
      </c>
      <c r="E326">
        <v>7.99</v>
      </c>
      <c r="F326">
        <v>394</v>
      </c>
      <c r="G326" t="s">
        <v>24</v>
      </c>
      <c r="H326">
        <v>2</v>
      </c>
      <c r="I326">
        <v>6</v>
      </c>
      <c r="J326" t="b">
        <v>1</v>
      </c>
      <c r="K326">
        <v>60</v>
      </c>
      <c r="L326">
        <v>159</v>
      </c>
      <c r="M326" t="s">
        <v>44</v>
      </c>
      <c r="N326" t="s">
        <v>26</v>
      </c>
      <c r="O326" t="s">
        <v>34</v>
      </c>
      <c r="P326">
        <v>51</v>
      </c>
      <c r="Q326">
        <v>3</v>
      </c>
      <c r="R326" t="b">
        <v>1</v>
      </c>
      <c r="S326" t="s">
        <v>28</v>
      </c>
      <c r="T326">
        <v>3197</v>
      </c>
      <c r="U326" t="s">
        <v>35</v>
      </c>
      <c r="V326" t="s">
        <v>52</v>
      </c>
      <c r="W326" t="s">
        <v>31</v>
      </c>
    </row>
    <row r="327" spans="1:23" x14ac:dyDescent="0.3">
      <c r="A327">
        <v>1162</v>
      </c>
      <c r="B327" t="s">
        <v>189</v>
      </c>
      <c r="C327" s="1">
        <v>44954</v>
      </c>
      <c r="D327" s="1">
        <v>45625</v>
      </c>
      <c r="E327">
        <v>15.99</v>
      </c>
      <c r="F327">
        <v>131</v>
      </c>
      <c r="G327" t="s">
        <v>43</v>
      </c>
      <c r="H327">
        <v>3</v>
      </c>
      <c r="I327">
        <v>3</v>
      </c>
      <c r="J327" t="b">
        <v>0</v>
      </c>
      <c r="K327">
        <v>865</v>
      </c>
      <c r="L327">
        <v>8</v>
      </c>
      <c r="M327" t="s">
        <v>48</v>
      </c>
      <c r="N327" t="s">
        <v>40</v>
      </c>
      <c r="O327" t="s">
        <v>50</v>
      </c>
      <c r="P327">
        <v>78</v>
      </c>
      <c r="Q327">
        <v>4.5999999999999996</v>
      </c>
      <c r="R327" t="b">
        <v>0</v>
      </c>
      <c r="S327" t="s">
        <v>28</v>
      </c>
      <c r="T327">
        <v>1413</v>
      </c>
      <c r="U327" t="s">
        <v>51</v>
      </c>
      <c r="V327" t="s">
        <v>60</v>
      </c>
      <c r="W327" t="s">
        <v>75</v>
      </c>
    </row>
    <row r="328" spans="1:23" x14ac:dyDescent="0.3">
      <c r="A328">
        <v>6564</v>
      </c>
      <c r="B328" t="s">
        <v>108</v>
      </c>
      <c r="C328" s="1">
        <v>45222</v>
      </c>
      <c r="D328" s="1">
        <v>45633</v>
      </c>
      <c r="E328">
        <v>11.99</v>
      </c>
      <c r="F328">
        <v>98</v>
      </c>
      <c r="G328" t="s">
        <v>33</v>
      </c>
      <c r="H328">
        <v>5</v>
      </c>
      <c r="I328">
        <v>2</v>
      </c>
      <c r="J328" t="b">
        <v>1</v>
      </c>
      <c r="K328">
        <v>526</v>
      </c>
      <c r="L328">
        <v>144</v>
      </c>
      <c r="M328" t="s">
        <v>25</v>
      </c>
      <c r="N328" t="s">
        <v>40</v>
      </c>
      <c r="O328" t="s">
        <v>56</v>
      </c>
      <c r="P328">
        <v>10</v>
      </c>
      <c r="Q328">
        <v>3.9</v>
      </c>
      <c r="R328" t="b">
        <v>1</v>
      </c>
      <c r="S328" t="s">
        <v>28</v>
      </c>
      <c r="T328">
        <v>747</v>
      </c>
      <c r="U328" t="s">
        <v>57</v>
      </c>
      <c r="V328" t="s">
        <v>36</v>
      </c>
      <c r="W328" t="s">
        <v>75</v>
      </c>
    </row>
    <row r="329" spans="1:23" x14ac:dyDescent="0.3">
      <c r="A329">
        <v>9298</v>
      </c>
      <c r="B329" t="s">
        <v>118</v>
      </c>
      <c r="C329" s="1">
        <v>45445</v>
      </c>
      <c r="D329" s="1">
        <v>45630</v>
      </c>
      <c r="E329">
        <v>11.99</v>
      </c>
      <c r="F329">
        <v>276</v>
      </c>
      <c r="G329" t="s">
        <v>62</v>
      </c>
      <c r="H329">
        <v>5</v>
      </c>
      <c r="I329">
        <v>4</v>
      </c>
      <c r="J329" t="b">
        <v>0</v>
      </c>
      <c r="K329">
        <v>389</v>
      </c>
      <c r="L329">
        <v>177</v>
      </c>
      <c r="M329" t="s">
        <v>74</v>
      </c>
      <c r="N329" t="s">
        <v>26</v>
      </c>
      <c r="O329" t="s">
        <v>56</v>
      </c>
      <c r="P329">
        <v>19</v>
      </c>
      <c r="Q329">
        <v>4.3</v>
      </c>
      <c r="R329" t="b">
        <v>0</v>
      </c>
      <c r="S329" t="s">
        <v>28</v>
      </c>
      <c r="T329">
        <v>1099</v>
      </c>
      <c r="U329" t="s">
        <v>65</v>
      </c>
      <c r="V329" t="s">
        <v>68</v>
      </c>
      <c r="W329" t="s">
        <v>37</v>
      </c>
    </row>
    <row r="330" spans="1:23" x14ac:dyDescent="0.3">
      <c r="A330">
        <v>4216</v>
      </c>
      <c r="B330" t="s">
        <v>255</v>
      </c>
      <c r="C330" s="1">
        <v>45365</v>
      </c>
      <c r="D330" s="1">
        <v>45615</v>
      </c>
      <c r="E330">
        <v>11.99</v>
      </c>
      <c r="F330">
        <v>251</v>
      </c>
      <c r="G330" t="s">
        <v>24</v>
      </c>
      <c r="H330">
        <v>3</v>
      </c>
      <c r="I330">
        <v>3</v>
      </c>
      <c r="J330" t="b">
        <v>0</v>
      </c>
      <c r="K330">
        <v>922</v>
      </c>
      <c r="L330">
        <v>106</v>
      </c>
      <c r="M330" t="s">
        <v>59</v>
      </c>
      <c r="N330" t="s">
        <v>40</v>
      </c>
      <c r="O330" t="s">
        <v>27</v>
      </c>
      <c r="P330">
        <v>56</v>
      </c>
      <c r="Q330">
        <v>4.3</v>
      </c>
      <c r="R330" t="b">
        <v>1</v>
      </c>
      <c r="S330" t="s">
        <v>28</v>
      </c>
      <c r="T330">
        <v>585</v>
      </c>
      <c r="U330" t="s">
        <v>29</v>
      </c>
      <c r="V330" t="s">
        <v>36</v>
      </c>
      <c r="W330" t="s">
        <v>31</v>
      </c>
    </row>
    <row r="331" spans="1:23" x14ac:dyDescent="0.3">
      <c r="A331">
        <v>3677</v>
      </c>
      <c r="B331" t="s">
        <v>147</v>
      </c>
      <c r="C331" s="1">
        <v>44993</v>
      </c>
      <c r="D331" s="1">
        <v>45625</v>
      </c>
      <c r="E331">
        <v>7.99</v>
      </c>
      <c r="F331">
        <v>233</v>
      </c>
      <c r="G331" t="s">
        <v>43</v>
      </c>
      <c r="H331">
        <v>4</v>
      </c>
      <c r="I331">
        <v>2</v>
      </c>
      <c r="J331" t="b">
        <v>1</v>
      </c>
      <c r="K331">
        <v>485</v>
      </c>
      <c r="L331">
        <v>37</v>
      </c>
      <c r="M331" t="s">
        <v>39</v>
      </c>
      <c r="N331" t="s">
        <v>26</v>
      </c>
      <c r="O331" t="s">
        <v>41</v>
      </c>
      <c r="P331">
        <v>47</v>
      </c>
      <c r="Q331">
        <v>3.4</v>
      </c>
      <c r="R331" t="b">
        <v>1</v>
      </c>
      <c r="S331" t="s">
        <v>28</v>
      </c>
      <c r="T331">
        <v>615</v>
      </c>
      <c r="U331" t="s">
        <v>29</v>
      </c>
      <c r="V331" t="s">
        <v>36</v>
      </c>
      <c r="W331" t="s">
        <v>75</v>
      </c>
    </row>
    <row r="332" spans="1:23" x14ac:dyDescent="0.3">
      <c r="A332">
        <v>8453</v>
      </c>
      <c r="B332" t="s">
        <v>213</v>
      </c>
      <c r="C332" s="1">
        <v>45429</v>
      </c>
      <c r="D332" s="1">
        <v>45623</v>
      </c>
      <c r="E332">
        <v>11.99</v>
      </c>
      <c r="F332">
        <v>136</v>
      </c>
      <c r="G332" t="s">
        <v>79</v>
      </c>
      <c r="H332">
        <v>2</v>
      </c>
      <c r="I332">
        <v>5</v>
      </c>
      <c r="J332" t="b">
        <v>1</v>
      </c>
      <c r="K332">
        <v>112</v>
      </c>
      <c r="L332">
        <v>181</v>
      </c>
      <c r="M332" t="s">
        <v>48</v>
      </c>
      <c r="N332" t="s">
        <v>64</v>
      </c>
      <c r="O332" t="s">
        <v>27</v>
      </c>
      <c r="P332">
        <v>15</v>
      </c>
      <c r="Q332">
        <v>3.6</v>
      </c>
      <c r="R332" t="b">
        <v>0</v>
      </c>
      <c r="S332" t="s">
        <v>28</v>
      </c>
      <c r="T332">
        <v>2634</v>
      </c>
      <c r="U332" t="s">
        <v>57</v>
      </c>
      <c r="V332" t="s">
        <v>52</v>
      </c>
      <c r="W332" t="s">
        <v>53</v>
      </c>
    </row>
    <row r="333" spans="1:23" x14ac:dyDescent="0.3">
      <c r="A333">
        <v>6231</v>
      </c>
      <c r="B333" t="s">
        <v>125</v>
      </c>
      <c r="C333" s="1">
        <v>44950</v>
      </c>
      <c r="D333" s="1">
        <v>45633</v>
      </c>
      <c r="E333">
        <v>15.99</v>
      </c>
      <c r="F333">
        <v>248</v>
      </c>
      <c r="G333" t="s">
        <v>55</v>
      </c>
      <c r="H333">
        <v>1</v>
      </c>
      <c r="I333">
        <v>6</v>
      </c>
      <c r="J333" t="b">
        <v>0</v>
      </c>
      <c r="K333">
        <v>181</v>
      </c>
      <c r="L333">
        <v>13</v>
      </c>
      <c r="M333" t="s">
        <v>74</v>
      </c>
      <c r="N333" t="s">
        <v>49</v>
      </c>
      <c r="O333" t="s">
        <v>50</v>
      </c>
      <c r="P333">
        <v>43</v>
      </c>
      <c r="Q333">
        <v>4.9000000000000004</v>
      </c>
      <c r="R333" t="b">
        <v>1</v>
      </c>
      <c r="S333" t="s">
        <v>28</v>
      </c>
      <c r="T333">
        <v>136</v>
      </c>
      <c r="U333" t="s">
        <v>57</v>
      </c>
      <c r="V333" t="s">
        <v>60</v>
      </c>
      <c r="W333" t="s">
        <v>31</v>
      </c>
    </row>
    <row r="334" spans="1:23" x14ac:dyDescent="0.3">
      <c r="A334">
        <v>1481</v>
      </c>
      <c r="B334" t="s">
        <v>47</v>
      </c>
      <c r="C334" s="1">
        <v>44977</v>
      </c>
      <c r="D334" s="1">
        <v>45627</v>
      </c>
      <c r="E334">
        <v>7.99</v>
      </c>
      <c r="F334">
        <v>180</v>
      </c>
      <c r="G334" t="s">
        <v>46</v>
      </c>
      <c r="H334">
        <v>3</v>
      </c>
      <c r="I334">
        <v>4</v>
      </c>
      <c r="J334" t="b">
        <v>0</v>
      </c>
      <c r="K334">
        <v>936</v>
      </c>
      <c r="L334">
        <v>166</v>
      </c>
      <c r="M334" t="s">
        <v>44</v>
      </c>
      <c r="N334" t="s">
        <v>40</v>
      </c>
      <c r="O334" t="s">
        <v>56</v>
      </c>
      <c r="P334">
        <v>71</v>
      </c>
      <c r="Q334">
        <v>4.9000000000000004</v>
      </c>
      <c r="R334" t="b">
        <v>1</v>
      </c>
      <c r="S334" t="s">
        <v>28</v>
      </c>
      <c r="T334">
        <v>4566</v>
      </c>
      <c r="U334" t="s">
        <v>29</v>
      </c>
      <c r="V334" t="s">
        <v>60</v>
      </c>
      <c r="W334" t="s">
        <v>53</v>
      </c>
    </row>
    <row r="335" spans="1:23" x14ac:dyDescent="0.3">
      <c r="A335">
        <v>7400</v>
      </c>
      <c r="B335" t="s">
        <v>256</v>
      </c>
      <c r="C335" s="1">
        <v>45421</v>
      </c>
      <c r="D335" s="1">
        <v>45641</v>
      </c>
      <c r="E335">
        <v>11.99</v>
      </c>
      <c r="F335">
        <v>254</v>
      </c>
      <c r="G335" t="s">
        <v>24</v>
      </c>
      <c r="H335">
        <v>4</v>
      </c>
      <c r="I335">
        <v>1</v>
      </c>
      <c r="J335" t="b">
        <v>1</v>
      </c>
      <c r="K335">
        <v>406</v>
      </c>
      <c r="L335">
        <v>47</v>
      </c>
      <c r="M335" t="s">
        <v>59</v>
      </c>
      <c r="N335" t="s">
        <v>40</v>
      </c>
      <c r="O335" t="s">
        <v>41</v>
      </c>
      <c r="P335">
        <v>5</v>
      </c>
      <c r="Q335">
        <v>3.6</v>
      </c>
      <c r="R335" t="b">
        <v>0</v>
      </c>
      <c r="S335" t="s">
        <v>28</v>
      </c>
      <c r="T335">
        <v>3281</v>
      </c>
      <c r="U335" t="s">
        <v>35</v>
      </c>
      <c r="V335" t="s">
        <v>60</v>
      </c>
      <c r="W335" t="s">
        <v>31</v>
      </c>
    </row>
    <row r="336" spans="1:23" x14ac:dyDescent="0.3">
      <c r="A336">
        <v>7447</v>
      </c>
      <c r="B336" t="s">
        <v>94</v>
      </c>
      <c r="C336" s="1">
        <v>45077</v>
      </c>
      <c r="D336" s="1">
        <v>45616</v>
      </c>
      <c r="E336">
        <v>7.99</v>
      </c>
      <c r="F336">
        <v>108</v>
      </c>
      <c r="G336" t="s">
        <v>33</v>
      </c>
      <c r="H336">
        <v>2</v>
      </c>
      <c r="I336">
        <v>1</v>
      </c>
      <c r="J336" t="b">
        <v>0</v>
      </c>
      <c r="K336">
        <v>717</v>
      </c>
      <c r="L336">
        <v>84</v>
      </c>
      <c r="M336" t="s">
        <v>63</v>
      </c>
      <c r="N336" t="s">
        <v>26</v>
      </c>
      <c r="O336" t="s">
        <v>27</v>
      </c>
      <c r="P336">
        <v>82</v>
      </c>
      <c r="Q336">
        <v>3.9</v>
      </c>
      <c r="R336" t="b">
        <v>0</v>
      </c>
      <c r="S336" t="s">
        <v>28</v>
      </c>
      <c r="T336">
        <v>1559</v>
      </c>
      <c r="U336" t="s">
        <v>51</v>
      </c>
      <c r="V336" t="s">
        <v>30</v>
      </c>
      <c r="W336" t="s">
        <v>31</v>
      </c>
    </row>
    <row r="337" spans="1:23" x14ac:dyDescent="0.3">
      <c r="A337">
        <v>4597</v>
      </c>
      <c r="B337" t="s">
        <v>157</v>
      </c>
      <c r="C337" s="1">
        <v>45514</v>
      </c>
      <c r="D337" s="1">
        <v>45639</v>
      </c>
      <c r="E337">
        <v>7.99</v>
      </c>
      <c r="F337">
        <v>183</v>
      </c>
      <c r="G337" t="s">
        <v>46</v>
      </c>
      <c r="H337">
        <v>4</v>
      </c>
      <c r="I337">
        <v>5</v>
      </c>
      <c r="J337" t="b">
        <v>0</v>
      </c>
      <c r="K337">
        <v>833</v>
      </c>
      <c r="L337">
        <v>154</v>
      </c>
      <c r="M337" t="s">
        <v>74</v>
      </c>
      <c r="N337" t="s">
        <v>26</v>
      </c>
      <c r="O337" t="s">
        <v>34</v>
      </c>
      <c r="P337">
        <v>46</v>
      </c>
      <c r="Q337">
        <v>3.9</v>
      </c>
      <c r="R337" t="b">
        <v>0</v>
      </c>
      <c r="S337" t="s">
        <v>28</v>
      </c>
      <c r="T337">
        <v>3113</v>
      </c>
      <c r="U337" t="s">
        <v>65</v>
      </c>
      <c r="V337" t="s">
        <v>30</v>
      </c>
      <c r="W337" t="s">
        <v>37</v>
      </c>
    </row>
    <row r="338" spans="1:23" x14ac:dyDescent="0.3">
      <c r="A338">
        <v>3173</v>
      </c>
      <c r="B338" t="s">
        <v>152</v>
      </c>
      <c r="C338" s="1">
        <v>45560</v>
      </c>
      <c r="D338" s="1">
        <v>45635</v>
      </c>
      <c r="E338">
        <v>7.99</v>
      </c>
      <c r="F338">
        <v>53</v>
      </c>
      <c r="G338" t="s">
        <v>43</v>
      </c>
      <c r="H338">
        <v>2</v>
      </c>
      <c r="I338">
        <v>4</v>
      </c>
      <c r="J338" t="b">
        <v>1</v>
      </c>
      <c r="K338">
        <v>304</v>
      </c>
      <c r="L338">
        <v>49</v>
      </c>
      <c r="M338" t="s">
        <v>74</v>
      </c>
      <c r="N338" t="s">
        <v>64</v>
      </c>
      <c r="O338" t="s">
        <v>56</v>
      </c>
      <c r="P338">
        <v>57</v>
      </c>
      <c r="Q338">
        <v>4.3</v>
      </c>
      <c r="R338" t="b">
        <v>0</v>
      </c>
      <c r="S338" t="s">
        <v>28</v>
      </c>
      <c r="T338">
        <v>3836</v>
      </c>
      <c r="U338" t="s">
        <v>35</v>
      </c>
      <c r="V338" t="s">
        <v>36</v>
      </c>
      <c r="W338" t="s">
        <v>37</v>
      </c>
    </row>
    <row r="339" spans="1:23" x14ac:dyDescent="0.3">
      <c r="A339">
        <v>9514</v>
      </c>
      <c r="B339" t="s">
        <v>257</v>
      </c>
      <c r="C339" s="1">
        <v>45083</v>
      </c>
      <c r="D339" s="1">
        <v>45636</v>
      </c>
      <c r="E339">
        <v>7.99</v>
      </c>
      <c r="F339">
        <v>120</v>
      </c>
      <c r="G339" t="s">
        <v>55</v>
      </c>
      <c r="H339">
        <v>3</v>
      </c>
      <c r="I339">
        <v>3</v>
      </c>
      <c r="J339" t="b">
        <v>1</v>
      </c>
      <c r="K339">
        <v>802</v>
      </c>
      <c r="L339">
        <v>31</v>
      </c>
      <c r="M339" t="s">
        <v>44</v>
      </c>
      <c r="N339" t="s">
        <v>40</v>
      </c>
      <c r="O339" t="s">
        <v>27</v>
      </c>
      <c r="P339">
        <v>16</v>
      </c>
      <c r="Q339">
        <v>4</v>
      </c>
      <c r="R339" t="b">
        <v>1</v>
      </c>
      <c r="S339" t="s">
        <v>28</v>
      </c>
      <c r="T339">
        <v>1522</v>
      </c>
      <c r="U339" t="s">
        <v>57</v>
      </c>
      <c r="V339" t="s">
        <v>36</v>
      </c>
      <c r="W339" t="s">
        <v>37</v>
      </c>
    </row>
    <row r="340" spans="1:23" x14ac:dyDescent="0.3">
      <c r="A340">
        <v>4985</v>
      </c>
      <c r="B340" t="s">
        <v>109</v>
      </c>
      <c r="C340" s="1">
        <v>45149</v>
      </c>
      <c r="D340" s="1">
        <v>45627</v>
      </c>
      <c r="E340">
        <v>7.99</v>
      </c>
      <c r="F340">
        <v>118</v>
      </c>
      <c r="G340" t="s">
        <v>43</v>
      </c>
      <c r="H340">
        <v>5</v>
      </c>
      <c r="I340">
        <v>4</v>
      </c>
      <c r="J340" t="b">
        <v>0</v>
      </c>
      <c r="K340">
        <v>522</v>
      </c>
      <c r="L340">
        <v>160</v>
      </c>
      <c r="M340" t="s">
        <v>44</v>
      </c>
      <c r="N340" t="s">
        <v>64</v>
      </c>
      <c r="O340" t="s">
        <v>41</v>
      </c>
      <c r="P340">
        <v>94</v>
      </c>
      <c r="Q340">
        <v>4.0999999999999996</v>
      </c>
      <c r="R340" t="b">
        <v>1</v>
      </c>
      <c r="S340" t="s">
        <v>28</v>
      </c>
      <c r="T340">
        <v>1756</v>
      </c>
      <c r="U340" t="s">
        <v>35</v>
      </c>
      <c r="V340" t="s">
        <v>52</v>
      </c>
      <c r="W340" t="s">
        <v>31</v>
      </c>
    </row>
    <row r="341" spans="1:23" x14ac:dyDescent="0.3">
      <c r="A341">
        <v>4486</v>
      </c>
      <c r="B341" t="s">
        <v>242</v>
      </c>
      <c r="C341" s="1">
        <v>45296</v>
      </c>
      <c r="D341" s="1">
        <v>45639</v>
      </c>
      <c r="E341">
        <v>7.99</v>
      </c>
      <c r="F341">
        <v>113</v>
      </c>
      <c r="G341" t="s">
        <v>33</v>
      </c>
      <c r="H341">
        <v>1</v>
      </c>
      <c r="I341">
        <v>1</v>
      </c>
      <c r="J341" t="b">
        <v>0</v>
      </c>
      <c r="K341">
        <v>177</v>
      </c>
      <c r="L341">
        <v>3</v>
      </c>
      <c r="M341" t="s">
        <v>59</v>
      </c>
      <c r="N341" t="s">
        <v>64</v>
      </c>
      <c r="O341" t="s">
        <v>56</v>
      </c>
      <c r="P341">
        <v>69</v>
      </c>
      <c r="Q341">
        <v>4.8</v>
      </c>
      <c r="R341" t="b">
        <v>0</v>
      </c>
      <c r="S341" t="s">
        <v>28</v>
      </c>
      <c r="T341">
        <v>1542</v>
      </c>
      <c r="U341" t="s">
        <v>35</v>
      </c>
      <c r="V341" t="s">
        <v>68</v>
      </c>
      <c r="W341" t="s">
        <v>31</v>
      </c>
    </row>
    <row r="342" spans="1:23" x14ac:dyDescent="0.3">
      <c r="A342">
        <v>8756</v>
      </c>
      <c r="B342" t="s">
        <v>102</v>
      </c>
      <c r="C342" s="1">
        <v>45282</v>
      </c>
      <c r="D342" s="1">
        <v>45635</v>
      </c>
      <c r="E342">
        <v>7.99</v>
      </c>
      <c r="F342">
        <v>138</v>
      </c>
      <c r="G342" t="s">
        <v>33</v>
      </c>
      <c r="H342">
        <v>3</v>
      </c>
      <c r="I342">
        <v>2</v>
      </c>
      <c r="J342" t="b">
        <v>1</v>
      </c>
      <c r="K342">
        <v>811</v>
      </c>
      <c r="L342">
        <v>37</v>
      </c>
      <c r="M342" t="s">
        <v>59</v>
      </c>
      <c r="N342" t="s">
        <v>40</v>
      </c>
      <c r="O342" t="s">
        <v>41</v>
      </c>
      <c r="P342">
        <v>36</v>
      </c>
      <c r="Q342">
        <v>3.6</v>
      </c>
      <c r="R342" t="b">
        <v>0</v>
      </c>
      <c r="S342" t="s">
        <v>28</v>
      </c>
      <c r="T342">
        <v>77</v>
      </c>
      <c r="U342" t="s">
        <v>29</v>
      </c>
      <c r="V342" t="s">
        <v>30</v>
      </c>
      <c r="W342" t="s">
        <v>37</v>
      </c>
    </row>
    <row r="343" spans="1:23" x14ac:dyDescent="0.3">
      <c r="A343">
        <v>9121</v>
      </c>
      <c r="B343" t="s">
        <v>170</v>
      </c>
      <c r="C343" s="1">
        <v>45095</v>
      </c>
      <c r="D343" s="1">
        <v>45638</v>
      </c>
      <c r="E343">
        <v>7.99</v>
      </c>
      <c r="F343">
        <v>178</v>
      </c>
      <c r="G343" t="s">
        <v>55</v>
      </c>
      <c r="H343">
        <v>1</v>
      </c>
      <c r="I343">
        <v>4</v>
      </c>
      <c r="J343" t="b">
        <v>0</v>
      </c>
      <c r="K343">
        <v>239</v>
      </c>
      <c r="L343">
        <v>126</v>
      </c>
      <c r="M343" t="s">
        <v>39</v>
      </c>
      <c r="N343" t="s">
        <v>64</v>
      </c>
      <c r="O343" t="s">
        <v>56</v>
      </c>
      <c r="P343">
        <v>86</v>
      </c>
      <c r="Q343">
        <v>3.9</v>
      </c>
      <c r="R343" t="b">
        <v>0</v>
      </c>
      <c r="S343" t="s">
        <v>28</v>
      </c>
      <c r="T343">
        <v>4356</v>
      </c>
      <c r="U343" t="s">
        <v>57</v>
      </c>
      <c r="V343" t="s">
        <v>60</v>
      </c>
      <c r="W343" t="s">
        <v>37</v>
      </c>
    </row>
    <row r="344" spans="1:23" x14ac:dyDescent="0.3">
      <c r="A344">
        <v>6471</v>
      </c>
      <c r="B344" t="s">
        <v>72</v>
      </c>
      <c r="C344" s="1">
        <v>45288</v>
      </c>
      <c r="D344" s="1">
        <v>45621</v>
      </c>
      <c r="E344">
        <v>7.99</v>
      </c>
      <c r="F344">
        <v>105</v>
      </c>
      <c r="G344" t="s">
        <v>62</v>
      </c>
      <c r="H344">
        <v>4</v>
      </c>
      <c r="I344">
        <v>3</v>
      </c>
      <c r="J344" t="b">
        <v>1</v>
      </c>
      <c r="K344">
        <v>49</v>
      </c>
      <c r="L344">
        <v>71</v>
      </c>
      <c r="M344" t="s">
        <v>59</v>
      </c>
      <c r="N344" t="s">
        <v>49</v>
      </c>
      <c r="O344" t="s">
        <v>67</v>
      </c>
      <c r="P344">
        <v>8</v>
      </c>
      <c r="Q344">
        <v>3.6</v>
      </c>
      <c r="R344" t="b">
        <v>0</v>
      </c>
      <c r="S344" t="s">
        <v>28</v>
      </c>
      <c r="T344">
        <v>1989</v>
      </c>
      <c r="U344" t="s">
        <v>35</v>
      </c>
      <c r="V344" t="s">
        <v>60</v>
      </c>
      <c r="W344" t="s">
        <v>75</v>
      </c>
    </row>
    <row r="345" spans="1:23" x14ac:dyDescent="0.3">
      <c r="A345">
        <v>6601</v>
      </c>
      <c r="B345" t="s">
        <v>258</v>
      </c>
      <c r="C345" s="1">
        <v>45069</v>
      </c>
      <c r="D345" s="1">
        <v>45644</v>
      </c>
      <c r="E345">
        <v>7.99</v>
      </c>
      <c r="F345">
        <v>283</v>
      </c>
      <c r="G345" t="s">
        <v>24</v>
      </c>
      <c r="H345">
        <v>1</v>
      </c>
      <c r="I345">
        <v>5</v>
      </c>
      <c r="J345" t="b">
        <v>1</v>
      </c>
      <c r="K345">
        <v>407</v>
      </c>
      <c r="L345">
        <v>15</v>
      </c>
      <c r="M345" t="s">
        <v>74</v>
      </c>
      <c r="N345" t="s">
        <v>40</v>
      </c>
      <c r="O345" t="s">
        <v>67</v>
      </c>
      <c r="P345">
        <v>26</v>
      </c>
      <c r="Q345">
        <v>3.1</v>
      </c>
      <c r="R345" t="b">
        <v>1</v>
      </c>
      <c r="S345" t="s">
        <v>28</v>
      </c>
      <c r="T345">
        <v>906</v>
      </c>
      <c r="U345" t="s">
        <v>51</v>
      </c>
      <c r="V345" t="s">
        <v>68</v>
      </c>
      <c r="W345" t="s">
        <v>75</v>
      </c>
    </row>
    <row r="346" spans="1:23" x14ac:dyDescent="0.3">
      <c r="A346">
        <v>4340</v>
      </c>
      <c r="B346" t="s">
        <v>259</v>
      </c>
      <c r="C346" s="1">
        <v>45003</v>
      </c>
      <c r="D346" s="1">
        <v>45633</v>
      </c>
      <c r="E346">
        <v>15.99</v>
      </c>
      <c r="F346">
        <v>154</v>
      </c>
      <c r="G346" t="s">
        <v>43</v>
      </c>
      <c r="H346">
        <v>4</v>
      </c>
      <c r="I346">
        <v>5</v>
      </c>
      <c r="J346" t="b">
        <v>1</v>
      </c>
      <c r="K346">
        <v>804</v>
      </c>
      <c r="L346">
        <v>106</v>
      </c>
      <c r="M346" t="s">
        <v>44</v>
      </c>
      <c r="N346" t="s">
        <v>26</v>
      </c>
      <c r="O346" t="s">
        <v>56</v>
      </c>
      <c r="P346">
        <v>60</v>
      </c>
      <c r="Q346">
        <v>4.8</v>
      </c>
      <c r="R346" t="b">
        <v>0</v>
      </c>
      <c r="S346" t="s">
        <v>28</v>
      </c>
      <c r="T346">
        <v>4108</v>
      </c>
      <c r="U346" t="s">
        <v>57</v>
      </c>
      <c r="V346" t="s">
        <v>68</v>
      </c>
      <c r="W346" t="s">
        <v>31</v>
      </c>
    </row>
    <row r="347" spans="1:23" x14ac:dyDescent="0.3">
      <c r="A347">
        <v>5112</v>
      </c>
      <c r="B347" t="s">
        <v>148</v>
      </c>
      <c r="C347" s="1">
        <v>45601</v>
      </c>
      <c r="D347" s="1">
        <v>45640</v>
      </c>
      <c r="E347">
        <v>15.99</v>
      </c>
      <c r="F347">
        <v>240</v>
      </c>
      <c r="G347" t="s">
        <v>55</v>
      </c>
      <c r="H347">
        <v>2</v>
      </c>
      <c r="I347">
        <v>6</v>
      </c>
      <c r="J347" t="b">
        <v>1</v>
      </c>
      <c r="K347">
        <v>564</v>
      </c>
      <c r="L347">
        <v>121</v>
      </c>
      <c r="M347" t="s">
        <v>25</v>
      </c>
      <c r="N347" t="s">
        <v>64</v>
      </c>
      <c r="O347" t="s">
        <v>27</v>
      </c>
      <c r="P347">
        <v>40</v>
      </c>
      <c r="Q347">
        <v>3.5</v>
      </c>
      <c r="R347" t="b">
        <v>1</v>
      </c>
      <c r="S347" t="s">
        <v>28</v>
      </c>
      <c r="T347">
        <v>333</v>
      </c>
      <c r="U347" t="s">
        <v>51</v>
      </c>
      <c r="V347" t="s">
        <v>36</v>
      </c>
      <c r="W347" t="s">
        <v>37</v>
      </c>
    </row>
    <row r="348" spans="1:23" x14ac:dyDescent="0.3">
      <c r="A348">
        <v>5700</v>
      </c>
      <c r="B348" t="s">
        <v>156</v>
      </c>
      <c r="C348" s="1">
        <v>45072</v>
      </c>
      <c r="D348" s="1">
        <v>45635</v>
      </c>
      <c r="E348">
        <v>11.99</v>
      </c>
      <c r="F348">
        <v>29</v>
      </c>
      <c r="G348" t="s">
        <v>43</v>
      </c>
      <c r="H348">
        <v>1</v>
      </c>
      <c r="I348">
        <v>5</v>
      </c>
      <c r="J348" t="b">
        <v>1</v>
      </c>
      <c r="K348">
        <v>625</v>
      </c>
      <c r="L348">
        <v>165</v>
      </c>
      <c r="M348" t="s">
        <v>74</v>
      </c>
      <c r="N348" t="s">
        <v>49</v>
      </c>
      <c r="O348" t="s">
        <v>50</v>
      </c>
      <c r="P348">
        <v>41</v>
      </c>
      <c r="Q348">
        <v>4.3</v>
      </c>
      <c r="R348" t="b">
        <v>0</v>
      </c>
      <c r="S348" t="s">
        <v>28</v>
      </c>
      <c r="T348">
        <v>3847</v>
      </c>
      <c r="U348" t="s">
        <v>57</v>
      </c>
      <c r="V348" t="s">
        <v>52</v>
      </c>
      <c r="W348" t="s">
        <v>75</v>
      </c>
    </row>
    <row r="349" spans="1:23" x14ac:dyDescent="0.3">
      <c r="A349">
        <v>8617</v>
      </c>
      <c r="B349" t="s">
        <v>100</v>
      </c>
      <c r="C349" s="1">
        <v>45579</v>
      </c>
      <c r="D349" s="1">
        <v>45637</v>
      </c>
      <c r="E349">
        <v>15.99</v>
      </c>
      <c r="F349">
        <v>202</v>
      </c>
      <c r="G349" t="s">
        <v>62</v>
      </c>
      <c r="H349">
        <v>1</v>
      </c>
      <c r="I349">
        <v>2</v>
      </c>
      <c r="J349" t="b">
        <v>1</v>
      </c>
      <c r="K349">
        <v>260</v>
      </c>
      <c r="L349">
        <v>53</v>
      </c>
      <c r="M349" t="s">
        <v>59</v>
      </c>
      <c r="N349" t="s">
        <v>64</v>
      </c>
      <c r="O349" t="s">
        <v>56</v>
      </c>
      <c r="P349">
        <v>13</v>
      </c>
      <c r="Q349">
        <v>3.9</v>
      </c>
      <c r="R349" t="b">
        <v>1</v>
      </c>
      <c r="S349" t="s">
        <v>28</v>
      </c>
      <c r="T349">
        <v>1423</v>
      </c>
      <c r="U349" t="s">
        <v>57</v>
      </c>
      <c r="V349" t="s">
        <v>68</v>
      </c>
      <c r="W349" t="s">
        <v>37</v>
      </c>
    </row>
    <row r="350" spans="1:23" x14ac:dyDescent="0.3">
      <c r="A350">
        <v>9149</v>
      </c>
      <c r="B350" t="s">
        <v>260</v>
      </c>
      <c r="C350" s="1">
        <v>44931</v>
      </c>
      <c r="D350" s="1">
        <v>45643</v>
      </c>
      <c r="E350">
        <v>15.99</v>
      </c>
      <c r="F350">
        <v>348</v>
      </c>
      <c r="G350" t="s">
        <v>46</v>
      </c>
      <c r="H350">
        <v>2</v>
      </c>
      <c r="I350">
        <v>6</v>
      </c>
      <c r="J350" t="b">
        <v>1</v>
      </c>
      <c r="K350">
        <v>378</v>
      </c>
      <c r="L350">
        <v>56</v>
      </c>
      <c r="M350" t="s">
        <v>59</v>
      </c>
      <c r="N350" t="s">
        <v>40</v>
      </c>
      <c r="O350" t="s">
        <v>50</v>
      </c>
      <c r="P350">
        <v>9</v>
      </c>
      <c r="Q350">
        <v>4.5</v>
      </c>
      <c r="R350" t="b">
        <v>1</v>
      </c>
      <c r="S350" t="s">
        <v>28</v>
      </c>
      <c r="T350">
        <v>595</v>
      </c>
      <c r="U350" t="s">
        <v>51</v>
      </c>
      <c r="V350" t="s">
        <v>52</v>
      </c>
      <c r="W350" t="s">
        <v>75</v>
      </c>
    </row>
    <row r="351" spans="1:23" x14ac:dyDescent="0.3">
      <c r="A351">
        <v>8651</v>
      </c>
      <c r="B351" t="s">
        <v>183</v>
      </c>
      <c r="C351" s="1">
        <v>45523</v>
      </c>
      <c r="D351" s="1">
        <v>45622</v>
      </c>
      <c r="E351">
        <v>15.99</v>
      </c>
      <c r="F351">
        <v>380</v>
      </c>
      <c r="G351" t="s">
        <v>79</v>
      </c>
      <c r="H351">
        <v>5</v>
      </c>
      <c r="I351">
        <v>5</v>
      </c>
      <c r="J351" t="b">
        <v>0</v>
      </c>
      <c r="K351">
        <v>334</v>
      </c>
      <c r="L351">
        <v>175</v>
      </c>
      <c r="M351" t="s">
        <v>74</v>
      </c>
      <c r="N351" t="s">
        <v>49</v>
      </c>
      <c r="O351" t="s">
        <v>34</v>
      </c>
      <c r="P351">
        <v>69</v>
      </c>
      <c r="Q351">
        <v>3.1</v>
      </c>
      <c r="R351" t="b">
        <v>0</v>
      </c>
      <c r="S351" t="s">
        <v>28</v>
      </c>
      <c r="T351">
        <v>4445</v>
      </c>
      <c r="U351" t="s">
        <v>65</v>
      </c>
      <c r="V351" t="s">
        <v>68</v>
      </c>
      <c r="W351" t="s">
        <v>31</v>
      </c>
    </row>
    <row r="352" spans="1:23" x14ac:dyDescent="0.3">
      <c r="A352">
        <v>1495</v>
      </c>
      <c r="B352" t="s">
        <v>261</v>
      </c>
      <c r="C352" s="1">
        <v>45523</v>
      </c>
      <c r="D352" s="1">
        <v>45618</v>
      </c>
      <c r="E352">
        <v>15.99</v>
      </c>
      <c r="F352">
        <v>254</v>
      </c>
      <c r="G352" t="s">
        <v>79</v>
      </c>
      <c r="H352">
        <v>3</v>
      </c>
      <c r="I352">
        <v>2</v>
      </c>
      <c r="J352" t="b">
        <v>0</v>
      </c>
      <c r="K352">
        <v>544</v>
      </c>
      <c r="L352">
        <v>89</v>
      </c>
      <c r="M352" t="s">
        <v>74</v>
      </c>
      <c r="N352" t="s">
        <v>40</v>
      </c>
      <c r="O352" t="s">
        <v>56</v>
      </c>
      <c r="P352">
        <v>97</v>
      </c>
      <c r="Q352">
        <v>3.1</v>
      </c>
      <c r="R352" t="b">
        <v>0</v>
      </c>
      <c r="S352" t="s">
        <v>28</v>
      </c>
      <c r="T352">
        <v>144</v>
      </c>
      <c r="U352" t="s">
        <v>29</v>
      </c>
      <c r="V352" t="s">
        <v>36</v>
      </c>
      <c r="W352" t="s">
        <v>31</v>
      </c>
    </row>
    <row r="353" spans="1:23" x14ac:dyDescent="0.3">
      <c r="A353">
        <v>7359</v>
      </c>
      <c r="B353" t="s">
        <v>127</v>
      </c>
      <c r="C353" s="1">
        <v>45005</v>
      </c>
      <c r="D353" s="1">
        <v>45643</v>
      </c>
      <c r="E353">
        <v>15.99</v>
      </c>
      <c r="F353">
        <v>477</v>
      </c>
      <c r="G353" t="s">
        <v>24</v>
      </c>
      <c r="H353">
        <v>2</v>
      </c>
      <c r="I353">
        <v>3</v>
      </c>
      <c r="J353" t="b">
        <v>1</v>
      </c>
      <c r="K353">
        <v>899</v>
      </c>
      <c r="L353">
        <v>97</v>
      </c>
      <c r="M353" t="s">
        <v>25</v>
      </c>
      <c r="N353" t="s">
        <v>49</v>
      </c>
      <c r="O353" t="s">
        <v>56</v>
      </c>
      <c r="P353">
        <v>42</v>
      </c>
      <c r="Q353">
        <v>4.7</v>
      </c>
      <c r="R353" t="b">
        <v>1</v>
      </c>
      <c r="S353" t="s">
        <v>28</v>
      </c>
      <c r="T353">
        <v>3428</v>
      </c>
      <c r="U353" t="s">
        <v>57</v>
      </c>
      <c r="V353" t="s">
        <v>60</v>
      </c>
      <c r="W353" t="s">
        <v>53</v>
      </c>
    </row>
    <row r="354" spans="1:23" x14ac:dyDescent="0.3">
      <c r="A354">
        <v>6525</v>
      </c>
      <c r="B354" t="s">
        <v>184</v>
      </c>
      <c r="C354" s="1">
        <v>44951</v>
      </c>
      <c r="D354" s="1">
        <v>45618</v>
      </c>
      <c r="E354">
        <v>15.99</v>
      </c>
      <c r="F354">
        <v>385</v>
      </c>
      <c r="G354" t="s">
        <v>62</v>
      </c>
      <c r="H354">
        <v>3</v>
      </c>
      <c r="I354">
        <v>1</v>
      </c>
      <c r="J354" t="b">
        <v>0</v>
      </c>
      <c r="K354">
        <v>807</v>
      </c>
      <c r="L354">
        <v>188</v>
      </c>
      <c r="M354" t="s">
        <v>25</v>
      </c>
      <c r="N354" t="s">
        <v>49</v>
      </c>
      <c r="O354" t="s">
        <v>67</v>
      </c>
      <c r="P354">
        <v>3</v>
      </c>
      <c r="Q354">
        <v>3.4</v>
      </c>
      <c r="R354" t="b">
        <v>0</v>
      </c>
      <c r="S354" t="s">
        <v>28</v>
      </c>
      <c r="T354">
        <v>4919</v>
      </c>
      <c r="U354" t="s">
        <v>65</v>
      </c>
      <c r="V354" t="s">
        <v>30</v>
      </c>
      <c r="W354" t="s">
        <v>75</v>
      </c>
    </row>
    <row r="355" spans="1:23" x14ac:dyDescent="0.3">
      <c r="A355">
        <v>7207</v>
      </c>
      <c r="B355" t="s">
        <v>236</v>
      </c>
      <c r="C355" s="1">
        <v>45523</v>
      </c>
      <c r="D355" s="1">
        <v>45643</v>
      </c>
      <c r="E355">
        <v>7.99</v>
      </c>
      <c r="F355">
        <v>336</v>
      </c>
      <c r="G355" t="s">
        <v>43</v>
      </c>
      <c r="H355">
        <v>1</v>
      </c>
      <c r="I355">
        <v>2</v>
      </c>
      <c r="J355" t="b">
        <v>0</v>
      </c>
      <c r="K355">
        <v>235</v>
      </c>
      <c r="L355">
        <v>25</v>
      </c>
      <c r="M355" t="s">
        <v>59</v>
      </c>
      <c r="N355" t="s">
        <v>49</v>
      </c>
      <c r="O355" t="s">
        <v>67</v>
      </c>
      <c r="P355">
        <v>31</v>
      </c>
      <c r="Q355">
        <v>3.9</v>
      </c>
      <c r="R355" t="b">
        <v>0</v>
      </c>
      <c r="S355" t="s">
        <v>28</v>
      </c>
      <c r="T355">
        <v>4905</v>
      </c>
      <c r="U355" t="s">
        <v>57</v>
      </c>
      <c r="V355" t="s">
        <v>30</v>
      </c>
      <c r="W355" t="s">
        <v>31</v>
      </c>
    </row>
    <row r="356" spans="1:23" x14ac:dyDescent="0.3">
      <c r="A356">
        <v>2361</v>
      </c>
      <c r="B356" t="s">
        <v>262</v>
      </c>
      <c r="C356" s="1">
        <v>45003</v>
      </c>
      <c r="D356" s="1">
        <v>45621</v>
      </c>
      <c r="E356">
        <v>15.99</v>
      </c>
      <c r="F356">
        <v>171</v>
      </c>
      <c r="G356" t="s">
        <v>24</v>
      </c>
      <c r="H356">
        <v>2</v>
      </c>
      <c r="I356">
        <v>3</v>
      </c>
      <c r="J356" t="b">
        <v>0</v>
      </c>
      <c r="K356">
        <v>763</v>
      </c>
      <c r="L356">
        <v>16</v>
      </c>
      <c r="M356" t="s">
        <v>44</v>
      </c>
      <c r="N356" t="s">
        <v>26</v>
      </c>
      <c r="O356" t="s">
        <v>50</v>
      </c>
      <c r="P356">
        <v>17</v>
      </c>
      <c r="Q356">
        <v>3.4</v>
      </c>
      <c r="R356" t="b">
        <v>1</v>
      </c>
      <c r="S356" t="s">
        <v>28</v>
      </c>
      <c r="T356">
        <v>428</v>
      </c>
      <c r="U356" t="s">
        <v>65</v>
      </c>
      <c r="V356" t="s">
        <v>36</v>
      </c>
      <c r="W356" t="s">
        <v>37</v>
      </c>
    </row>
    <row r="357" spans="1:23" x14ac:dyDescent="0.3">
      <c r="A357">
        <v>8766</v>
      </c>
      <c r="B357" t="s">
        <v>263</v>
      </c>
      <c r="C357" s="1">
        <v>45198</v>
      </c>
      <c r="D357" s="1">
        <v>45623</v>
      </c>
      <c r="E357">
        <v>15.99</v>
      </c>
      <c r="F357">
        <v>33</v>
      </c>
      <c r="G357" t="s">
        <v>46</v>
      </c>
      <c r="H357">
        <v>1</v>
      </c>
      <c r="I357">
        <v>4</v>
      </c>
      <c r="J357" t="b">
        <v>1</v>
      </c>
      <c r="K357">
        <v>475</v>
      </c>
      <c r="L357">
        <v>151</v>
      </c>
      <c r="M357" t="s">
        <v>39</v>
      </c>
      <c r="N357" t="s">
        <v>49</v>
      </c>
      <c r="O357" t="s">
        <v>67</v>
      </c>
      <c r="P357">
        <v>16</v>
      </c>
      <c r="Q357">
        <v>4.7</v>
      </c>
      <c r="R357" t="b">
        <v>1</v>
      </c>
      <c r="S357" t="s">
        <v>28</v>
      </c>
      <c r="T357">
        <v>1634</v>
      </c>
      <c r="U357" t="s">
        <v>51</v>
      </c>
      <c r="V357" t="s">
        <v>60</v>
      </c>
      <c r="W357" t="s">
        <v>31</v>
      </c>
    </row>
    <row r="358" spans="1:23" x14ac:dyDescent="0.3">
      <c r="A358">
        <v>7236</v>
      </c>
      <c r="B358" t="s">
        <v>47</v>
      </c>
      <c r="C358" s="1">
        <v>45395</v>
      </c>
      <c r="D358" s="1">
        <v>45636</v>
      </c>
      <c r="E358">
        <v>7.99</v>
      </c>
      <c r="F358">
        <v>193</v>
      </c>
      <c r="G358" t="s">
        <v>79</v>
      </c>
      <c r="H358">
        <v>3</v>
      </c>
      <c r="I358">
        <v>6</v>
      </c>
      <c r="J358" t="b">
        <v>1</v>
      </c>
      <c r="K358">
        <v>453</v>
      </c>
      <c r="L358">
        <v>113</v>
      </c>
      <c r="M358" t="s">
        <v>44</v>
      </c>
      <c r="N358" t="s">
        <v>64</v>
      </c>
      <c r="O358" t="s">
        <v>67</v>
      </c>
      <c r="P358">
        <v>74</v>
      </c>
      <c r="Q358">
        <v>3.5</v>
      </c>
      <c r="R358" t="b">
        <v>1</v>
      </c>
      <c r="S358" t="s">
        <v>28</v>
      </c>
      <c r="T358">
        <v>4085</v>
      </c>
      <c r="U358" t="s">
        <v>57</v>
      </c>
      <c r="V358" t="s">
        <v>36</v>
      </c>
      <c r="W358" t="s">
        <v>37</v>
      </c>
    </row>
    <row r="359" spans="1:23" x14ac:dyDescent="0.3">
      <c r="A359">
        <v>8605</v>
      </c>
      <c r="B359" t="s">
        <v>102</v>
      </c>
      <c r="C359" s="1">
        <v>45077</v>
      </c>
      <c r="D359" s="1">
        <v>45627</v>
      </c>
      <c r="E359">
        <v>11.99</v>
      </c>
      <c r="F359">
        <v>153</v>
      </c>
      <c r="G359" t="s">
        <v>55</v>
      </c>
      <c r="H359">
        <v>2</v>
      </c>
      <c r="I359">
        <v>2</v>
      </c>
      <c r="J359" t="b">
        <v>1</v>
      </c>
      <c r="K359">
        <v>40</v>
      </c>
      <c r="L359">
        <v>106</v>
      </c>
      <c r="M359" t="s">
        <v>48</v>
      </c>
      <c r="N359" t="s">
        <v>40</v>
      </c>
      <c r="O359" t="s">
        <v>67</v>
      </c>
      <c r="P359">
        <v>44</v>
      </c>
      <c r="Q359">
        <v>4.4000000000000004</v>
      </c>
      <c r="R359" t="b">
        <v>1</v>
      </c>
      <c r="S359" t="s">
        <v>28</v>
      </c>
      <c r="T359">
        <v>2790</v>
      </c>
      <c r="U359" t="s">
        <v>65</v>
      </c>
      <c r="V359" t="s">
        <v>36</v>
      </c>
      <c r="W359" t="s">
        <v>75</v>
      </c>
    </row>
    <row r="360" spans="1:23" x14ac:dyDescent="0.3">
      <c r="A360">
        <v>1055</v>
      </c>
      <c r="B360" t="s">
        <v>178</v>
      </c>
      <c r="C360" s="1">
        <v>44977</v>
      </c>
      <c r="D360" s="1">
        <v>45638</v>
      </c>
      <c r="E360">
        <v>15.99</v>
      </c>
      <c r="F360">
        <v>140</v>
      </c>
      <c r="G360" t="s">
        <v>55</v>
      </c>
      <c r="H360">
        <v>5</v>
      </c>
      <c r="I360">
        <v>5</v>
      </c>
      <c r="J360" t="b">
        <v>1</v>
      </c>
      <c r="K360">
        <v>112</v>
      </c>
      <c r="L360">
        <v>30</v>
      </c>
      <c r="M360" t="s">
        <v>74</v>
      </c>
      <c r="N360" t="s">
        <v>49</v>
      </c>
      <c r="O360" t="s">
        <v>27</v>
      </c>
      <c r="P360">
        <v>60</v>
      </c>
      <c r="Q360">
        <v>3.1</v>
      </c>
      <c r="R360" t="b">
        <v>1</v>
      </c>
      <c r="S360" t="s">
        <v>28</v>
      </c>
      <c r="T360">
        <v>2440</v>
      </c>
      <c r="U360" t="s">
        <v>35</v>
      </c>
      <c r="V360" t="s">
        <v>30</v>
      </c>
      <c r="W360" t="s">
        <v>37</v>
      </c>
    </row>
    <row r="361" spans="1:23" x14ac:dyDescent="0.3">
      <c r="A361">
        <v>7986</v>
      </c>
      <c r="B361" t="s">
        <v>124</v>
      </c>
      <c r="C361" s="1">
        <v>44949</v>
      </c>
      <c r="D361" s="1">
        <v>45636</v>
      </c>
      <c r="E361">
        <v>15.99</v>
      </c>
      <c r="F361">
        <v>196</v>
      </c>
      <c r="G361" t="s">
        <v>62</v>
      </c>
      <c r="H361">
        <v>2</v>
      </c>
      <c r="I361">
        <v>2</v>
      </c>
      <c r="J361" t="b">
        <v>1</v>
      </c>
      <c r="K361">
        <v>102</v>
      </c>
      <c r="L361">
        <v>66</v>
      </c>
      <c r="M361" t="s">
        <v>59</v>
      </c>
      <c r="N361" t="s">
        <v>64</v>
      </c>
      <c r="O361" t="s">
        <v>50</v>
      </c>
      <c r="P361">
        <v>11</v>
      </c>
      <c r="Q361">
        <v>3.7</v>
      </c>
      <c r="R361" t="b">
        <v>0</v>
      </c>
      <c r="S361" t="s">
        <v>28</v>
      </c>
      <c r="T361">
        <v>2741</v>
      </c>
      <c r="U361" t="s">
        <v>65</v>
      </c>
      <c r="V361" t="s">
        <v>60</v>
      </c>
      <c r="W361" t="s">
        <v>75</v>
      </c>
    </row>
    <row r="362" spans="1:23" x14ac:dyDescent="0.3">
      <c r="A362">
        <v>6170</v>
      </c>
      <c r="B362" t="s">
        <v>157</v>
      </c>
      <c r="C362" s="1">
        <v>45464</v>
      </c>
      <c r="D362" s="1">
        <v>45618</v>
      </c>
      <c r="E362">
        <v>15.99</v>
      </c>
      <c r="F362">
        <v>298</v>
      </c>
      <c r="G362" t="s">
        <v>55</v>
      </c>
      <c r="H362">
        <v>5</v>
      </c>
      <c r="I362">
        <v>1</v>
      </c>
      <c r="J362" t="b">
        <v>1</v>
      </c>
      <c r="K362">
        <v>943</v>
      </c>
      <c r="L362">
        <v>187</v>
      </c>
      <c r="M362" t="s">
        <v>44</v>
      </c>
      <c r="N362" t="s">
        <v>64</v>
      </c>
      <c r="O362" t="s">
        <v>50</v>
      </c>
      <c r="P362">
        <v>60</v>
      </c>
      <c r="Q362">
        <v>3.7</v>
      </c>
      <c r="R362" t="b">
        <v>0</v>
      </c>
      <c r="S362" t="s">
        <v>28</v>
      </c>
      <c r="T362">
        <v>4338</v>
      </c>
      <c r="U362" t="s">
        <v>35</v>
      </c>
      <c r="V362" t="s">
        <v>60</v>
      </c>
      <c r="W362" t="s">
        <v>31</v>
      </c>
    </row>
    <row r="363" spans="1:23" x14ac:dyDescent="0.3">
      <c r="A363">
        <v>7172</v>
      </c>
      <c r="B363" t="s">
        <v>264</v>
      </c>
      <c r="C363" s="1">
        <v>45116</v>
      </c>
      <c r="D363" s="1">
        <v>45618</v>
      </c>
      <c r="E363">
        <v>11.99</v>
      </c>
      <c r="F363">
        <v>477</v>
      </c>
      <c r="G363" t="s">
        <v>46</v>
      </c>
      <c r="H363">
        <v>5</v>
      </c>
      <c r="I363">
        <v>4</v>
      </c>
      <c r="J363" t="b">
        <v>0</v>
      </c>
      <c r="K363">
        <v>426</v>
      </c>
      <c r="L363">
        <v>137</v>
      </c>
      <c r="M363" t="s">
        <v>74</v>
      </c>
      <c r="N363" t="s">
        <v>49</v>
      </c>
      <c r="O363" t="s">
        <v>27</v>
      </c>
      <c r="P363">
        <v>31</v>
      </c>
      <c r="Q363">
        <v>5</v>
      </c>
      <c r="R363" t="b">
        <v>0</v>
      </c>
      <c r="S363" t="s">
        <v>28</v>
      </c>
      <c r="T363">
        <v>2039</v>
      </c>
      <c r="U363" t="s">
        <v>51</v>
      </c>
      <c r="V363" t="s">
        <v>60</v>
      </c>
      <c r="W363" t="s">
        <v>53</v>
      </c>
    </row>
    <row r="364" spans="1:23" x14ac:dyDescent="0.3">
      <c r="A364">
        <v>7408</v>
      </c>
      <c r="B364" t="s">
        <v>152</v>
      </c>
      <c r="C364" s="1">
        <v>44922</v>
      </c>
      <c r="D364" s="1">
        <v>45620</v>
      </c>
      <c r="E364">
        <v>15.99</v>
      </c>
      <c r="F364">
        <v>308</v>
      </c>
      <c r="G364" t="s">
        <v>79</v>
      </c>
      <c r="H364">
        <v>1</v>
      </c>
      <c r="I364">
        <v>2</v>
      </c>
      <c r="J364" t="b">
        <v>1</v>
      </c>
      <c r="K364">
        <v>202</v>
      </c>
      <c r="L364">
        <v>12</v>
      </c>
      <c r="M364" t="s">
        <v>48</v>
      </c>
      <c r="N364" t="s">
        <v>64</v>
      </c>
      <c r="O364" t="s">
        <v>50</v>
      </c>
      <c r="P364">
        <v>21</v>
      </c>
      <c r="Q364">
        <v>4.5</v>
      </c>
      <c r="R364" t="b">
        <v>0</v>
      </c>
      <c r="S364" t="s">
        <v>28</v>
      </c>
      <c r="T364">
        <v>2097</v>
      </c>
      <c r="U364" t="s">
        <v>35</v>
      </c>
      <c r="V364" t="s">
        <v>36</v>
      </c>
      <c r="W364" t="s">
        <v>53</v>
      </c>
    </row>
    <row r="365" spans="1:23" x14ac:dyDescent="0.3">
      <c r="A365">
        <v>7274</v>
      </c>
      <c r="B365" t="s">
        <v>195</v>
      </c>
      <c r="C365" s="1">
        <v>45028</v>
      </c>
      <c r="D365" s="1">
        <v>45632</v>
      </c>
      <c r="E365">
        <v>11.99</v>
      </c>
      <c r="F365">
        <v>193</v>
      </c>
      <c r="G365" t="s">
        <v>46</v>
      </c>
      <c r="H365">
        <v>4</v>
      </c>
      <c r="I365">
        <v>4</v>
      </c>
      <c r="J365" t="b">
        <v>0</v>
      </c>
      <c r="K365">
        <v>364</v>
      </c>
      <c r="L365">
        <v>181</v>
      </c>
      <c r="M365" t="s">
        <v>74</v>
      </c>
      <c r="N365" t="s">
        <v>49</v>
      </c>
      <c r="O365" t="s">
        <v>56</v>
      </c>
      <c r="P365">
        <v>51</v>
      </c>
      <c r="Q365">
        <v>4.7</v>
      </c>
      <c r="R365" t="b">
        <v>0</v>
      </c>
      <c r="S365" t="s">
        <v>28</v>
      </c>
      <c r="T365">
        <v>2384</v>
      </c>
      <c r="U365" t="s">
        <v>35</v>
      </c>
      <c r="V365" t="s">
        <v>68</v>
      </c>
      <c r="W365" t="s">
        <v>75</v>
      </c>
    </row>
    <row r="366" spans="1:23" x14ac:dyDescent="0.3">
      <c r="A366">
        <v>6001</v>
      </c>
      <c r="B366" t="s">
        <v>179</v>
      </c>
      <c r="C366" s="1">
        <v>45537</v>
      </c>
      <c r="D366" s="1">
        <v>45624</v>
      </c>
      <c r="E366">
        <v>15.99</v>
      </c>
      <c r="F366">
        <v>420</v>
      </c>
      <c r="G366" t="s">
        <v>46</v>
      </c>
      <c r="H366">
        <v>3</v>
      </c>
      <c r="I366">
        <v>3</v>
      </c>
      <c r="J366" t="b">
        <v>1</v>
      </c>
      <c r="K366">
        <v>562</v>
      </c>
      <c r="L366">
        <v>67</v>
      </c>
      <c r="M366" t="s">
        <v>25</v>
      </c>
      <c r="N366" t="s">
        <v>40</v>
      </c>
      <c r="O366" t="s">
        <v>56</v>
      </c>
      <c r="P366">
        <v>2</v>
      </c>
      <c r="Q366">
        <v>3.2</v>
      </c>
      <c r="R366" t="b">
        <v>1</v>
      </c>
      <c r="S366" t="s">
        <v>28</v>
      </c>
      <c r="T366">
        <v>4159</v>
      </c>
      <c r="U366" t="s">
        <v>51</v>
      </c>
      <c r="V366" t="s">
        <v>60</v>
      </c>
      <c r="W366" t="s">
        <v>37</v>
      </c>
    </row>
    <row r="367" spans="1:23" x14ac:dyDescent="0.3">
      <c r="A367">
        <v>9418</v>
      </c>
      <c r="B367" t="s">
        <v>265</v>
      </c>
      <c r="C367" s="1">
        <v>45494</v>
      </c>
      <c r="D367" s="1">
        <v>45622</v>
      </c>
      <c r="E367">
        <v>7.99</v>
      </c>
      <c r="F367">
        <v>128</v>
      </c>
      <c r="G367" t="s">
        <v>24</v>
      </c>
      <c r="H367">
        <v>5</v>
      </c>
      <c r="I367">
        <v>6</v>
      </c>
      <c r="J367" t="b">
        <v>1</v>
      </c>
      <c r="K367">
        <v>481</v>
      </c>
      <c r="L367">
        <v>128</v>
      </c>
      <c r="M367" t="s">
        <v>48</v>
      </c>
      <c r="N367" t="s">
        <v>49</v>
      </c>
      <c r="O367" t="s">
        <v>34</v>
      </c>
      <c r="P367">
        <v>89</v>
      </c>
      <c r="Q367">
        <v>3.3</v>
      </c>
      <c r="R367" t="b">
        <v>1</v>
      </c>
      <c r="S367" t="s">
        <v>28</v>
      </c>
      <c r="T367">
        <v>2002</v>
      </c>
      <c r="U367" t="s">
        <v>65</v>
      </c>
      <c r="V367" t="s">
        <v>52</v>
      </c>
      <c r="W367" t="s">
        <v>53</v>
      </c>
    </row>
    <row r="368" spans="1:23" x14ac:dyDescent="0.3">
      <c r="A368">
        <v>9354</v>
      </c>
      <c r="B368" t="s">
        <v>261</v>
      </c>
      <c r="C368" s="1">
        <v>45128</v>
      </c>
      <c r="D368" s="1">
        <v>45626</v>
      </c>
      <c r="E368">
        <v>11.99</v>
      </c>
      <c r="F368">
        <v>133</v>
      </c>
      <c r="G368" t="s">
        <v>24</v>
      </c>
      <c r="H368">
        <v>4</v>
      </c>
      <c r="I368">
        <v>6</v>
      </c>
      <c r="J368" t="b">
        <v>0</v>
      </c>
      <c r="K368">
        <v>469</v>
      </c>
      <c r="L368">
        <v>182</v>
      </c>
      <c r="M368" t="s">
        <v>59</v>
      </c>
      <c r="N368" t="s">
        <v>26</v>
      </c>
      <c r="O368" t="s">
        <v>56</v>
      </c>
      <c r="P368">
        <v>85</v>
      </c>
      <c r="Q368">
        <v>4.4000000000000004</v>
      </c>
      <c r="R368" t="b">
        <v>0</v>
      </c>
      <c r="S368" t="s">
        <v>28</v>
      </c>
      <c r="T368">
        <v>782</v>
      </c>
      <c r="U368" t="s">
        <v>65</v>
      </c>
      <c r="V368" t="s">
        <v>30</v>
      </c>
      <c r="W368" t="s">
        <v>75</v>
      </c>
    </row>
    <row r="369" spans="1:23" x14ac:dyDescent="0.3">
      <c r="A369">
        <v>8122</v>
      </c>
      <c r="B369" t="s">
        <v>266</v>
      </c>
      <c r="C369" s="1">
        <v>45546</v>
      </c>
      <c r="D369" s="1">
        <v>45625</v>
      </c>
      <c r="E369">
        <v>15.99</v>
      </c>
      <c r="F369">
        <v>413</v>
      </c>
      <c r="G369" t="s">
        <v>43</v>
      </c>
      <c r="H369">
        <v>5</v>
      </c>
      <c r="I369">
        <v>2</v>
      </c>
      <c r="J369" t="b">
        <v>0</v>
      </c>
      <c r="K369">
        <v>708</v>
      </c>
      <c r="L369">
        <v>4</v>
      </c>
      <c r="M369" t="s">
        <v>44</v>
      </c>
      <c r="N369" t="s">
        <v>49</v>
      </c>
      <c r="O369" t="s">
        <v>67</v>
      </c>
      <c r="P369">
        <v>62</v>
      </c>
      <c r="Q369">
        <v>4.3</v>
      </c>
      <c r="R369" t="b">
        <v>1</v>
      </c>
      <c r="S369" t="s">
        <v>28</v>
      </c>
      <c r="T369">
        <v>4056</v>
      </c>
      <c r="U369" t="s">
        <v>29</v>
      </c>
      <c r="V369" t="s">
        <v>68</v>
      </c>
      <c r="W369" t="s">
        <v>37</v>
      </c>
    </row>
    <row r="370" spans="1:23" x14ac:dyDescent="0.3">
      <c r="A370">
        <v>1765</v>
      </c>
      <c r="B370" t="s">
        <v>267</v>
      </c>
      <c r="C370" s="1">
        <v>45551</v>
      </c>
      <c r="D370" s="1">
        <v>45620</v>
      </c>
      <c r="E370">
        <v>11.99</v>
      </c>
      <c r="F370">
        <v>28</v>
      </c>
      <c r="G370" t="s">
        <v>46</v>
      </c>
      <c r="H370">
        <v>4</v>
      </c>
      <c r="I370">
        <v>1</v>
      </c>
      <c r="J370" t="b">
        <v>1</v>
      </c>
      <c r="K370">
        <v>990</v>
      </c>
      <c r="L370">
        <v>88</v>
      </c>
      <c r="M370" t="s">
        <v>44</v>
      </c>
      <c r="N370" t="s">
        <v>49</v>
      </c>
      <c r="O370" t="s">
        <v>67</v>
      </c>
      <c r="P370">
        <v>97</v>
      </c>
      <c r="Q370">
        <v>5</v>
      </c>
      <c r="R370" t="b">
        <v>0</v>
      </c>
      <c r="S370" t="s">
        <v>28</v>
      </c>
      <c r="T370">
        <v>1341</v>
      </c>
      <c r="U370" t="s">
        <v>65</v>
      </c>
      <c r="V370" t="s">
        <v>30</v>
      </c>
      <c r="W370" t="s">
        <v>31</v>
      </c>
    </row>
    <row r="371" spans="1:23" x14ac:dyDescent="0.3">
      <c r="A371">
        <v>5352</v>
      </c>
      <c r="B371" t="s">
        <v>187</v>
      </c>
      <c r="C371" s="1">
        <v>45307</v>
      </c>
      <c r="D371" s="1">
        <v>45640</v>
      </c>
      <c r="E371">
        <v>15.99</v>
      </c>
      <c r="F371">
        <v>453</v>
      </c>
      <c r="G371" t="s">
        <v>33</v>
      </c>
      <c r="H371">
        <v>5</v>
      </c>
      <c r="I371">
        <v>3</v>
      </c>
      <c r="J371" t="b">
        <v>1</v>
      </c>
      <c r="K371">
        <v>236</v>
      </c>
      <c r="L371">
        <v>121</v>
      </c>
      <c r="M371" t="s">
        <v>25</v>
      </c>
      <c r="N371" t="s">
        <v>64</v>
      </c>
      <c r="O371" t="s">
        <v>41</v>
      </c>
      <c r="P371">
        <v>1</v>
      </c>
      <c r="Q371">
        <v>3.7</v>
      </c>
      <c r="R371" t="b">
        <v>0</v>
      </c>
      <c r="S371" t="s">
        <v>28</v>
      </c>
      <c r="T371">
        <v>3028</v>
      </c>
      <c r="U371" t="s">
        <v>35</v>
      </c>
      <c r="V371" t="s">
        <v>68</v>
      </c>
      <c r="W371" t="s">
        <v>53</v>
      </c>
    </row>
    <row r="372" spans="1:23" x14ac:dyDescent="0.3">
      <c r="A372">
        <v>7578</v>
      </c>
      <c r="B372" t="s">
        <v>94</v>
      </c>
      <c r="C372" s="1">
        <v>45202</v>
      </c>
      <c r="D372" s="1">
        <v>45629</v>
      </c>
      <c r="E372">
        <v>11.99</v>
      </c>
      <c r="F372">
        <v>186</v>
      </c>
      <c r="G372" t="s">
        <v>33</v>
      </c>
      <c r="H372">
        <v>2</v>
      </c>
      <c r="I372">
        <v>5</v>
      </c>
      <c r="J372" t="b">
        <v>1</v>
      </c>
      <c r="K372">
        <v>784</v>
      </c>
      <c r="L372">
        <v>29</v>
      </c>
      <c r="M372" t="s">
        <v>25</v>
      </c>
      <c r="N372" t="s">
        <v>40</v>
      </c>
      <c r="O372" t="s">
        <v>34</v>
      </c>
      <c r="P372">
        <v>76</v>
      </c>
      <c r="Q372">
        <v>4.3</v>
      </c>
      <c r="R372" t="b">
        <v>1</v>
      </c>
      <c r="S372" t="s">
        <v>28</v>
      </c>
      <c r="T372">
        <v>4799</v>
      </c>
      <c r="U372" t="s">
        <v>35</v>
      </c>
      <c r="V372" t="s">
        <v>52</v>
      </c>
      <c r="W372" t="s">
        <v>53</v>
      </c>
    </row>
    <row r="373" spans="1:23" x14ac:dyDescent="0.3">
      <c r="A373">
        <v>8912</v>
      </c>
      <c r="B373" t="s">
        <v>114</v>
      </c>
      <c r="C373" s="1">
        <v>45540</v>
      </c>
      <c r="D373" s="1">
        <v>45617</v>
      </c>
      <c r="E373">
        <v>15.99</v>
      </c>
      <c r="F373">
        <v>287</v>
      </c>
      <c r="G373" t="s">
        <v>79</v>
      </c>
      <c r="H373">
        <v>3</v>
      </c>
      <c r="I373">
        <v>6</v>
      </c>
      <c r="J373" t="b">
        <v>0</v>
      </c>
      <c r="K373">
        <v>714</v>
      </c>
      <c r="L373">
        <v>3</v>
      </c>
      <c r="M373" t="s">
        <v>48</v>
      </c>
      <c r="N373" t="s">
        <v>40</v>
      </c>
      <c r="O373" t="s">
        <v>41</v>
      </c>
      <c r="P373">
        <v>45</v>
      </c>
      <c r="Q373">
        <v>4.3</v>
      </c>
      <c r="R373" t="b">
        <v>1</v>
      </c>
      <c r="S373" t="s">
        <v>28</v>
      </c>
      <c r="T373">
        <v>4556</v>
      </c>
      <c r="U373" t="s">
        <v>65</v>
      </c>
      <c r="V373" t="s">
        <v>60</v>
      </c>
      <c r="W373" t="s">
        <v>53</v>
      </c>
    </row>
    <row r="374" spans="1:23" x14ac:dyDescent="0.3">
      <c r="A374">
        <v>6641</v>
      </c>
      <c r="B374" t="s">
        <v>100</v>
      </c>
      <c r="C374" s="1">
        <v>45493</v>
      </c>
      <c r="D374" s="1">
        <v>45634</v>
      </c>
      <c r="E374">
        <v>7.99</v>
      </c>
      <c r="F374">
        <v>45</v>
      </c>
      <c r="G374" t="s">
        <v>55</v>
      </c>
      <c r="H374">
        <v>4</v>
      </c>
      <c r="I374">
        <v>3</v>
      </c>
      <c r="J374" t="b">
        <v>0</v>
      </c>
      <c r="K374">
        <v>420</v>
      </c>
      <c r="L374">
        <v>87</v>
      </c>
      <c r="M374" t="s">
        <v>44</v>
      </c>
      <c r="N374" t="s">
        <v>64</v>
      </c>
      <c r="O374" t="s">
        <v>41</v>
      </c>
      <c r="P374">
        <v>41</v>
      </c>
      <c r="Q374">
        <v>3.3</v>
      </c>
      <c r="R374" t="b">
        <v>1</v>
      </c>
      <c r="S374" t="s">
        <v>28</v>
      </c>
      <c r="T374">
        <v>2965</v>
      </c>
      <c r="U374" t="s">
        <v>57</v>
      </c>
      <c r="V374" t="s">
        <v>68</v>
      </c>
      <c r="W374" t="s">
        <v>37</v>
      </c>
    </row>
    <row r="375" spans="1:23" x14ac:dyDescent="0.3">
      <c r="A375">
        <v>9664</v>
      </c>
      <c r="B375" t="s">
        <v>268</v>
      </c>
      <c r="C375" s="1">
        <v>45118</v>
      </c>
      <c r="D375" s="1">
        <v>45618</v>
      </c>
      <c r="E375">
        <v>11.99</v>
      </c>
      <c r="F375">
        <v>463</v>
      </c>
      <c r="G375" t="s">
        <v>62</v>
      </c>
      <c r="H375">
        <v>5</v>
      </c>
      <c r="I375">
        <v>4</v>
      </c>
      <c r="J375" t="b">
        <v>0</v>
      </c>
      <c r="K375">
        <v>961</v>
      </c>
      <c r="L375">
        <v>9</v>
      </c>
      <c r="M375" t="s">
        <v>44</v>
      </c>
      <c r="N375" t="s">
        <v>64</v>
      </c>
      <c r="O375" t="s">
        <v>50</v>
      </c>
      <c r="P375">
        <v>62</v>
      </c>
      <c r="Q375">
        <v>3.4</v>
      </c>
      <c r="R375" t="b">
        <v>1</v>
      </c>
      <c r="S375" t="s">
        <v>28</v>
      </c>
      <c r="T375">
        <v>3556</v>
      </c>
      <c r="U375" t="s">
        <v>57</v>
      </c>
      <c r="V375" t="s">
        <v>52</v>
      </c>
      <c r="W375" t="s">
        <v>37</v>
      </c>
    </row>
    <row r="376" spans="1:23" x14ac:dyDescent="0.3">
      <c r="A376">
        <v>9134</v>
      </c>
      <c r="B376" t="s">
        <v>94</v>
      </c>
      <c r="C376" s="1">
        <v>44952</v>
      </c>
      <c r="D376" s="1">
        <v>45615</v>
      </c>
      <c r="E376">
        <v>15.99</v>
      </c>
      <c r="F376">
        <v>241</v>
      </c>
      <c r="G376" t="s">
        <v>43</v>
      </c>
      <c r="H376">
        <v>1</v>
      </c>
      <c r="I376">
        <v>5</v>
      </c>
      <c r="J376" t="b">
        <v>1</v>
      </c>
      <c r="K376">
        <v>775</v>
      </c>
      <c r="L376">
        <v>194</v>
      </c>
      <c r="M376" t="s">
        <v>74</v>
      </c>
      <c r="N376" t="s">
        <v>40</v>
      </c>
      <c r="O376" t="s">
        <v>27</v>
      </c>
      <c r="P376">
        <v>94</v>
      </c>
      <c r="Q376">
        <v>3.1</v>
      </c>
      <c r="R376" t="b">
        <v>0</v>
      </c>
      <c r="S376" t="s">
        <v>28</v>
      </c>
      <c r="T376">
        <v>2901</v>
      </c>
      <c r="U376" t="s">
        <v>57</v>
      </c>
      <c r="V376" t="s">
        <v>68</v>
      </c>
      <c r="W376" t="s">
        <v>53</v>
      </c>
    </row>
    <row r="377" spans="1:23" x14ac:dyDescent="0.3">
      <c r="A377">
        <v>6663</v>
      </c>
      <c r="B377" t="s">
        <v>124</v>
      </c>
      <c r="C377" s="1">
        <v>45431</v>
      </c>
      <c r="D377" s="1">
        <v>45633</v>
      </c>
      <c r="E377">
        <v>7.99</v>
      </c>
      <c r="F377">
        <v>11</v>
      </c>
      <c r="G377" t="s">
        <v>46</v>
      </c>
      <c r="H377">
        <v>4</v>
      </c>
      <c r="I377">
        <v>1</v>
      </c>
      <c r="J377" t="b">
        <v>1</v>
      </c>
      <c r="K377">
        <v>773</v>
      </c>
      <c r="L377">
        <v>139</v>
      </c>
      <c r="M377" t="s">
        <v>63</v>
      </c>
      <c r="N377" t="s">
        <v>40</v>
      </c>
      <c r="O377" t="s">
        <v>34</v>
      </c>
      <c r="P377">
        <v>45</v>
      </c>
      <c r="Q377">
        <v>4.0999999999999996</v>
      </c>
      <c r="R377" t="b">
        <v>0</v>
      </c>
      <c r="S377" t="s">
        <v>28</v>
      </c>
      <c r="T377">
        <v>3520</v>
      </c>
      <c r="U377" t="s">
        <v>65</v>
      </c>
      <c r="V377" t="s">
        <v>68</v>
      </c>
      <c r="W377" t="s">
        <v>37</v>
      </c>
    </row>
    <row r="378" spans="1:23" x14ac:dyDescent="0.3">
      <c r="A378">
        <v>9800</v>
      </c>
      <c r="B378" t="s">
        <v>269</v>
      </c>
      <c r="C378" s="1">
        <v>44926</v>
      </c>
      <c r="D378" s="1">
        <v>45631</v>
      </c>
      <c r="E378">
        <v>15.99</v>
      </c>
      <c r="F378">
        <v>123</v>
      </c>
      <c r="G378" t="s">
        <v>55</v>
      </c>
      <c r="H378">
        <v>1</v>
      </c>
      <c r="I378">
        <v>1</v>
      </c>
      <c r="J378" t="b">
        <v>1</v>
      </c>
      <c r="K378">
        <v>841</v>
      </c>
      <c r="L378">
        <v>45</v>
      </c>
      <c r="M378" t="s">
        <v>44</v>
      </c>
      <c r="N378" t="s">
        <v>26</v>
      </c>
      <c r="O378" t="s">
        <v>27</v>
      </c>
      <c r="P378">
        <v>76</v>
      </c>
      <c r="Q378">
        <v>4.3</v>
      </c>
      <c r="R378" t="b">
        <v>1</v>
      </c>
      <c r="S378" t="s">
        <v>28</v>
      </c>
      <c r="T378">
        <v>3983</v>
      </c>
      <c r="U378" t="s">
        <v>29</v>
      </c>
      <c r="V378" t="s">
        <v>30</v>
      </c>
      <c r="W378" t="s">
        <v>31</v>
      </c>
    </row>
    <row r="379" spans="1:23" x14ac:dyDescent="0.3">
      <c r="A379">
        <v>2363</v>
      </c>
      <c r="B379" t="s">
        <v>248</v>
      </c>
      <c r="C379" s="1">
        <v>45067</v>
      </c>
      <c r="D379" s="1">
        <v>45627</v>
      </c>
      <c r="E379">
        <v>7.99</v>
      </c>
      <c r="F379">
        <v>411</v>
      </c>
      <c r="G379" t="s">
        <v>46</v>
      </c>
      <c r="H379">
        <v>3</v>
      </c>
      <c r="I379">
        <v>2</v>
      </c>
      <c r="J379" t="b">
        <v>1</v>
      </c>
      <c r="K379">
        <v>412</v>
      </c>
      <c r="L379">
        <v>20</v>
      </c>
      <c r="M379" t="s">
        <v>59</v>
      </c>
      <c r="N379" t="s">
        <v>26</v>
      </c>
      <c r="O379" t="s">
        <v>50</v>
      </c>
      <c r="P379">
        <v>94</v>
      </c>
      <c r="Q379">
        <v>4.7</v>
      </c>
      <c r="R379" t="b">
        <v>1</v>
      </c>
      <c r="S379" t="s">
        <v>28</v>
      </c>
      <c r="T379">
        <v>4632</v>
      </c>
      <c r="U379" t="s">
        <v>29</v>
      </c>
      <c r="V379" t="s">
        <v>36</v>
      </c>
      <c r="W379" t="s">
        <v>37</v>
      </c>
    </row>
    <row r="380" spans="1:23" x14ac:dyDescent="0.3">
      <c r="A380">
        <v>4875</v>
      </c>
      <c r="B380" t="s">
        <v>176</v>
      </c>
      <c r="C380" s="1">
        <v>45403</v>
      </c>
      <c r="D380" s="1">
        <v>45619</v>
      </c>
      <c r="E380">
        <v>7.99</v>
      </c>
      <c r="F380">
        <v>469</v>
      </c>
      <c r="G380" t="s">
        <v>62</v>
      </c>
      <c r="H380">
        <v>2</v>
      </c>
      <c r="I380">
        <v>1</v>
      </c>
      <c r="J380" t="b">
        <v>0</v>
      </c>
      <c r="K380">
        <v>160</v>
      </c>
      <c r="L380">
        <v>79</v>
      </c>
      <c r="M380" t="s">
        <v>63</v>
      </c>
      <c r="N380" t="s">
        <v>40</v>
      </c>
      <c r="O380" t="s">
        <v>67</v>
      </c>
      <c r="P380">
        <v>57</v>
      </c>
      <c r="Q380">
        <v>4.5</v>
      </c>
      <c r="R380" t="b">
        <v>1</v>
      </c>
      <c r="S380" t="s">
        <v>28</v>
      </c>
      <c r="T380">
        <v>314</v>
      </c>
      <c r="U380" t="s">
        <v>29</v>
      </c>
      <c r="V380" t="s">
        <v>36</v>
      </c>
      <c r="W380" t="s">
        <v>31</v>
      </c>
    </row>
    <row r="381" spans="1:23" x14ac:dyDescent="0.3">
      <c r="A381">
        <v>8961</v>
      </c>
      <c r="B381" t="s">
        <v>98</v>
      </c>
      <c r="C381" s="1">
        <v>45116</v>
      </c>
      <c r="D381" s="1">
        <v>45633</v>
      </c>
      <c r="E381">
        <v>11.99</v>
      </c>
      <c r="F381">
        <v>120</v>
      </c>
      <c r="G381" t="s">
        <v>55</v>
      </c>
      <c r="H381">
        <v>3</v>
      </c>
      <c r="I381">
        <v>6</v>
      </c>
      <c r="J381" t="b">
        <v>0</v>
      </c>
      <c r="K381">
        <v>346</v>
      </c>
      <c r="L381">
        <v>125</v>
      </c>
      <c r="M381" t="s">
        <v>25</v>
      </c>
      <c r="N381" t="s">
        <v>64</v>
      </c>
      <c r="O381" t="s">
        <v>34</v>
      </c>
      <c r="P381">
        <v>25</v>
      </c>
      <c r="Q381">
        <v>4.0999999999999996</v>
      </c>
      <c r="R381" t="b">
        <v>0</v>
      </c>
      <c r="S381" t="s">
        <v>28</v>
      </c>
      <c r="T381">
        <v>4012</v>
      </c>
      <c r="U381" t="s">
        <v>35</v>
      </c>
      <c r="V381" t="s">
        <v>36</v>
      </c>
      <c r="W381" t="s">
        <v>53</v>
      </c>
    </row>
    <row r="382" spans="1:23" x14ac:dyDescent="0.3">
      <c r="A382">
        <v>1539</v>
      </c>
      <c r="B382" t="s">
        <v>66</v>
      </c>
      <c r="C382" s="1">
        <v>45533</v>
      </c>
      <c r="D382" s="1">
        <v>45625</v>
      </c>
      <c r="E382">
        <v>15.99</v>
      </c>
      <c r="F382">
        <v>348</v>
      </c>
      <c r="G382" t="s">
        <v>33</v>
      </c>
      <c r="H382">
        <v>1</v>
      </c>
      <c r="I382">
        <v>5</v>
      </c>
      <c r="J382" t="b">
        <v>1</v>
      </c>
      <c r="K382">
        <v>266</v>
      </c>
      <c r="L382">
        <v>94</v>
      </c>
      <c r="M382" t="s">
        <v>59</v>
      </c>
      <c r="N382" t="s">
        <v>40</v>
      </c>
      <c r="O382" t="s">
        <v>56</v>
      </c>
      <c r="P382">
        <v>82</v>
      </c>
      <c r="Q382">
        <v>4.3</v>
      </c>
      <c r="R382" t="b">
        <v>1</v>
      </c>
      <c r="S382" t="s">
        <v>28</v>
      </c>
      <c r="T382">
        <v>2356</v>
      </c>
      <c r="U382" t="s">
        <v>57</v>
      </c>
      <c r="V382" t="s">
        <v>60</v>
      </c>
      <c r="W382" t="s">
        <v>53</v>
      </c>
    </row>
    <row r="383" spans="1:23" x14ac:dyDescent="0.3">
      <c r="A383">
        <v>4037</v>
      </c>
      <c r="B383" t="s">
        <v>246</v>
      </c>
      <c r="C383" s="1">
        <v>45260</v>
      </c>
      <c r="D383" s="1">
        <v>45640</v>
      </c>
      <c r="E383">
        <v>11.99</v>
      </c>
      <c r="F383">
        <v>103</v>
      </c>
      <c r="G383" t="s">
        <v>79</v>
      </c>
      <c r="H383">
        <v>4</v>
      </c>
      <c r="I383">
        <v>4</v>
      </c>
      <c r="J383" t="b">
        <v>0</v>
      </c>
      <c r="K383">
        <v>305</v>
      </c>
      <c r="L383">
        <v>191</v>
      </c>
      <c r="M383" t="s">
        <v>39</v>
      </c>
      <c r="N383" t="s">
        <v>26</v>
      </c>
      <c r="O383" t="s">
        <v>67</v>
      </c>
      <c r="P383">
        <v>98</v>
      </c>
      <c r="Q383">
        <v>4.7</v>
      </c>
      <c r="R383" t="b">
        <v>1</v>
      </c>
      <c r="S383" t="s">
        <v>28</v>
      </c>
      <c r="T383">
        <v>1824</v>
      </c>
      <c r="U383" t="s">
        <v>65</v>
      </c>
      <c r="V383" t="s">
        <v>52</v>
      </c>
      <c r="W383" t="s">
        <v>75</v>
      </c>
    </row>
    <row r="384" spans="1:23" x14ac:dyDescent="0.3">
      <c r="A384">
        <v>4239</v>
      </c>
      <c r="B384" t="s">
        <v>176</v>
      </c>
      <c r="C384" s="1">
        <v>45614</v>
      </c>
      <c r="D384" s="1">
        <v>45619</v>
      </c>
      <c r="E384">
        <v>7.99</v>
      </c>
      <c r="F384">
        <v>470</v>
      </c>
      <c r="G384" t="s">
        <v>62</v>
      </c>
      <c r="H384">
        <v>2</v>
      </c>
      <c r="I384">
        <v>3</v>
      </c>
      <c r="J384" t="b">
        <v>0</v>
      </c>
      <c r="K384">
        <v>89</v>
      </c>
      <c r="L384">
        <v>135</v>
      </c>
      <c r="M384" t="s">
        <v>48</v>
      </c>
      <c r="N384" t="s">
        <v>40</v>
      </c>
      <c r="O384" t="s">
        <v>41</v>
      </c>
      <c r="P384">
        <v>45</v>
      </c>
      <c r="Q384">
        <v>4.5</v>
      </c>
      <c r="R384" t="b">
        <v>0</v>
      </c>
      <c r="S384" t="s">
        <v>28</v>
      </c>
      <c r="T384">
        <v>4236</v>
      </c>
      <c r="U384" t="s">
        <v>29</v>
      </c>
      <c r="V384" t="s">
        <v>52</v>
      </c>
      <c r="W384" t="s">
        <v>53</v>
      </c>
    </row>
    <row r="385" spans="1:23" x14ac:dyDescent="0.3">
      <c r="A385">
        <v>4364</v>
      </c>
      <c r="B385" t="s">
        <v>219</v>
      </c>
      <c r="C385" s="1">
        <v>45592</v>
      </c>
      <c r="D385" s="1">
        <v>45627</v>
      </c>
      <c r="E385">
        <v>7.99</v>
      </c>
      <c r="F385">
        <v>241</v>
      </c>
      <c r="G385" t="s">
        <v>79</v>
      </c>
      <c r="H385">
        <v>3</v>
      </c>
      <c r="I385">
        <v>6</v>
      </c>
      <c r="J385" t="b">
        <v>0</v>
      </c>
      <c r="K385">
        <v>905</v>
      </c>
      <c r="L385">
        <v>127</v>
      </c>
      <c r="M385" t="s">
        <v>48</v>
      </c>
      <c r="N385" t="s">
        <v>26</v>
      </c>
      <c r="O385" t="s">
        <v>50</v>
      </c>
      <c r="P385">
        <v>93</v>
      </c>
      <c r="Q385">
        <v>4</v>
      </c>
      <c r="R385" t="b">
        <v>0</v>
      </c>
      <c r="S385" t="s">
        <v>28</v>
      </c>
      <c r="T385">
        <v>2102</v>
      </c>
      <c r="U385" t="s">
        <v>35</v>
      </c>
      <c r="V385" t="s">
        <v>30</v>
      </c>
      <c r="W385" t="s">
        <v>53</v>
      </c>
    </row>
    <row r="386" spans="1:23" x14ac:dyDescent="0.3">
      <c r="A386">
        <v>8946</v>
      </c>
      <c r="B386" t="s">
        <v>270</v>
      </c>
      <c r="C386" s="1">
        <v>45430</v>
      </c>
      <c r="D386" s="1">
        <v>45640</v>
      </c>
      <c r="E386">
        <v>15.99</v>
      </c>
      <c r="F386">
        <v>277</v>
      </c>
      <c r="G386" t="s">
        <v>79</v>
      </c>
      <c r="H386">
        <v>3</v>
      </c>
      <c r="I386">
        <v>5</v>
      </c>
      <c r="J386" t="b">
        <v>0</v>
      </c>
      <c r="K386">
        <v>959</v>
      </c>
      <c r="L386">
        <v>174</v>
      </c>
      <c r="M386" t="s">
        <v>25</v>
      </c>
      <c r="N386" t="s">
        <v>26</v>
      </c>
      <c r="O386" t="s">
        <v>67</v>
      </c>
      <c r="P386">
        <v>51</v>
      </c>
      <c r="Q386">
        <v>3.4</v>
      </c>
      <c r="R386" t="b">
        <v>1</v>
      </c>
      <c r="S386" t="s">
        <v>28</v>
      </c>
      <c r="T386">
        <v>1876</v>
      </c>
      <c r="U386" t="s">
        <v>29</v>
      </c>
      <c r="V386" t="s">
        <v>36</v>
      </c>
      <c r="W386" t="s">
        <v>31</v>
      </c>
    </row>
    <row r="387" spans="1:23" x14ac:dyDescent="0.3">
      <c r="A387">
        <v>5911</v>
      </c>
      <c r="B387" t="s">
        <v>94</v>
      </c>
      <c r="C387" s="1">
        <v>45293</v>
      </c>
      <c r="D387" s="1">
        <v>45636</v>
      </c>
      <c r="E387">
        <v>7.99</v>
      </c>
      <c r="F387">
        <v>158</v>
      </c>
      <c r="G387" t="s">
        <v>79</v>
      </c>
      <c r="H387">
        <v>3</v>
      </c>
      <c r="I387">
        <v>1</v>
      </c>
      <c r="J387" t="b">
        <v>1</v>
      </c>
      <c r="K387">
        <v>426</v>
      </c>
      <c r="L387">
        <v>7</v>
      </c>
      <c r="M387" t="s">
        <v>74</v>
      </c>
      <c r="N387" t="s">
        <v>64</v>
      </c>
      <c r="O387" t="s">
        <v>67</v>
      </c>
      <c r="P387">
        <v>36</v>
      </c>
      <c r="Q387">
        <v>3.6</v>
      </c>
      <c r="R387" t="b">
        <v>0</v>
      </c>
      <c r="S387" t="s">
        <v>28</v>
      </c>
      <c r="T387">
        <v>242</v>
      </c>
      <c r="U387" t="s">
        <v>65</v>
      </c>
      <c r="V387" t="s">
        <v>68</v>
      </c>
      <c r="W387" t="s">
        <v>53</v>
      </c>
    </row>
    <row r="388" spans="1:23" x14ac:dyDescent="0.3">
      <c r="A388">
        <v>8033</v>
      </c>
      <c r="B388" t="s">
        <v>233</v>
      </c>
      <c r="C388" s="1">
        <v>45309</v>
      </c>
      <c r="D388" s="1">
        <v>45624</v>
      </c>
      <c r="E388">
        <v>15.99</v>
      </c>
      <c r="F388">
        <v>23</v>
      </c>
      <c r="G388" t="s">
        <v>79</v>
      </c>
      <c r="H388">
        <v>1</v>
      </c>
      <c r="I388">
        <v>1</v>
      </c>
      <c r="J388" t="b">
        <v>0</v>
      </c>
      <c r="K388">
        <v>585</v>
      </c>
      <c r="L388">
        <v>97</v>
      </c>
      <c r="M388" t="s">
        <v>59</v>
      </c>
      <c r="N388" t="s">
        <v>40</v>
      </c>
      <c r="O388" t="s">
        <v>27</v>
      </c>
      <c r="P388">
        <v>23</v>
      </c>
      <c r="Q388">
        <v>3.4</v>
      </c>
      <c r="R388" t="b">
        <v>1</v>
      </c>
      <c r="S388" t="s">
        <v>28</v>
      </c>
      <c r="T388">
        <v>4531</v>
      </c>
      <c r="U388" t="s">
        <v>65</v>
      </c>
      <c r="V388" t="s">
        <v>36</v>
      </c>
      <c r="W388" t="s">
        <v>37</v>
      </c>
    </row>
    <row r="389" spans="1:23" x14ac:dyDescent="0.3">
      <c r="A389">
        <v>6603</v>
      </c>
      <c r="B389" t="s">
        <v>181</v>
      </c>
      <c r="C389" s="1">
        <v>45321</v>
      </c>
      <c r="D389" s="1">
        <v>45633</v>
      </c>
      <c r="E389">
        <v>11.99</v>
      </c>
      <c r="F389">
        <v>200</v>
      </c>
      <c r="G389" t="s">
        <v>79</v>
      </c>
      <c r="H389">
        <v>4</v>
      </c>
      <c r="I389">
        <v>5</v>
      </c>
      <c r="J389" t="b">
        <v>0</v>
      </c>
      <c r="K389">
        <v>65</v>
      </c>
      <c r="L389">
        <v>11</v>
      </c>
      <c r="M389" t="s">
        <v>59</v>
      </c>
      <c r="N389" t="s">
        <v>64</v>
      </c>
      <c r="O389" t="s">
        <v>67</v>
      </c>
      <c r="P389">
        <v>30</v>
      </c>
      <c r="Q389">
        <v>3.2</v>
      </c>
      <c r="R389" t="b">
        <v>1</v>
      </c>
      <c r="S389" t="s">
        <v>28</v>
      </c>
      <c r="T389">
        <v>959</v>
      </c>
      <c r="U389" t="s">
        <v>35</v>
      </c>
      <c r="V389" t="s">
        <v>36</v>
      </c>
      <c r="W389" t="s">
        <v>75</v>
      </c>
    </row>
    <row r="390" spans="1:23" x14ac:dyDescent="0.3">
      <c r="A390">
        <v>9630</v>
      </c>
      <c r="B390" t="s">
        <v>80</v>
      </c>
      <c r="C390" s="1">
        <v>45078</v>
      </c>
      <c r="D390" s="1">
        <v>45622</v>
      </c>
      <c r="E390">
        <v>7.99</v>
      </c>
      <c r="F390">
        <v>264</v>
      </c>
      <c r="G390" t="s">
        <v>33</v>
      </c>
      <c r="H390">
        <v>5</v>
      </c>
      <c r="I390">
        <v>6</v>
      </c>
      <c r="J390" t="b">
        <v>0</v>
      </c>
      <c r="K390">
        <v>367</v>
      </c>
      <c r="L390">
        <v>163</v>
      </c>
      <c r="M390" t="s">
        <v>63</v>
      </c>
      <c r="N390" t="s">
        <v>64</v>
      </c>
      <c r="O390" t="s">
        <v>67</v>
      </c>
      <c r="P390">
        <v>88</v>
      </c>
      <c r="Q390">
        <v>3.5</v>
      </c>
      <c r="R390" t="b">
        <v>1</v>
      </c>
      <c r="S390" t="s">
        <v>28</v>
      </c>
      <c r="T390">
        <v>2156</v>
      </c>
      <c r="U390" t="s">
        <v>57</v>
      </c>
      <c r="V390" t="s">
        <v>60</v>
      </c>
      <c r="W390" t="s">
        <v>31</v>
      </c>
    </row>
    <row r="391" spans="1:23" x14ac:dyDescent="0.3">
      <c r="A391">
        <v>1691</v>
      </c>
      <c r="B391" t="s">
        <v>104</v>
      </c>
      <c r="C391" s="1">
        <v>45173</v>
      </c>
      <c r="D391" s="1">
        <v>45633</v>
      </c>
      <c r="E391">
        <v>11.99</v>
      </c>
      <c r="F391">
        <v>309</v>
      </c>
      <c r="G391" t="s">
        <v>43</v>
      </c>
      <c r="H391">
        <v>4</v>
      </c>
      <c r="I391">
        <v>4</v>
      </c>
      <c r="J391" t="b">
        <v>0</v>
      </c>
      <c r="K391">
        <v>891</v>
      </c>
      <c r="L391">
        <v>93</v>
      </c>
      <c r="M391" t="s">
        <v>39</v>
      </c>
      <c r="N391" t="s">
        <v>64</v>
      </c>
      <c r="O391" t="s">
        <v>50</v>
      </c>
      <c r="P391">
        <v>65</v>
      </c>
      <c r="Q391">
        <v>4</v>
      </c>
      <c r="R391" t="b">
        <v>1</v>
      </c>
      <c r="S391" t="s">
        <v>28</v>
      </c>
      <c r="T391">
        <v>1442</v>
      </c>
      <c r="U391" t="s">
        <v>51</v>
      </c>
      <c r="V391" t="s">
        <v>68</v>
      </c>
      <c r="W391" t="s">
        <v>53</v>
      </c>
    </row>
    <row r="392" spans="1:23" x14ac:dyDescent="0.3">
      <c r="A392">
        <v>5590</v>
      </c>
      <c r="B392" t="s">
        <v>72</v>
      </c>
      <c r="C392" s="1">
        <v>45500</v>
      </c>
      <c r="D392" s="1">
        <v>45641</v>
      </c>
      <c r="E392">
        <v>7.99</v>
      </c>
      <c r="F392">
        <v>30</v>
      </c>
      <c r="G392" t="s">
        <v>46</v>
      </c>
      <c r="H392">
        <v>2</v>
      </c>
      <c r="I392">
        <v>6</v>
      </c>
      <c r="J392" t="b">
        <v>0</v>
      </c>
      <c r="K392">
        <v>468</v>
      </c>
      <c r="L392">
        <v>196</v>
      </c>
      <c r="M392" t="s">
        <v>44</v>
      </c>
      <c r="N392" t="s">
        <v>26</v>
      </c>
      <c r="O392" t="s">
        <v>27</v>
      </c>
      <c r="P392">
        <v>52</v>
      </c>
      <c r="Q392">
        <v>4.5</v>
      </c>
      <c r="R392" t="b">
        <v>0</v>
      </c>
      <c r="S392" t="s">
        <v>28</v>
      </c>
      <c r="T392">
        <v>4586</v>
      </c>
      <c r="U392" t="s">
        <v>29</v>
      </c>
      <c r="V392" t="s">
        <v>52</v>
      </c>
      <c r="W392" t="s">
        <v>75</v>
      </c>
    </row>
    <row r="393" spans="1:23" x14ac:dyDescent="0.3">
      <c r="A393">
        <v>8645</v>
      </c>
      <c r="B393" t="s">
        <v>167</v>
      </c>
      <c r="C393" s="1">
        <v>45399</v>
      </c>
      <c r="D393" s="1">
        <v>45625</v>
      </c>
      <c r="E393">
        <v>11.99</v>
      </c>
      <c r="F393">
        <v>289</v>
      </c>
      <c r="G393" t="s">
        <v>43</v>
      </c>
      <c r="H393">
        <v>4</v>
      </c>
      <c r="I393">
        <v>3</v>
      </c>
      <c r="J393" t="b">
        <v>1</v>
      </c>
      <c r="K393">
        <v>999</v>
      </c>
      <c r="L393">
        <v>22</v>
      </c>
      <c r="M393" t="s">
        <v>25</v>
      </c>
      <c r="N393" t="s">
        <v>26</v>
      </c>
      <c r="O393" t="s">
        <v>41</v>
      </c>
      <c r="P393">
        <v>50</v>
      </c>
      <c r="Q393">
        <v>4.3</v>
      </c>
      <c r="R393" t="b">
        <v>1</v>
      </c>
      <c r="S393" t="s">
        <v>28</v>
      </c>
      <c r="T393">
        <v>4170</v>
      </c>
      <c r="U393" t="s">
        <v>51</v>
      </c>
      <c r="V393" t="s">
        <v>68</v>
      </c>
      <c r="W393" t="s">
        <v>31</v>
      </c>
    </row>
    <row r="394" spans="1:23" x14ac:dyDescent="0.3">
      <c r="A394">
        <v>7663</v>
      </c>
      <c r="B394" t="s">
        <v>121</v>
      </c>
      <c r="C394" s="1">
        <v>45417</v>
      </c>
      <c r="D394" s="1">
        <v>45624</v>
      </c>
      <c r="E394">
        <v>7.99</v>
      </c>
      <c r="F394">
        <v>432</v>
      </c>
      <c r="G394" t="s">
        <v>46</v>
      </c>
      <c r="H394">
        <v>5</v>
      </c>
      <c r="I394">
        <v>4</v>
      </c>
      <c r="J394" t="b">
        <v>1</v>
      </c>
      <c r="K394">
        <v>263</v>
      </c>
      <c r="L394">
        <v>55</v>
      </c>
      <c r="M394" t="s">
        <v>74</v>
      </c>
      <c r="N394" t="s">
        <v>49</v>
      </c>
      <c r="O394" t="s">
        <v>56</v>
      </c>
      <c r="P394">
        <v>22</v>
      </c>
      <c r="Q394">
        <v>3.5</v>
      </c>
      <c r="R394" t="b">
        <v>1</v>
      </c>
      <c r="S394" t="s">
        <v>28</v>
      </c>
      <c r="T394">
        <v>1294</v>
      </c>
      <c r="U394" t="s">
        <v>35</v>
      </c>
      <c r="V394" t="s">
        <v>60</v>
      </c>
      <c r="W394" t="s">
        <v>53</v>
      </c>
    </row>
    <row r="395" spans="1:23" x14ac:dyDescent="0.3">
      <c r="A395">
        <v>2647</v>
      </c>
      <c r="B395" t="s">
        <v>146</v>
      </c>
      <c r="C395" s="1">
        <v>45496</v>
      </c>
      <c r="D395" s="1">
        <v>45643</v>
      </c>
      <c r="E395">
        <v>7.99</v>
      </c>
      <c r="F395">
        <v>393</v>
      </c>
      <c r="G395" t="s">
        <v>55</v>
      </c>
      <c r="H395">
        <v>4</v>
      </c>
      <c r="I395">
        <v>2</v>
      </c>
      <c r="J395" t="b">
        <v>1</v>
      </c>
      <c r="K395">
        <v>487</v>
      </c>
      <c r="L395">
        <v>105</v>
      </c>
      <c r="M395" t="s">
        <v>39</v>
      </c>
      <c r="N395" t="s">
        <v>26</v>
      </c>
      <c r="O395" t="s">
        <v>67</v>
      </c>
      <c r="P395">
        <v>99</v>
      </c>
      <c r="Q395">
        <v>3.4</v>
      </c>
      <c r="R395" t="b">
        <v>0</v>
      </c>
      <c r="S395" t="s">
        <v>28</v>
      </c>
      <c r="T395">
        <v>2460</v>
      </c>
      <c r="U395" t="s">
        <v>65</v>
      </c>
      <c r="V395" t="s">
        <v>30</v>
      </c>
      <c r="W395" t="s">
        <v>53</v>
      </c>
    </row>
    <row r="396" spans="1:23" x14ac:dyDescent="0.3">
      <c r="A396">
        <v>6539</v>
      </c>
      <c r="B396" t="s">
        <v>134</v>
      </c>
      <c r="C396" s="1">
        <v>45401</v>
      </c>
      <c r="D396" s="1">
        <v>45627</v>
      </c>
      <c r="E396">
        <v>11.99</v>
      </c>
      <c r="F396">
        <v>203</v>
      </c>
      <c r="G396" t="s">
        <v>55</v>
      </c>
      <c r="H396">
        <v>1</v>
      </c>
      <c r="I396">
        <v>3</v>
      </c>
      <c r="J396" t="b">
        <v>0</v>
      </c>
      <c r="K396">
        <v>961</v>
      </c>
      <c r="L396">
        <v>41</v>
      </c>
      <c r="M396" t="s">
        <v>59</v>
      </c>
      <c r="N396" t="s">
        <v>40</v>
      </c>
      <c r="O396" t="s">
        <v>34</v>
      </c>
      <c r="P396">
        <v>76</v>
      </c>
      <c r="Q396">
        <v>4.2</v>
      </c>
      <c r="R396" t="b">
        <v>1</v>
      </c>
      <c r="S396" t="s">
        <v>28</v>
      </c>
      <c r="T396">
        <v>3276</v>
      </c>
      <c r="U396" t="s">
        <v>51</v>
      </c>
      <c r="V396" t="s">
        <v>68</v>
      </c>
      <c r="W396" t="s">
        <v>31</v>
      </c>
    </row>
    <row r="397" spans="1:23" x14ac:dyDescent="0.3">
      <c r="A397">
        <v>3472</v>
      </c>
      <c r="B397" t="s">
        <v>108</v>
      </c>
      <c r="C397" s="1">
        <v>45188</v>
      </c>
      <c r="D397" s="1">
        <v>45619</v>
      </c>
      <c r="E397">
        <v>7.99</v>
      </c>
      <c r="F397">
        <v>43</v>
      </c>
      <c r="G397" t="s">
        <v>62</v>
      </c>
      <c r="H397">
        <v>4</v>
      </c>
      <c r="I397">
        <v>1</v>
      </c>
      <c r="J397" t="b">
        <v>0</v>
      </c>
      <c r="K397">
        <v>973</v>
      </c>
      <c r="L397">
        <v>7</v>
      </c>
      <c r="M397" t="s">
        <v>44</v>
      </c>
      <c r="N397" t="s">
        <v>49</v>
      </c>
      <c r="O397" t="s">
        <v>27</v>
      </c>
      <c r="P397">
        <v>76</v>
      </c>
      <c r="Q397">
        <v>4.0999999999999996</v>
      </c>
      <c r="R397" t="b">
        <v>1</v>
      </c>
      <c r="S397" t="s">
        <v>28</v>
      </c>
      <c r="T397">
        <v>941</v>
      </c>
      <c r="U397" t="s">
        <v>29</v>
      </c>
      <c r="V397" t="s">
        <v>68</v>
      </c>
      <c r="W397" t="s">
        <v>53</v>
      </c>
    </row>
    <row r="398" spans="1:23" x14ac:dyDescent="0.3">
      <c r="A398">
        <v>4314</v>
      </c>
      <c r="B398" t="s">
        <v>229</v>
      </c>
      <c r="C398" s="1">
        <v>45117</v>
      </c>
      <c r="D398" s="1">
        <v>45641</v>
      </c>
      <c r="E398">
        <v>7.99</v>
      </c>
      <c r="F398">
        <v>311</v>
      </c>
      <c r="G398" t="s">
        <v>79</v>
      </c>
      <c r="H398">
        <v>3</v>
      </c>
      <c r="I398">
        <v>5</v>
      </c>
      <c r="J398" t="b">
        <v>1</v>
      </c>
      <c r="K398">
        <v>724</v>
      </c>
      <c r="L398">
        <v>191</v>
      </c>
      <c r="M398" t="s">
        <v>25</v>
      </c>
      <c r="N398" t="s">
        <v>26</v>
      </c>
      <c r="O398" t="s">
        <v>27</v>
      </c>
      <c r="P398">
        <v>55</v>
      </c>
      <c r="Q398">
        <v>4.7</v>
      </c>
      <c r="R398" t="b">
        <v>1</v>
      </c>
      <c r="S398" t="s">
        <v>28</v>
      </c>
      <c r="T398">
        <v>4062</v>
      </c>
      <c r="U398" t="s">
        <v>51</v>
      </c>
      <c r="V398" t="s">
        <v>30</v>
      </c>
      <c r="W398" t="s">
        <v>53</v>
      </c>
    </row>
    <row r="399" spans="1:23" x14ac:dyDescent="0.3">
      <c r="A399">
        <v>6739</v>
      </c>
      <c r="B399" t="s">
        <v>220</v>
      </c>
      <c r="C399" s="1">
        <v>45503</v>
      </c>
      <c r="D399" s="1">
        <v>45627</v>
      </c>
      <c r="E399">
        <v>11.99</v>
      </c>
      <c r="F399">
        <v>23</v>
      </c>
      <c r="G399" t="s">
        <v>46</v>
      </c>
      <c r="H399">
        <v>5</v>
      </c>
      <c r="I399">
        <v>3</v>
      </c>
      <c r="J399" t="b">
        <v>0</v>
      </c>
      <c r="K399">
        <v>725</v>
      </c>
      <c r="L399">
        <v>168</v>
      </c>
      <c r="M399" t="s">
        <v>25</v>
      </c>
      <c r="N399" t="s">
        <v>40</v>
      </c>
      <c r="O399" t="s">
        <v>27</v>
      </c>
      <c r="P399">
        <v>25</v>
      </c>
      <c r="Q399">
        <v>3.6</v>
      </c>
      <c r="R399" t="b">
        <v>1</v>
      </c>
      <c r="S399" t="s">
        <v>28</v>
      </c>
      <c r="T399">
        <v>4322</v>
      </c>
      <c r="U399" t="s">
        <v>57</v>
      </c>
      <c r="V399" t="s">
        <v>52</v>
      </c>
      <c r="W399" t="s">
        <v>31</v>
      </c>
    </row>
    <row r="400" spans="1:23" x14ac:dyDescent="0.3">
      <c r="A400">
        <v>6368</v>
      </c>
      <c r="B400" t="s">
        <v>38</v>
      </c>
      <c r="C400" s="1">
        <v>45166</v>
      </c>
      <c r="D400" s="1">
        <v>45640</v>
      </c>
      <c r="E400">
        <v>11.99</v>
      </c>
      <c r="F400">
        <v>370</v>
      </c>
      <c r="G400" t="s">
        <v>62</v>
      </c>
      <c r="H400">
        <v>3</v>
      </c>
      <c r="I400">
        <v>4</v>
      </c>
      <c r="J400" t="b">
        <v>1</v>
      </c>
      <c r="K400">
        <v>973</v>
      </c>
      <c r="L400">
        <v>152</v>
      </c>
      <c r="M400" t="s">
        <v>39</v>
      </c>
      <c r="N400" t="s">
        <v>49</v>
      </c>
      <c r="O400" t="s">
        <v>27</v>
      </c>
      <c r="P400">
        <v>98</v>
      </c>
      <c r="Q400">
        <v>3.1</v>
      </c>
      <c r="R400" t="b">
        <v>1</v>
      </c>
      <c r="S400" t="s">
        <v>28</v>
      </c>
      <c r="T400">
        <v>1456</v>
      </c>
      <c r="U400" t="s">
        <v>65</v>
      </c>
      <c r="V400" t="s">
        <v>60</v>
      </c>
      <c r="W400" t="s">
        <v>75</v>
      </c>
    </row>
    <row r="401" spans="1:23" x14ac:dyDescent="0.3">
      <c r="A401">
        <v>7309</v>
      </c>
      <c r="B401" t="s">
        <v>119</v>
      </c>
      <c r="C401" s="1">
        <v>45473</v>
      </c>
      <c r="D401" s="1">
        <v>45615</v>
      </c>
      <c r="E401">
        <v>15.99</v>
      </c>
      <c r="F401">
        <v>343</v>
      </c>
      <c r="G401" t="s">
        <v>46</v>
      </c>
      <c r="H401">
        <v>2</v>
      </c>
      <c r="I401">
        <v>2</v>
      </c>
      <c r="J401" t="b">
        <v>0</v>
      </c>
      <c r="K401">
        <v>830</v>
      </c>
      <c r="L401">
        <v>172</v>
      </c>
      <c r="M401" t="s">
        <v>39</v>
      </c>
      <c r="N401" t="s">
        <v>49</v>
      </c>
      <c r="O401" t="s">
        <v>34</v>
      </c>
      <c r="P401">
        <v>99</v>
      </c>
      <c r="Q401">
        <v>4.9000000000000004</v>
      </c>
      <c r="R401" t="b">
        <v>0</v>
      </c>
      <c r="S401" t="s">
        <v>28</v>
      </c>
      <c r="T401">
        <v>1281</v>
      </c>
      <c r="U401" t="s">
        <v>51</v>
      </c>
      <c r="V401" t="s">
        <v>60</v>
      </c>
      <c r="W401" t="s">
        <v>53</v>
      </c>
    </row>
    <row r="402" spans="1:23" x14ac:dyDescent="0.3">
      <c r="A402">
        <v>3976</v>
      </c>
      <c r="B402" t="s">
        <v>191</v>
      </c>
      <c r="C402" s="1">
        <v>45237</v>
      </c>
      <c r="D402" s="1">
        <v>45629</v>
      </c>
      <c r="E402">
        <v>7.99</v>
      </c>
      <c r="F402">
        <v>391</v>
      </c>
      <c r="G402" t="s">
        <v>43</v>
      </c>
      <c r="H402">
        <v>4</v>
      </c>
      <c r="I402">
        <v>6</v>
      </c>
      <c r="J402" t="b">
        <v>0</v>
      </c>
      <c r="K402">
        <v>726</v>
      </c>
      <c r="L402">
        <v>176</v>
      </c>
      <c r="M402" t="s">
        <v>39</v>
      </c>
      <c r="N402" t="s">
        <v>40</v>
      </c>
      <c r="O402" t="s">
        <v>67</v>
      </c>
      <c r="P402">
        <v>65</v>
      </c>
      <c r="Q402">
        <v>3.8</v>
      </c>
      <c r="R402" t="b">
        <v>0</v>
      </c>
      <c r="S402" t="s">
        <v>28</v>
      </c>
      <c r="T402">
        <v>1926</v>
      </c>
      <c r="U402" t="s">
        <v>57</v>
      </c>
      <c r="V402" t="s">
        <v>60</v>
      </c>
      <c r="W402" t="s">
        <v>75</v>
      </c>
    </row>
    <row r="403" spans="1:23" x14ac:dyDescent="0.3">
      <c r="A403">
        <v>7230</v>
      </c>
      <c r="B403" t="s">
        <v>271</v>
      </c>
      <c r="C403" s="1">
        <v>45463</v>
      </c>
      <c r="D403" s="1">
        <v>45639</v>
      </c>
      <c r="E403">
        <v>11.99</v>
      </c>
      <c r="F403">
        <v>405</v>
      </c>
      <c r="G403" t="s">
        <v>33</v>
      </c>
      <c r="H403">
        <v>3</v>
      </c>
      <c r="I403">
        <v>3</v>
      </c>
      <c r="J403" t="b">
        <v>0</v>
      </c>
      <c r="K403">
        <v>90</v>
      </c>
      <c r="L403">
        <v>151</v>
      </c>
      <c r="M403" t="s">
        <v>39</v>
      </c>
      <c r="N403" t="s">
        <v>40</v>
      </c>
      <c r="O403" t="s">
        <v>34</v>
      </c>
      <c r="P403">
        <v>64</v>
      </c>
      <c r="Q403">
        <v>4.0999999999999996</v>
      </c>
      <c r="R403" t="b">
        <v>0</v>
      </c>
      <c r="S403" t="s">
        <v>28</v>
      </c>
      <c r="T403">
        <v>1368</v>
      </c>
      <c r="U403" t="s">
        <v>51</v>
      </c>
      <c r="V403" t="s">
        <v>30</v>
      </c>
      <c r="W403" t="s">
        <v>31</v>
      </c>
    </row>
    <row r="404" spans="1:23" x14ac:dyDescent="0.3">
      <c r="A404">
        <v>8888</v>
      </c>
      <c r="B404" t="s">
        <v>213</v>
      </c>
      <c r="C404" s="1">
        <v>45404</v>
      </c>
      <c r="D404" s="1">
        <v>45639</v>
      </c>
      <c r="E404">
        <v>15.99</v>
      </c>
      <c r="F404">
        <v>14</v>
      </c>
      <c r="G404" t="s">
        <v>55</v>
      </c>
      <c r="H404">
        <v>5</v>
      </c>
      <c r="I404">
        <v>1</v>
      </c>
      <c r="J404" t="b">
        <v>0</v>
      </c>
      <c r="K404">
        <v>617</v>
      </c>
      <c r="L404">
        <v>128</v>
      </c>
      <c r="M404" t="s">
        <v>48</v>
      </c>
      <c r="N404" t="s">
        <v>40</v>
      </c>
      <c r="O404" t="s">
        <v>67</v>
      </c>
      <c r="P404">
        <v>31</v>
      </c>
      <c r="Q404">
        <v>3.5</v>
      </c>
      <c r="R404" t="b">
        <v>0</v>
      </c>
      <c r="S404" t="s">
        <v>28</v>
      </c>
      <c r="T404">
        <v>571</v>
      </c>
      <c r="U404" t="s">
        <v>29</v>
      </c>
      <c r="V404" t="s">
        <v>30</v>
      </c>
      <c r="W404" t="s">
        <v>37</v>
      </c>
    </row>
    <row r="405" spans="1:23" x14ac:dyDescent="0.3">
      <c r="A405">
        <v>1194</v>
      </c>
      <c r="B405" t="s">
        <v>220</v>
      </c>
      <c r="C405" s="1">
        <v>45585</v>
      </c>
      <c r="D405" s="1">
        <v>45628</v>
      </c>
      <c r="E405">
        <v>7.99</v>
      </c>
      <c r="F405">
        <v>11</v>
      </c>
      <c r="G405" t="s">
        <v>55</v>
      </c>
      <c r="H405">
        <v>4</v>
      </c>
      <c r="I405">
        <v>6</v>
      </c>
      <c r="J405" t="b">
        <v>0</v>
      </c>
      <c r="K405">
        <v>246</v>
      </c>
      <c r="L405">
        <v>96</v>
      </c>
      <c r="M405" t="s">
        <v>74</v>
      </c>
      <c r="N405" t="s">
        <v>26</v>
      </c>
      <c r="O405" t="s">
        <v>50</v>
      </c>
      <c r="P405">
        <v>56</v>
      </c>
      <c r="Q405">
        <v>4.5999999999999996</v>
      </c>
      <c r="R405" t="b">
        <v>1</v>
      </c>
      <c r="S405" t="s">
        <v>28</v>
      </c>
      <c r="T405">
        <v>3807</v>
      </c>
      <c r="U405" t="s">
        <v>57</v>
      </c>
      <c r="V405" t="s">
        <v>68</v>
      </c>
      <c r="W405" t="s">
        <v>53</v>
      </c>
    </row>
    <row r="406" spans="1:23" x14ac:dyDescent="0.3">
      <c r="A406">
        <v>6983</v>
      </c>
      <c r="B406" t="s">
        <v>72</v>
      </c>
      <c r="C406" s="1">
        <v>45532</v>
      </c>
      <c r="D406" s="1">
        <v>45633</v>
      </c>
      <c r="E406">
        <v>11.99</v>
      </c>
      <c r="F406">
        <v>335</v>
      </c>
      <c r="G406" t="s">
        <v>43</v>
      </c>
      <c r="H406">
        <v>1</v>
      </c>
      <c r="I406">
        <v>2</v>
      </c>
      <c r="J406" t="b">
        <v>1</v>
      </c>
      <c r="K406">
        <v>484</v>
      </c>
      <c r="L406">
        <v>54</v>
      </c>
      <c r="M406" t="s">
        <v>44</v>
      </c>
      <c r="N406" t="s">
        <v>26</v>
      </c>
      <c r="O406" t="s">
        <v>67</v>
      </c>
      <c r="P406">
        <v>51</v>
      </c>
      <c r="Q406">
        <v>4</v>
      </c>
      <c r="R406" t="b">
        <v>1</v>
      </c>
      <c r="S406" t="s">
        <v>28</v>
      </c>
      <c r="T406">
        <v>3424</v>
      </c>
      <c r="U406" t="s">
        <v>29</v>
      </c>
      <c r="V406" t="s">
        <v>60</v>
      </c>
      <c r="W406" t="s">
        <v>37</v>
      </c>
    </row>
    <row r="407" spans="1:23" x14ac:dyDescent="0.3">
      <c r="A407">
        <v>1413</v>
      </c>
      <c r="B407" t="s">
        <v>78</v>
      </c>
      <c r="C407" s="1">
        <v>44915</v>
      </c>
      <c r="D407" s="1">
        <v>45626</v>
      </c>
      <c r="E407">
        <v>11.99</v>
      </c>
      <c r="F407">
        <v>408</v>
      </c>
      <c r="G407" t="s">
        <v>43</v>
      </c>
      <c r="H407">
        <v>3</v>
      </c>
      <c r="I407">
        <v>5</v>
      </c>
      <c r="J407" t="b">
        <v>1</v>
      </c>
      <c r="K407">
        <v>418</v>
      </c>
      <c r="L407">
        <v>198</v>
      </c>
      <c r="M407" t="s">
        <v>25</v>
      </c>
      <c r="N407" t="s">
        <v>26</v>
      </c>
      <c r="O407" t="s">
        <v>50</v>
      </c>
      <c r="P407">
        <v>0</v>
      </c>
      <c r="Q407">
        <v>3</v>
      </c>
      <c r="R407" t="b">
        <v>0</v>
      </c>
      <c r="S407" t="s">
        <v>28</v>
      </c>
      <c r="T407">
        <v>1428</v>
      </c>
      <c r="U407" t="s">
        <v>29</v>
      </c>
      <c r="V407" t="s">
        <v>52</v>
      </c>
      <c r="W407" t="s">
        <v>75</v>
      </c>
    </row>
    <row r="408" spans="1:23" x14ac:dyDescent="0.3">
      <c r="A408">
        <v>9509</v>
      </c>
      <c r="B408" t="s">
        <v>150</v>
      </c>
      <c r="C408" s="1">
        <v>45501</v>
      </c>
      <c r="D408" s="1">
        <v>45622</v>
      </c>
      <c r="E408">
        <v>11.99</v>
      </c>
      <c r="F408">
        <v>302</v>
      </c>
      <c r="G408" t="s">
        <v>24</v>
      </c>
      <c r="H408">
        <v>2</v>
      </c>
      <c r="I408">
        <v>2</v>
      </c>
      <c r="J408" t="b">
        <v>0</v>
      </c>
      <c r="K408">
        <v>431</v>
      </c>
      <c r="L408">
        <v>116</v>
      </c>
      <c r="M408" t="s">
        <v>48</v>
      </c>
      <c r="N408" t="s">
        <v>40</v>
      </c>
      <c r="O408" t="s">
        <v>67</v>
      </c>
      <c r="P408">
        <v>15</v>
      </c>
      <c r="Q408">
        <v>3.9</v>
      </c>
      <c r="R408" t="b">
        <v>1</v>
      </c>
      <c r="S408" t="s">
        <v>28</v>
      </c>
      <c r="T408">
        <v>2387</v>
      </c>
      <c r="U408" t="s">
        <v>51</v>
      </c>
      <c r="V408" t="s">
        <v>60</v>
      </c>
      <c r="W408" t="s">
        <v>53</v>
      </c>
    </row>
    <row r="409" spans="1:23" x14ac:dyDescent="0.3">
      <c r="A409">
        <v>6330</v>
      </c>
      <c r="B409" t="s">
        <v>272</v>
      </c>
      <c r="C409" s="1">
        <v>45316</v>
      </c>
      <c r="D409" s="1">
        <v>45630</v>
      </c>
      <c r="E409">
        <v>7.99</v>
      </c>
      <c r="F409">
        <v>329</v>
      </c>
      <c r="G409" t="s">
        <v>43</v>
      </c>
      <c r="H409">
        <v>4</v>
      </c>
      <c r="I409">
        <v>1</v>
      </c>
      <c r="J409" t="b">
        <v>1</v>
      </c>
      <c r="K409">
        <v>973</v>
      </c>
      <c r="L409">
        <v>163</v>
      </c>
      <c r="M409" t="s">
        <v>25</v>
      </c>
      <c r="N409" t="s">
        <v>64</v>
      </c>
      <c r="O409" t="s">
        <v>56</v>
      </c>
      <c r="P409">
        <v>78</v>
      </c>
      <c r="Q409">
        <v>4.2</v>
      </c>
      <c r="R409" t="b">
        <v>1</v>
      </c>
      <c r="S409" t="s">
        <v>28</v>
      </c>
      <c r="T409">
        <v>218</v>
      </c>
      <c r="U409" t="s">
        <v>65</v>
      </c>
      <c r="V409" t="s">
        <v>52</v>
      </c>
      <c r="W409" t="s">
        <v>37</v>
      </c>
    </row>
    <row r="410" spans="1:23" x14ac:dyDescent="0.3">
      <c r="A410">
        <v>2504</v>
      </c>
      <c r="B410" t="s">
        <v>273</v>
      </c>
      <c r="C410" s="1">
        <v>45526</v>
      </c>
      <c r="D410" s="1">
        <v>45641</v>
      </c>
      <c r="E410">
        <v>11.99</v>
      </c>
      <c r="F410">
        <v>328</v>
      </c>
      <c r="G410" t="s">
        <v>62</v>
      </c>
      <c r="H410">
        <v>4</v>
      </c>
      <c r="I410">
        <v>6</v>
      </c>
      <c r="J410" t="b">
        <v>1</v>
      </c>
      <c r="K410">
        <v>858</v>
      </c>
      <c r="L410">
        <v>159</v>
      </c>
      <c r="M410" t="s">
        <v>44</v>
      </c>
      <c r="N410" t="s">
        <v>26</v>
      </c>
      <c r="O410" t="s">
        <v>34</v>
      </c>
      <c r="P410">
        <v>75</v>
      </c>
      <c r="Q410">
        <v>4.5999999999999996</v>
      </c>
      <c r="R410" t="b">
        <v>1</v>
      </c>
      <c r="S410" t="s">
        <v>28</v>
      </c>
      <c r="T410">
        <v>68</v>
      </c>
      <c r="U410" t="s">
        <v>29</v>
      </c>
      <c r="V410" t="s">
        <v>60</v>
      </c>
      <c r="W410" t="s">
        <v>75</v>
      </c>
    </row>
    <row r="411" spans="1:23" x14ac:dyDescent="0.3">
      <c r="A411">
        <v>6593</v>
      </c>
      <c r="B411" t="s">
        <v>220</v>
      </c>
      <c r="C411" s="1">
        <v>45517</v>
      </c>
      <c r="D411" s="1">
        <v>45633</v>
      </c>
      <c r="E411">
        <v>11.99</v>
      </c>
      <c r="F411">
        <v>353</v>
      </c>
      <c r="G411" t="s">
        <v>33</v>
      </c>
      <c r="H411">
        <v>3</v>
      </c>
      <c r="I411">
        <v>6</v>
      </c>
      <c r="J411" t="b">
        <v>0</v>
      </c>
      <c r="K411">
        <v>637</v>
      </c>
      <c r="L411">
        <v>160</v>
      </c>
      <c r="M411" t="s">
        <v>44</v>
      </c>
      <c r="N411" t="s">
        <v>40</v>
      </c>
      <c r="O411" t="s">
        <v>56</v>
      </c>
      <c r="P411">
        <v>67</v>
      </c>
      <c r="Q411">
        <v>5</v>
      </c>
      <c r="R411" t="b">
        <v>1</v>
      </c>
      <c r="S411" t="s">
        <v>28</v>
      </c>
      <c r="T411">
        <v>2749</v>
      </c>
      <c r="U411" t="s">
        <v>35</v>
      </c>
      <c r="V411" t="s">
        <v>60</v>
      </c>
      <c r="W411" t="s">
        <v>31</v>
      </c>
    </row>
    <row r="412" spans="1:23" x14ac:dyDescent="0.3">
      <c r="A412">
        <v>9537</v>
      </c>
      <c r="B412" t="s">
        <v>220</v>
      </c>
      <c r="C412" s="1">
        <v>45342</v>
      </c>
      <c r="D412" s="1">
        <v>45616</v>
      </c>
      <c r="E412">
        <v>11.99</v>
      </c>
      <c r="F412">
        <v>386</v>
      </c>
      <c r="G412" t="s">
        <v>62</v>
      </c>
      <c r="H412">
        <v>3</v>
      </c>
      <c r="I412">
        <v>3</v>
      </c>
      <c r="J412" t="b">
        <v>0</v>
      </c>
      <c r="K412">
        <v>693</v>
      </c>
      <c r="L412">
        <v>61</v>
      </c>
      <c r="M412" t="s">
        <v>44</v>
      </c>
      <c r="N412" t="s">
        <v>64</v>
      </c>
      <c r="O412" t="s">
        <v>27</v>
      </c>
      <c r="P412">
        <v>48</v>
      </c>
      <c r="Q412">
        <v>3.8</v>
      </c>
      <c r="R412" t="b">
        <v>0</v>
      </c>
      <c r="S412" t="s">
        <v>28</v>
      </c>
      <c r="T412">
        <v>4942</v>
      </c>
      <c r="U412" t="s">
        <v>51</v>
      </c>
      <c r="V412" t="s">
        <v>30</v>
      </c>
      <c r="W412" t="s">
        <v>75</v>
      </c>
    </row>
    <row r="413" spans="1:23" x14ac:dyDescent="0.3">
      <c r="A413">
        <v>9628</v>
      </c>
      <c r="B413" t="s">
        <v>139</v>
      </c>
      <c r="C413" s="1">
        <v>45226</v>
      </c>
      <c r="D413" s="1">
        <v>45637</v>
      </c>
      <c r="E413">
        <v>7.99</v>
      </c>
      <c r="F413">
        <v>401</v>
      </c>
      <c r="G413" t="s">
        <v>62</v>
      </c>
      <c r="H413">
        <v>5</v>
      </c>
      <c r="I413">
        <v>6</v>
      </c>
      <c r="J413" t="b">
        <v>0</v>
      </c>
      <c r="K413">
        <v>308</v>
      </c>
      <c r="L413">
        <v>103</v>
      </c>
      <c r="M413" t="s">
        <v>25</v>
      </c>
      <c r="N413" t="s">
        <v>49</v>
      </c>
      <c r="O413" t="s">
        <v>41</v>
      </c>
      <c r="P413">
        <v>98</v>
      </c>
      <c r="Q413">
        <v>3.1</v>
      </c>
      <c r="R413" t="b">
        <v>1</v>
      </c>
      <c r="S413" t="s">
        <v>28</v>
      </c>
      <c r="T413">
        <v>1813</v>
      </c>
      <c r="U413" t="s">
        <v>57</v>
      </c>
      <c r="V413" t="s">
        <v>30</v>
      </c>
      <c r="W413" t="s">
        <v>53</v>
      </c>
    </row>
    <row r="414" spans="1:23" x14ac:dyDescent="0.3">
      <c r="A414">
        <v>4024</v>
      </c>
      <c r="B414" t="s">
        <v>157</v>
      </c>
      <c r="C414" s="1">
        <v>45037</v>
      </c>
      <c r="D414" s="1">
        <v>45633</v>
      </c>
      <c r="E414">
        <v>7.99</v>
      </c>
      <c r="F414">
        <v>286</v>
      </c>
      <c r="G414" t="s">
        <v>33</v>
      </c>
      <c r="H414">
        <v>3</v>
      </c>
      <c r="I414">
        <v>1</v>
      </c>
      <c r="J414" t="b">
        <v>0</v>
      </c>
      <c r="K414">
        <v>843</v>
      </c>
      <c r="L414">
        <v>26</v>
      </c>
      <c r="M414" t="s">
        <v>44</v>
      </c>
      <c r="N414" t="s">
        <v>26</v>
      </c>
      <c r="O414" t="s">
        <v>34</v>
      </c>
      <c r="P414">
        <v>11</v>
      </c>
      <c r="Q414">
        <v>3.5</v>
      </c>
      <c r="R414" t="b">
        <v>0</v>
      </c>
      <c r="S414" t="s">
        <v>28</v>
      </c>
      <c r="T414">
        <v>318</v>
      </c>
      <c r="U414" t="s">
        <v>65</v>
      </c>
      <c r="V414" t="s">
        <v>68</v>
      </c>
      <c r="W414" t="s">
        <v>53</v>
      </c>
    </row>
    <row r="415" spans="1:23" x14ac:dyDescent="0.3">
      <c r="A415">
        <v>5321</v>
      </c>
      <c r="B415" t="s">
        <v>195</v>
      </c>
      <c r="C415" s="1">
        <v>45290</v>
      </c>
      <c r="D415" s="1">
        <v>45636</v>
      </c>
      <c r="E415">
        <v>7.99</v>
      </c>
      <c r="F415">
        <v>20</v>
      </c>
      <c r="G415" t="s">
        <v>79</v>
      </c>
      <c r="H415">
        <v>5</v>
      </c>
      <c r="I415">
        <v>2</v>
      </c>
      <c r="J415" t="b">
        <v>0</v>
      </c>
      <c r="K415">
        <v>895</v>
      </c>
      <c r="L415">
        <v>40</v>
      </c>
      <c r="M415" t="s">
        <v>39</v>
      </c>
      <c r="N415" t="s">
        <v>64</v>
      </c>
      <c r="O415" t="s">
        <v>56</v>
      </c>
      <c r="P415">
        <v>97</v>
      </c>
      <c r="Q415">
        <v>3.8</v>
      </c>
      <c r="R415" t="b">
        <v>0</v>
      </c>
      <c r="S415" t="s">
        <v>28</v>
      </c>
      <c r="T415">
        <v>4216</v>
      </c>
      <c r="U415" t="s">
        <v>35</v>
      </c>
      <c r="V415" t="s">
        <v>68</v>
      </c>
      <c r="W415" t="s">
        <v>75</v>
      </c>
    </row>
    <row r="416" spans="1:23" x14ac:dyDescent="0.3">
      <c r="A416">
        <v>3926</v>
      </c>
      <c r="B416" t="s">
        <v>274</v>
      </c>
      <c r="C416" s="1">
        <v>45616</v>
      </c>
      <c r="D416" s="1">
        <v>45621</v>
      </c>
      <c r="E416">
        <v>7.99</v>
      </c>
      <c r="F416">
        <v>167</v>
      </c>
      <c r="G416" t="s">
        <v>79</v>
      </c>
      <c r="H416">
        <v>3</v>
      </c>
      <c r="I416">
        <v>1</v>
      </c>
      <c r="J416" t="b">
        <v>1</v>
      </c>
      <c r="K416">
        <v>466</v>
      </c>
      <c r="L416">
        <v>69</v>
      </c>
      <c r="M416" t="s">
        <v>74</v>
      </c>
      <c r="N416" t="s">
        <v>64</v>
      </c>
      <c r="O416" t="s">
        <v>41</v>
      </c>
      <c r="P416">
        <v>86</v>
      </c>
      <c r="Q416">
        <v>4.3</v>
      </c>
      <c r="R416" t="b">
        <v>0</v>
      </c>
      <c r="S416" t="s">
        <v>28</v>
      </c>
      <c r="T416">
        <v>3003</v>
      </c>
      <c r="U416" t="s">
        <v>51</v>
      </c>
      <c r="V416" t="s">
        <v>30</v>
      </c>
      <c r="W416" t="s">
        <v>37</v>
      </c>
    </row>
    <row r="417" spans="1:23" x14ac:dyDescent="0.3">
      <c r="A417">
        <v>8738</v>
      </c>
      <c r="B417" t="s">
        <v>100</v>
      </c>
      <c r="C417" s="1">
        <v>45556</v>
      </c>
      <c r="D417" s="1">
        <v>45625</v>
      </c>
      <c r="E417">
        <v>7.99</v>
      </c>
      <c r="F417">
        <v>427</v>
      </c>
      <c r="G417" t="s">
        <v>79</v>
      </c>
      <c r="H417">
        <v>1</v>
      </c>
      <c r="I417">
        <v>1</v>
      </c>
      <c r="J417" t="b">
        <v>1</v>
      </c>
      <c r="K417">
        <v>886</v>
      </c>
      <c r="L417">
        <v>17</v>
      </c>
      <c r="M417" t="s">
        <v>44</v>
      </c>
      <c r="N417" t="s">
        <v>40</v>
      </c>
      <c r="O417" t="s">
        <v>41</v>
      </c>
      <c r="P417">
        <v>41</v>
      </c>
      <c r="Q417">
        <v>4.0999999999999996</v>
      </c>
      <c r="R417" t="b">
        <v>0</v>
      </c>
      <c r="S417" t="s">
        <v>28</v>
      </c>
      <c r="T417">
        <v>342</v>
      </c>
      <c r="U417" t="s">
        <v>51</v>
      </c>
      <c r="V417" t="s">
        <v>60</v>
      </c>
      <c r="W417" t="s">
        <v>75</v>
      </c>
    </row>
    <row r="418" spans="1:23" x14ac:dyDescent="0.3">
      <c r="A418">
        <v>2701</v>
      </c>
      <c r="B418" t="s">
        <v>219</v>
      </c>
      <c r="C418" s="1">
        <v>45417</v>
      </c>
      <c r="D418" s="1">
        <v>45627</v>
      </c>
      <c r="E418">
        <v>11.99</v>
      </c>
      <c r="F418">
        <v>13</v>
      </c>
      <c r="G418" t="s">
        <v>33</v>
      </c>
      <c r="H418">
        <v>4</v>
      </c>
      <c r="I418">
        <v>6</v>
      </c>
      <c r="J418" t="b">
        <v>1</v>
      </c>
      <c r="K418">
        <v>537</v>
      </c>
      <c r="L418">
        <v>121</v>
      </c>
      <c r="M418" t="s">
        <v>59</v>
      </c>
      <c r="N418" t="s">
        <v>64</v>
      </c>
      <c r="O418" t="s">
        <v>50</v>
      </c>
      <c r="P418">
        <v>17</v>
      </c>
      <c r="Q418">
        <v>3.1</v>
      </c>
      <c r="R418" t="b">
        <v>1</v>
      </c>
      <c r="S418" t="s">
        <v>28</v>
      </c>
      <c r="T418">
        <v>2124</v>
      </c>
      <c r="U418" t="s">
        <v>35</v>
      </c>
      <c r="V418" t="s">
        <v>68</v>
      </c>
      <c r="W418" t="s">
        <v>53</v>
      </c>
    </row>
    <row r="419" spans="1:23" x14ac:dyDescent="0.3">
      <c r="A419">
        <v>5339</v>
      </c>
      <c r="B419" t="s">
        <v>275</v>
      </c>
      <c r="C419" s="1">
        <v>45341</v>
      </c>
      <c r="D419" s="1">
        <v>45640</v>
      </c>
      <c r="E419">
        <v>15.99</v>
      </c>
      <c r="F419">
        <v>53</v>
      </c>
      <c r="G419" t="s">
        <v>24</v>
      </c>
      <c r="H419">
        <v>5</v>
      </c>
      <c r="I419">
        <v>5</v>
      </c>
      <c r="J419" t="b">
        <v>0</v>
      </c>
      <c r="K419">
        <v>524</v>
      </c>
      <c r="L419">
        <v>161</v>
      </c>
      <c r="M419" t="s">
        <v>74</v>
      </c>
      <c r="N419" t="s">
        <v>64</v>
      </c>
      <c r="O419" t="s">
        <v>34</v>
      </c>
      <c r="P419">
        <v>65</v>
      </c>
      <c r="Q419">
        <v>4.9000000000000004</v>
      </c>
      <c r="R419" t="b">
        <v>0</v>
      </c>
      <c r="S419" t="s">
        <v>28</v>
      </c>
      <c r="T419">
        <v>1016</v>
      </c>
      <c r="U419" t="s">
        <v>35</v>
      </c>
      <c r="V419" t="s">
        <v>60</v>
      </c>
      <c r="W419" t="s">
        <v>75</v>
      </c>
    </row>
    <row r="420" spans="1:23" x14ac:dyDescent="0.3">
      <c r="A420">
        <v>1612</v>
      </c>
      <c r="B420" t="s">
        <v>276</v>
      </c>
      <c r="C420" s="1">
        <v>45069</v>
      </c>
      <c r="D420" s="1">
        <v>45630</v>
      </c>
      <c r="E420">
        <v>7.99</v>
      </c>
      <c r="F420">
        <v>197</v>
      </c>
      <c r="G420" t="s">
        <v>24</v>
      </c>
      <c r="H420">
        <v>1</v>
      </c>
      <c r="I420">
        <v>2</v>
      </c>
      <c r="J420" t="b">
        <v>1</v>
      </c>
      <c r="K420">
        <v>409</v>
      </c>
      <c r="L420">
        <v>22</v>
      </c>
      <c r="M420" t="s">
        <v>48</v>
      </c>
      <c r="N420" t="s">
        <v>40</v>
      </c>
      <c r="O420" t="s">
        <v>34</v>
      </c>
      <c r="P420">
        <v>64</v>
      </c>
      <c r="Q420">
        <v>4.3</v>
      </c>
      <c r="R420" t="b">
        <v>1</v>
      </c>
      <c r="S420" t="s">
        <v>28</v>
      </c>
      <c r="T420">
        <v>1925</v>
      </c>
      <c r="U420" t="s">
        <v>65</v>
      </c>
      <c r="V420" t="s">
        <v>30</v>
      </c>
      <c r="W420" t="s">
        <v>53</v>
      </c>
    </row>
    <row r="421" spans="1:23" x14ac:dyDescent="0.3">
      <c r="A421">
        <v>5407</v>
      </c>
      <c r="B421" t="s">
        <v>80</v>
      </c>
      <c r="C421" s="1">
        <v>45212</v>
      </c>
      <c r="D421" s="1">
        <v>45630</v>
      </c>
      <c r="E421">
        <v>7.99</v>
      </c>
      <c r="F421">
        <v>429</v>
      </c>
      <c r="G421" t="s">
        <v>55</v>
      </c>
      <c r="H421">
        <v>3</v>
      </c>
      <c r="I421">
        <v>5</v>
      </c>
      <c r="J421" t="b">
        <v>0</v>
      </c>
      <c r="K421">
        <v>988</v>
      </c>
      <c r="L421">
        <v>115</v>
      </c>
      <c r="M421" t="s">
        <v>25</v>
      </c>
      <c r="N421" t="s">
        <v>49</v>
      </c>
      <c r="O421" t="s">
        <v>50</v>
      </c>
      <c r="P421">
        <v>19</v>
      </c>
      <c r="Q421">
        <v>4.3</v>
      </c>
      <c r="R421" t="b">
        <v>1</v>
      </c>
      <c r="S421" t="s">
        <v>28</v>
      </c>
      <c r="T421">
        <v>3773</v>
      </c>
      <c r="U421" t="s">
        <v>57</v>
      </c>
      <c r="V421" t="s">
        <v>36</v>
      </c>
      <c r="W421" t="s">
        <v>31</v>
      </c>
    </row>
    <row r="422" spans="1:23" x14ac:dyDescent="0.3">
      <c r="A422">
        <v>8225</v>
      </c>
      <c r="B422" t="s">
        <v>234</v>
      </c>
      <c r="C422" s="1">
        <v>45420</v>
      </c>
      <c r="D422" s="1">
        <v>45620</v>
      </c>
      <c r="E422">
        <v>15.99</v>
      </c>
      <c r="F422">
        <v>282</v>
      </c>
      <c r="G422" t="s">
        <v>55</v>
      </c>
      <c r="H422">
        <v>1</v>
      </c>
      <c r="I422">
        <v>1</v>
      </c>
      <c r="J422" t="b">
        <v>1</v>
      </c>
      <c r="K422">
        <v>386</v>
      </c>
      <c r="L422">
        <v>177</v>
      </c>
      <c r="M422" t="s">
        <v>63</v>
      </c>
      <c r="N422" t="s">
        <v>26</v>
      </c>
      <c r="O422" t="s">
        <v>50</v>
      </c>
      <c r="P422">
        <v>17</v>
      </c>
      <c r="Q422">
        <v>3.4</v>
      </c>
      <c r="R422" t="b">
        <v>1</v>
      </c>
      <c r="S422" t="s">
        <v>28</v>
      </c>
      <c r="T422">
        <v>1231</v>
      </c>
      <c r="U422" t="s">
        <v>57</v>
      </c>
      <c r="V422" t="s">
        <v>68</v>
      </c>
      <c r="W422" t="s">
        <v>75</v>
      </c>
    </row>
    <row r="423" spans="1:23" x14ac:dyDescent="0.3">
      <c r="A423">
        <v>4714</v>
      </c>
      <c r="B423" t="s">
        <v>277</v>
      </c>
      <c r="C423" s="1">
        <v>45578</v>
      </c>
      <c r="D423" s="1">
        <v>45616</v>
      </c>
      <c r="E423">
        <v>11.99</v>
      </c>
      <c r="F423">
        <v>248</v>
      </c>
      <c r="G423" t="s">
        <v>43</v>
      </c>
      <c r="H423">
        <v>5</v>
      </c>
      <c r="I423">
        <v>6</v>
      </c>
      <c r="J423" t="b">
        <v>0</v>
      </c>
      <c r="K423">
        <v>996</v>
      </c>
      <c r="L423">
        <v>24</v>
      </c>
      <c r="M423" t="s">
        <v>59</v>
      </c>
      <c r="N423" t="s">
        <v>40</v>
      </c>
      <c r="O423" t="s">
        <v>34</v>
      </c>
      <c r="P423">
        <v>53</v>
      </c>
      <c r="Q423">
        <v>3.3</v>
      </c>
      <c r="R423" t="b">
        <v>1</v>
      </c>
      <c r="S423" t="s">
        <v>28</v>
      </c>
      <c r="T423">
        <v>62</v>
      </c>
      <c r="U423" t="s">
        <v>35</v>
      </c>
      <c r="V423" t="s">
        <v>36</v>
      </c>
      <c r="W423" t="s">
        <v>37</v>
      </c>
    </row>
    <row r="424" spans="1:23" x14ac:dyDescent="0.3">
      <c r="A424">
        <v>3826</v>
      </c>
      <c r="B424" t="s">
        <v>220</v>
      </c>
      <c r="C424" s="1">
        <v>45567</v>
      </c>
      <c r="D424" s="1">
        <v>45642</v>
      </c>
      <c r="E424">
        <v>11.99</v>
      </c>
      <c r="F424">
        <v>406</v>
      </c>
      <c r="G424" t="s">
        <v>46</v>
      </c>
      <c r="H424">
        <v>3</v>
      </c>
      <c r="I424">
        <v>3</v>
      </c>
      <c r="J424" t="b">
        <v>0</v>
      </c>
      <c r="K424">
        <v>369</v>
      </c>
      <c r="L424">
        <v>13</v>
      </c>
      <c r="M424" t="s">
        <v>25</v>
      </c>
      <c r="N424" t="s">
        <v>64</v>
      </c>
      <c r="O424" t="s">
        <v>41</v>
      </c>
      <c r="P424">
        <v>82</v>
      </c>
      <c r="Q424">
        <v>4.7</v>
      </c>
      <c r="R424" t="b">
        <v>0</v>
      </c>
      <c r="S424" t="s">
        <v>28</v>
      </c>
      <c r="T424">
        <v>1580</v>
      </c>
      <c r="U424" t="s">
        <v>65</v>
      </c>
      <c r="V424" t="s">
        <v>68</v>
      </c>
      <c r="W424" t="s">
        <v>31</v>
      </c>
    </row>
    <row r="425" spans="1:23" x14ac:dyDescent="0.3">
      <c r="A425">
        <v>3781</v>
      </c>
      <c r="B425" t="s">
        <v>278</v>
      </c>
      <c r="C425" s="1">
        <v>45643</v>
      </c>
      <c r="D425" s="1">
        <v>45625</v>
      </c>
      <c r="E425">
        <v>15.99</v>
      </c>
      <c r="F425">
        <v>249</v>
      </c>
      <c r="G425" t="s">
        <v>79</v>
      </c>
      <c r="H425">
        <v>1</v>
      </c>
      <c r="I425">
        <v>4</v>
      </c>
      <c r="J425" t="b">
        <v>1</v>
      </c>
      <c r="K425">
        <v>713</v>
      </c>
      <c r="L425">
        <v>125</v>
      </c>
      <c r="M425" t="s">
        <v>44</v>
      </c>
      <c r="N425" t="s">
        <v>26</v>
      </c>
      <c r="O425" t="s">
        <v>34</v>
      </c>
      <c r="P425">
        <v>95</v>
      </c>
      <c r="Q425">
        <v>4.8</v>
      </c>
      <c r="R425" t="b">
        <v>0</v>
      </c>
      <c r="S425" t="s">
        <v>28</v>
      </c>
      <c r="T425">
        <v>74</v>
      </c>
      <c r="U425" t="s">
        <v>57</v>
      </c>
      <c r="V425" t="s">
        <v>52</v>
      </c>
      <c r="W425" t="s">
        <v>53</v>
      </c>
    </row>
    <row r="426" spans="1:23" x14ac:dyDescent="0.3">
      <c r="A426">
        <v>5635</v>
      </c>
      <c r="B426" t="s">
        <v>279</v>
      </c>
      <c r="C426" s="1">
        <v>45217</v>
      </c>
      <c r="D426" s="1">
        <v>45620</v>
      </c>
      <c r="E426">
        <v>7.99</v>
      </c>
      <c r="F426">
        <v>12</v>
      </c>
      <c r="G426" t="s">
        <v>55</v>
      </c>
      <c r="H426">
        <v>2</v>
      </c>
      <c r="I426">
        <v>4</v>
      </c>
      <c r="J426" t="b">
        <v>0</v>
      </c>
      <c r="K426">
        <v>928</v>
      </c>
      <c r="L426">
        <v>147</v>
      </c>
      <c r="M426" t="s">
        <v>59</v>
      </c>
      <c r="N426" t="s">
        <v>40</v>
      </c>
      <c r="O426" t="s">
        <v>56</v>
      </c>
      <c r="P426">
        <v>92</v>
      </c>
      <c r="Q426">
        <v>4.7</v>
      </c>
      <c r="R426" t="b">
        <v>0</v>
      </c>
      <c r="S426" t="s">
        <v>28</v>
      </c>
      <c r="T426">
        <v>3452</v>
      </c>
      <c r="U426" t="s">
        <v>65</v>
      </c>
      <c r="V426" t="s">
        <v>36</v>
      </c>
      <c r="W426" t="s">
        <v>31</v>
      </c>
    </row>
    <row r="427" spans="1:23" x14ac:dyDescent="0.3">
      <c r="A427">
        <v>2291</v>
      </c>
      <c r="B427" t="s">
        <v>132</v>
      </c>
      <c r="C427" s="1">
        <v>45028</v>
      </c>
      <c r="D427" s="1">
        <v>45627</v>
      </c>
      <c r="E427">
        <v>7.99</v>
      </c>
      <c r="F427">
        <v>57</v>
      </c>
      <c r="G427" t="s">
        <v>24</v>
      </c>
      <c r="H427">
        <v>2</v>
      </c>
      <c r="I427">
        <v>6</v>
      </c>
      <c r="J427" t="b">
        <v>1</v>
      </c>
      <c r="K427">
        <v>869</v>
      </c>
      <c r="L427">
        <v>107</v>
      </c>
      <c r="M427" t="s">
        <v>59</v>
      </c>
      <c r="N427" t="s">
        <v>49</v>
      </c>
      <c r="O427" t="s">
        <v>50</v>
      </c>
      <c r="P427">
        <v>67</v>
      </c>
      <c r="Q427">
        <v>4.3</v>
      </c>
      <c r="R427" t="b">
        <v>0</v>
      </c>
      <c r="S427" t="s">
        <v>28</v>
      </c>
      <c r="T427">
        <v>4792</v>
      </c>
      <c r="U427" t="s">
        <v>35</v>
      </c>
      <c r="V427" t="s">
        <v>52</v>
      </c>
      <c r="W427" t="s">
        <v>75</v>
      </c>
    </row>
    <row r="428" spans="1:23" x14ac:dyDescent="0.3">
      <c r="A428">
        <v>3119</v>
      </c>
      <c r="B428" t="s">
        <v>265</v>
      </c>
      <c r="C428" s="1">
        <v>45553</v>
      </c>
      <c r="D428" s="1">
        <v>45639</v>
      </c>
      <c r="E428">
        <v>7.99</v>
      </c>
      <c r="F428">
        <v>247</v>
      </c>
      <c r="G428" t="s">
        <v>79</v>
      </c>
      <c r="H428">
        <v>5</v>
      </c>
      <c r="I428">
        <v>6</v>
      </c>
      <c r="J428" t="b">
        <v>1</v>
      </c>
      <c r="K428">
        <v>563</v>
      </c>
      <c r="L428">
        <v>185</v>
      </c>
      <c r="M428" t="s">
        <v>59</v>
      </c>
      <c r="N428" t="s">
        <v>40</v>
      </c>
      <c r="O428" t="s">
        <v>41</v>
      </c>
      <c r="P428">
        <v>3</v>
      </c>
      <c r="Q428">
        <v>4.8</v>
      </c>
      <c r="R428" t="b">
        <v>0</v>
      </c>
      <c r="S428" t="s">
        <v>28</v>
      </c>
      <c r="T428">
        <v>4378</v>
      </c>
      <c r="U428" t="s">
        <v>51</v>
      </c>
      <c r="V428" t="s">
        <v>60</v>
      </c>
      <c r="W428" t="s">
        <v>37</v>
      </c>
    </row>
    <row r="429" spans="1:23" x14ac:dyDescent="0.3">
      <c r="A429">
        <v>5280</v>
      </c>
      <c r="B429" t="s">
        <v>280</v>
      </c>
      <c r="C429" s="1">
        <v>45010</v>
      </c>
      <c r="D429" s="1">
        <v>45625</v>
      </c>
      <c r="E429">
        <v>7.99</v>
      </c>
      <c r="F429">
        <v>25</v>
      </c>
      <c r="G429" t="s">
        <v>55</v>
      </c>
      <c r="H429">
        <v>5</v>
      </c>
      <c r="I429">
        <v>2</v>
      </c>
      <c r="J429" t="b">
        <v>1</v>
      </c>
      <c r="K429">
        <v>429</v>
      </c>
      <c r="L429">
        <v>138</v>
      </c>
      <c r="M429" t="s">
        <v>59</v>
      </c>
      <c r="N429" t="s">
        <v>49</v>
      </c>
      <c r="O429" t="s">
        <v>56</v>
      </c>
      <c r="P429">
        <v>40</v>
      </c>
      <c r="Q429">
        <v>3.5</v>
      </c>
      <c r="R429" t="b">
        <v>0</v>
      </c>
      <c r="S429" t="s">
        <v>28</v>
      </c>
      <c r="T429">
        <v>1713</v>
      </c>
      <c r="U429" t="s">
        <v>29</v>
      </c>
      <c r="V429" t="s">
        <v>68</v>
      </c>
      <c r="W429" t="s">
        <v>31</v>
      </c>
    </row>
    <row r="430" spans="1:23" x14ac:dyDescent="0.3">
      <c r="A430">
        <v>2546</v>
      </c>
      <c r="B430" t="s">
        <v>281</v>
      </c>
      <c r="C430" s="1">
        <v>45063</v>
      </c>
      <c r="D430" s="1">
        <v>45629</v>
      </c>
      <c r="E430">
        <v>15.99</v>
      </c>
      <c r="F430">
        <v>425</v>
      </c>
      <c r="G430" t="s">
        <v>62</v>
      </c>
      <c r="H430">
        <v>3</v>
      </c>
      <c r="I430">
        <v>6</v>
      </c>
      <c r="J430" t="b">
        <v>0</v>
      </c>
      <c r="K430">
        <v>236</v>
      </c>
      <c r="L430">
        <v>37</v>
      </c>
      <c r="M430" t="s">
        <v>59</v>
      </c>
      <c r="N430" t="s">
        <v>40</v>
      </c>
      <c r="O430" t="s">
        <v>56</v>
      </c>
      <c r="P430">
        <v>49</v>
      </c>
      <c r="Q430">
        <v>4</v>
      </c>
      <c r="R430" t="b">
        <v>0</v>
      </c>
      <c r="S430" t="s">
        <v>28</v>
      </c>
      <c r="T430">
        <v>1201</v>
      </c>
      <c r="U430" t="s">
        <v>29</v>
      </c>
      <c r="V430" t="s">
        <v>36</v>
      </c>
      <c r="W430" t="s">
        <v>37</v>
      </c>
    </row>
    <row r="431" spans="1:23" x14ac:dyDescent="0.3">
      <c r="A431">
        <v>5975</v>
      </c>
      <c r="B431" t="s">
        <v>102</v>
      </c>
      <c r="C431" s="1">
        <v>45193</v>
      </c>
      <c r="D431" s="1">
        <v>45643</v>
      </c>
      <c r="E431">
        <v>7.99</v>
      </c>
      <c r="F431">
        <v>315</v>
      </c>
      <c r="G431" t="s">
        <v>46</v>
      </c>
      <c r="H431">
        <v>2</v>
      </c>
      <c r="I431">
        <v>5</v>
      </c>
      <c r="J431" t="b">
        <v>1</v>
      </c>
      <c r="K431">
        <v>889</v>
      </c>
      <c r="L431">
        <v>80</v>
      </c>
      <c r="M431" t="s">
        <v>63</v>
      </c>
      <c r="N431" t="s">
        <v>49</v>
      </c>
      <c r="O431" t="s">
        <v>34</v>
      </c>
      <c r="P431">
        <v>52</v>
      </c>
      <c r="Q431">
        <v>4.4000000000000004</v>
      </c>
      <c r="R431" t="b">
        <v>1</v>
      </c>
      <c r="S431" t="s">
        <v>28</v>
      </c>
      <c r="T431">
        <v>416</v>
      </c>
      <c r="U431" t="s">
        <v>51</v>
      </c>
      <c r="V431" t="s">
        <v>68</v>
      </c>
      <c r="W431" t="s">
        <v>75</v>
      </c>
    </row>
    <row r="432" spans="1:23" x14ac:dyDescent="0.3">
      <c r="A432">
        <v>9113</v>
      </c>
      <c r="B432" t="s">
        <v>152</v>
      </c>
      <c r="C432" s="1">
        <v>45548</v>
      </c>
      <c r="D432" s="1">
        <v>45626</v>
      </c>
      <c r="E432">
        <v>7.99</v>
      </c>
      <c r="F432">
        <v>466</v>
      </c>
      <c r="G432" t="s">
        <v>62</v>
      </c>
      <c r="H432">
        <v>4</v>
      </c>
      <c r="I432">
        <v>4</v>
      </c>
      <c r="J432" t="b">
        <v>0</v>
      </c>
      <c r="K432">
        <v>785</v>
      </c>
      <c r="L432">
        <v>12</v>
      </c>
      <c r="M432" t="s">
        <v>44</v>
      </c>
      <c r="N432" t="s">
        <v>40</v>
      </c>
      <c r="O432" t="s">
        <v>50</v>
      </c>
      <c r="P432">
        <v>94</v>
      </c>
      <c r="Q432">
        <v>4.9000000000000004</v>
      </c>
      <c r="R432" t="b">
        <v>0</v>
      </c>
      <c r="S432" t="s">
        <v>28</v>
      </c>
      <c r="T432">
        <v>17</v>
      </c>
      <c r="U432" t="s">
        <v>35</v>
      </c>
      <c r="V432" t="s">
        <v>68</v>
      </c>
      <c r="W432" t="s">
        <v>37</v>
      </c>
    </row>
    <row r="433" spans="1:23" x14ac:dyDescent="0.3">
      <c r="A433">
        <v>6250</v>
      </c>
      <c r="B433" t="s">
        <v>282</v>
      </c>
      <c r="C433" s="1">
        <v>45481</v>
      </c>
      <c r="D433" s="1">
        <v>45618</v>
      </c>
      <c r="E433">
        <v>15.99</v>
      </c>
      <c r="F433">
        <v>207</v>
      </c>
      <c r="G433" t="s">
        <v>43</v>
      </c>
      <c r="H433">
        <v>3</v>
      </c>
      <c r="I433">
        <v>6</v>
      </c>
      <c r="J433" t="b">
        <v>0</v>
      </c>
      <c r="K433">
        <v>909</v>
      </c>
      <c r="L433">
        <v>164</v>
      </c>
      <c r="M433" t="s">
        <v>39</v>
      </c>
      <c r="N433" t="s">
        <v>49</v>
      </c>
      <c r="O433" t="s">
        <v>27</v>
      </c>
      <c r="P433">
        <v>75</v>
      </c>
      <c r="Q433">
        <v>4.2</v>
      </c>
      <c r="R433" t="b">
        <v>1</v>
      </c>
      <c r="S433" t="s">
        <v>28</v>
      </c>
      <c r="T433">
        <v>4820</v>
      </c>
      <c r="U433" t="s">
        <v>57</v>
      </c>
      <c r="V433" t="s">
        <v>60</v>
      </c>
      <c r="W433" t="s">
        <v>75</v>
      </c>
    </row>
    <row r="434" spans="1:23" x14ac:dyDescent="0.3">
      <c r="A434">
        <v>6190</v>
      </c>
      <c r="B434" t="s">
        <v>283</v>
      </c>
      <c r="C434" s="1">
        <v>45613</v>
      </c>
      <c r="D434" s="1">
        <v>45634</v>
      </c>
      <c r="E434">
        <v>7.99</v>
      </c>
      <c r="F434">
        <v>248</v>
      </c>
      <c r="G434" t="s">
        <v>33</v>
      </c>
      <c r="H434">
        <v>5</v>
      </c>
      <c r="I434">
        <v>2</v>
      </c>
      <c r="J434" t="b">
        <v>0</v>
      </c>
      <c r="K434">
        <v>142</v>
      </c>
      <c r="L434">
        <v>22</v>
      </c>
      <c r="M434" t="s">
        <v>25</v>
      </c>
      <c r="N434" t="s">
        <v>40</v>
      </c>
      <c r="O434" t="s">
        <v>41</v>
      </c>
      <c r="P434">
        <v>94</v>
      </c>
      <c r="Q434">
        <v>4.2</v>
      </c>
      <c r="R434" t="b">
        <v>0</v>
      </c>
      <c r="S434" t="s">
        <v>28</v>
      </c>
      <c r="T434">
        <v>1758</v>
      </c>
      <c r="U434" t="s">
        <v>65</v>
      </c>
      <c r="V434" t="s">
        <v>68</v>
      </c>
      <c r="W434" t="s">
        <v>31</v>
      </c>
    </row>
    <row r="435" spans="1:23" x14ac:dyDescent="0.3">
      <c r="A435">
        <v>5713</v>
      </c>
      <c r="B435" t="s">
        <v>284</v>
      </c>
      <c r="C435" s="1">
        <v>45399</v>
      </c>
      <c r="D435" s="1">
        <v>45620</v>
      </c>
      <c r="E435">
        <v>7.99</v>
      </c>
      <c r="F435">
        <v>278</v>
      </c>
      <c r="G435" t="s">
        <v>33</v>
      </c>
      <c r="H435">
        <v>5</v>
      </c>
      <c r="I435">
        <v>1</v>
      </c>
      <c r="J435" t="b">
        <v>0</v>
      </c>
      <c r="K435">
        <v>743</v>
      </c>
      <c r="L435">
        <v>180</v>
      </c>
      <c r="M435" t="s">
        <v>25</v>
      </c>
      <c r="N435" t="s">
        <v>64</v>
      </c>
      <c r="O435" t="s">
        <v>27</v>
      </c>
      <c r="P435">
        <v>0</v>
      </c>
      <c r="Q435">
        <v>4.3</v>
      </c>
      <c r="R435" t="b">
        <v>1</v>
      </c>
      <c r="S435" t="s">
        <v>28</v>
      </c>
      <c r="T435">
        <v>2568</v>
      </c>
      <c r="U435" t="s">
        <v>35</v>
      </c>
      <c r="V435" t="s">
        <v>60</v>
      </c>
      <c r="W435" t="s">
        <v>53</v>
      </c>
    </row>
    <row r="436" spans="1:23" x14ac:dyDescent="0.3">
      <c r="A436">
        <v>1932</v>
      </c>
      <c r="B436" t="s">
        <v>114</v>
      </c>
      <c r="C436" s="1">
        <v>45312</v>
      </c>
      <c r="D436" s="1">
        <v>45643</v>
      </c>
      <c r="E436">
        <v>7.99</v>
      </c>
      <c r="F436">
        <v>315</v>
      </c>
      <c r="G436" t="s">
        <v>46</v>
      </c>
      <c r="H436">
        <v>1</v>
      </c>
      <c r="I436">
        <v>2</v>
      </c>
      <c r="J436" t="b">
        <v>0</v>
      </c>
      <c r="K436">
        <v>40</v>
      </c>
      <c r="L436">
        <v>188</v>
      </c>
      <c r="M436" t="s">
        <v>74</v>
      </c>
      <c r="N436" t="s">
        <v>40</v>
      </c>
      <c r="O436" t="s">
        <v>67</v>
      </c>
      <c r="P436">
        <v>86</v>
      </c>
      <c r="Q436">
        <v>3.7</v>
      </c>
      <c r="R436" t="b">
        <v>1</v>
      </c>
      <c r="S436" t="s">
        <v>28</v>
      </c>
      <c r="T436">
        <v>4235</v>
      </c>
      <c r="U436" t="s">
        <v>29</v>
      </c>
      <c r="V436" t="s">
        <v>60</v>
      </c>
      <c r="W436" t="s">
        <v>31</v>
      </c>
    </row>
    <row r="437" spans="1:23" x14ac:dyDescent="0.3">
      <c r="A437">
        <v>6527</v>
      </c>
      <c r="B437" t="s">
        <v>285</v>
      </c>
      <c r="C437" s="1">
        <v>45071</v>
      </c>
      <c r="D437" s="1">
        <v>45619</v>
      </c>
      <c r="E437">
        <v>7.99</v>
      </c>
      <c r="F437">
        <v>190</v>
      </c>
      <c r="G437" t="s">
        <v>79</v>
      </c>
      <c r="H437">
        <v>4</v>
      </c>
      <c r="I437">
        <v>1</v>
      </c>
      <c r="J437" t="b">
        <v>1</v>
      </c>
      <c r="K437">
        <v>400</v>
      </c>
      <c r="L437">
        <v>151</v>
      </c>
      <c r="M437" t="s">
        <v>59</v>
      </c>
      <c r="N437" t="s">
        <v>26</v>
      </c>
      <c r="O437" t="s">
        <v>34</v>
      </c>
      <c r="P437">
        <v>52</v>
      </c>
      <c r="Q437">
        <v>4.3</v>
      </c>
      <c r="R437" t="b">
        <v>0</v>
      </c>
      <c r="S437" t="s">
        <v>28</v>
      </c>
      <c r="T437">
        <v>3775</v>
      </c>
      <c r="U437" t="s">
        <v>35</v>
      </c>
      <c r="V437" t="s">
        <v>68</v>
      </c>
      <c r="W437" t="s">
        <v>31</v>
      </c>
    </row>
    <row r="438" spans="1:23" x14ac:dyDescent="0.3">
      <c r="A438">
        <v>9363</v>
      </c>
      <c r="B438" t="s">
        <v>100</v>
      </c>
      <c r="C438" s="1">
        <v>45570</v>
      </c>
      <c r="D438" s="1">
        <v>45619</v>
      </c>
      <c r="E438">
        <v>11.99</v>
      </c>
      <c r="F438">
        <v>190</v>
      </c>
      <c r="G438" t="s">
        <v>55</v>
      </c>
      <c r="H438">
        <v>2</v>
      </c>
      <c r="I438">
        <v>1</v>
      </c>
      <c r="J438" t="b">
        <v>0</v>
      </c>
      <c r="K438">
        <v>359</v>
      </c>
      <c r="L438">
        <v>192</v>
      </c>
      <c r="M438" t="s">
        <v>63</v>
      </c>
      <c r="N438" t="s">
        <v>26</v>
      </c>
      <c r="O438" t="s">
        <v>56</v>
      </c>
      <c r="P438">
        <v>38</v>
      </c>
      <c r="Q438">
        <v>4.4000000000000004</v>
      </c>
      <c r="R438" t="b">
        <v>1</v>
      </c>
      <c r="S438" t="s">
        <v>28</v>
      </c>
      <c r="T438">
        <v>92</v>
      </c>
      <c r="U438" t="s">
        <v>29</v>
      </c>
      <c r="V438" t="s">
        <v>60</v>
      </c>
      <c r="W438" t="s">
        <v>75</v>
      </c>
    </row>
    <row r="439" spans="1:23" x14ac:dyDescent="0.3">
      <c r="A439">
        <v>5019</v>
      </c>
      <c r="B439" t="s">
        <v>104</v>
      </c>
      <c r="C439" s="1">
        <v>45567</v>
      </c>
      <c r="D439" s="1">
        <v>45638</v>
      </c>
      <c r="E439">
        <v>15.99</v>
      </c>
      <c r="F439">
        <v>408</v>
      </c>
      <c r="G439" t="s">
        <v>46</v>
      </c>
      <c r="H439">
        <v>4</v>
      </c>
      <c r="I439">
        <v>3</v>
      </c>
      <c r="J439" t="b">
        <v>0</v>
      </c>
      <c r="K439">
        <v>711</v>
      </c>
      <c r="L439">
        <v>23</v>
      </c>
      <c r="M439" t="s">
        <v>63</v>
      </c>
      <c r="N439" t="s">
        <v>49</v>
      </c>
      <c r="O439" t="s">
        <v>67</v>
      </c>
      <c r="P439">
        <v>65</v>
      </c>
      <c r="Q439">
        <v>3.6</v>
      </c>
      <c r="R439" t="b">
        <v>1</v>
      </c>
      <c r="S439" t="s">
        <v>28</v>
      </c>
      <c r="T439">
        <v>72</v>
      </c>
      <c r="U439" t="s">
        <v>57</v>
      </c>
      <c r="V439" t="s">
        <v>36</v>
      </c>
      <c r="W439" t="s">
        <v>37</v>
      </c>
    </row>
    <row r="440" spans="1:23" x14ac:dyDescent="0.3">
      <c r="A440">
        <v>9258</v>
      </c>
      <c r="B440" t="s">
        <v>286</v>
      </c>
      <c r="C440" s="1">
        <v>45348</v>
      </c>
      <c r="D440" s="1">
        <v>45632</v>
      </c>
      <c r="E440">
        <v>15.99</v>
      </c>
      <c r="F440">
        <v>227</v>
      </c>
      <c r="G440" t="s">
        <v>46</v>
      </c>
      <c r="H440">
        <v>2</v>
      </c>
      <c r="I440">
        <v>1</v>
      </c>
      <c r="J440" t="b">
        <v>0</v>
      </c>
      <c r="K440">
        <v>581</v>
      </c>
      <c r="L440">
        <v>146</v>
      </c>
      <c r="M440" t="s">
        <v>63</v>
      </c>
      <c r="N440" t="s">
        <v>26</v>
      </c>
      <c r="O440" t="s">
        <v>50</v>
      </c>
      <c r="P440">
        <v>37</v>
      </c>
      <c r="Q440">
        <v>4.4000000000000004</v>
      </c>
      <c r="R440" t="b">
        <v>0</v>
      </c>
      <c r="S440" t="s">
        <v>28</v>
      </c>
      <c r="T440">
        <v>2488</v>
      </c>
      <c r="U440" t="s">
        <v>29</v>
      </c>
      <c r="V440" t="s">
        <v>52</v>
      </c>
      <c r="W440" t="s">
        <v>37</v>
      </c>
    </row>
    <row r="441" spans="1:23" x14ac:dyDescent="0.3">
      <c r="A441">
        <v>7512</v>
      </c>
      <c r="B441" t="s">
        <v>287</v>
      </c>
      <c r="C441" s="1">
        <v>45273</v>
      </c>
      <c r="D441" s="1">
        <v>45620</v>
      </c>
      <c r="E441">
        <v>11.99</v>
      </c>
      <c r="F441">
        <v>479</v>
      </c>
      <c r="G441" t="s">
        <v>62</v>
      </c>
      <c r="H441">
        <v>2</v>
      </c>
      <c r="I441">
        <v>4</v>
      </c>
      <c r="J441" t="b">
        <v>1</v>
      </c>
      <c r="K441">
        <v>923</v>
      </c>
      <c r="L441">
        <v>182</v>
      </c>
      <c r="M441" t="s">
        <v>48</v>
      </c>
      <c r="N441" t="s">
        <v>40</v>
      </c>
      <c r="O441" t="s">
        <v>27</v>
      </c>
      <c r="P441">
        <v>14</v>
      </c>
      <c r="Q441">
        <v>4.9000000000000004</v>
      </c>
      <c r="R441" t="b">
        <v>1</v>
      </c>
      <c r="S441" t="s">
        <v>28</v>
      </c>
      <c r="T441">
        <v>2666</v>
      </c>
      <c r="U441" t="s">
        <v>57</v>
      </c>
      <c r="V441" t="s">
        <v>68</v>
      </c>
      <c r="W441" t="s">
        <v>75</v>
      </c>
    </row>
    <row r="442" spans="1:23" x14ac:dyDescent="0.3">
      <c r="A442">
        <v>8195</v>
      </c>
      <c r="B442" t="s">
        <v>288</v>
      </c>
      <c r="C442" s="1">
        <v>45033</v>
      </c>
      <c r="D442" s="1">
        <v>45616</v>
      </c>
      <c r="E442">
        <v>11.99</v>
      </c>
      <c r="F442">
        <v>415</v>
      </c>
      <c r="G442" t="s">
        <v>33</v>
      </c>
      <c r="H442">
        <v>3</v>
      </c>
      <c r="I442">
        <v>1</v>
      </c>
      <c r="J442" t="b">
        <v>0</v>
      </c>
      <c r="K442">
        <v>381</v>
      </c>
      <c r="L442">
        <v>78</v>
      </c>
      <c r="M442" t="s">
        <v>63</v>
      </c>
      <c r="N442" t="s">
        <v>40</v>
      </c>
      <c r="O442" t="s">
        <v>41</v>
      </c>
      <c r="P442">
        <v>84</v>
      </c>
      <c r="Q442">
        <v>4.4000000000000004</v>
      </c>
      <c r="R442" t="b">
        <v>1</v>
      </c>
      <c r="S442" t="s">
        <v>28</v>
      </c>
      <c r="T442">
        <v>4221</v>
      </c>
      <c r="U442" t="s">
        <v>65</v>
      </c>
      <c r="V442" t="s">
        <v>68</v>
      </c>
      <c r="W442" t="s">
        <v>53</v>
      </c>
    </row>
    <row r="443" spans="1:23" x14ac:dyDescent="0.3">
      <c r="A443">
        <v>8242</v>
      </c>
      <c r="B443" t="s">
        <v>167</v>
      </c>
      <c r="C443" s="1">
        <v>44914</v>
      </c>
      <c r="D443" s="1">
        <v>45630</v>
      </c>
      <c r="E443">
        <v>11.99</v>
      </c>
      <c r="F443">
        <v>204</v>
      </c>
      <c r="G443" t="s">
        <v>79</v>
      </c>
      <c r="H443">
        <v>4</v>
      </c>
      <c r="I443">
        <v>4</v>
      </c>
      <c r="J443" t="b">
        <v>1</v>
      </c>
      <c r="K443">
        <v>706</v>
      </c>
      <c r="L443">
        <v>153</v>
      </c>
      <c r="M443" t="s">
        <v>39</v>
      </c>
      <c r="N443" t="s">
        <v>26</v>
      </c>
      <c r="O443" t="s">
        <v>27</v>
      </c>
      <c r="P443">
        <v>94</v>
      </c>
      <c r="Q443">
        <v>3.7</v>
      </c>
      <c r="R443" t="b">
        <v>1</v>
      </c>
      <c r="S443" t="s">
        <v>28</v>
      </c>
      <c r="T443">
        <v>4569</v>
      </c>
      <c r="U443" t="s">
        <v>29</v>
      </c>
      <c r="V443" t="s">
        <v>68</v>
      </c>
      <c r="W443" t="s">
        <v>31</v>
      </c>
    </row>
    <row r="444" spans="1:23" x14ac:dyDescent="0.3">
      <c r="A444">
        <v>2220</v>
      </c>
      <c r="B444" t="s">
        <v>264</v>
      </c>
      <c r="C444" s="1">
        <v>45220</v>
      </c>
      <c r="D444" s="1">
        <v>45624</v>
      </c>
      <c r="E444">
        <v>15.99</v>
      </c>
      <c r="F444">
        <v>205</v>
      </c>
      <c r="G444" t="s">
        <v>62</v>
      </c>
      <c r="H444">
        <v>3</v>
      </c>
      <c r="I444">
        <v>1</v>
      </c>
      <c r="J444" t="b">
        <v>1</v>
      </c>
      <c r="K444">
        <v>792</v>
      </c>
      <c r="L444">
        <v>103</v>
      </c>
      <c r="M444" t="s">
        <v>63</v>
      </c>
      <c r="N444" t="s">
        <v>26</v>
      </c>
      <c r="O444" t="s">
        <v>41</v>
      </c>
      <c r="P444">
        <v>24</v>
      </c>
      <c r="Q444">
        <v>3.9</v>
      </c>
      <c r="R444" t="b">
        <v>1</v>
      </c>
      <c r="S444" t="s">
        <v>28</v>
      </c>
      <c r="T444">
        <v>2695</v>
      </c>
      <c r="U444" t="s">
        <v>57</v>
      </c>
      <c r="V444" t="s">
        <v>68</v>
      </c>
      <c r="W444" t="s">
        <v>37</v>
      </c>
    </row>
    <row r="445" spans="1:23" x14ac:dyDescent="0.3">
      <c r="A445">
        <v>9308</v>
      </c>
      <c r="B445" t="s">
        <v>72</v>
      </c>
      <c r="C445" s="1">
        <v>45565</v>
      </c>
      <c r="D445" s="1">
        <v>45621</v>
      </c>
      <c r="E445">
        <v>11.99</v>
      </c>
      <c r="F445">
        <v>64</v>
      </c>
      <c r="G445" t="s">
        <v>46</v>
      </c>
      <c r="H445">
        <v>2</v>
      </c>
      <c r="I445">
        <v>3</v>
      </c>
      <c r="J445" t="b">
        <v>1</v>
      </c>
      <c r="K445">
        <v>221</v>
      </c>
      <c r="L445">
        <v>4</v>
      </c>
      <c r="M445" t="s">
        <v>25</v>
      </c>
      <c r="N445" t="s">
        <v>26</v>
      </c>
      <c r="O445" t="s">
        <v>41</v>
      </c>
      <c r="P445">
        <v>88</v>
      </c>
      <c r="Q445">
        <v>3.7</v>
      </c>
      <c r="R445" t="b">
        <v>1</v>
      </c>
      <c r="S445" t="s">
        <v>28</v>
      </c>
      <c r="T445">
        <v>48</v>
      </c>
      <c r="U445" t="s">
        <v>65</v>
      </c>
      <c r="V445" t="s">
        <v>52</v>
      </c>
      <c r="W445" t="s">
        <v>75</v>
      </c>
    </row>
    <row r="446" spans="1:23" x14ac:dyDescent="0.3">
      <c r="A446">
        <v>3437</v>
      </c>
      <c r="B446" t="s">
        <v>141</v>
      </c>
      <c r="C446" s="1">
        <v>44950</v>
      </c>
      <c r="D446" s="1">
        <v>45631</v>
      </c>
      <c r="E446">
        <v>7.99</v>
      </c>
      <c r="F446">
        <v>281</v>
      </c>
      <c r="G446" t="s">
        <v>43</v>
      </c>
      <c r="H446">
        <v>2</v>
      </c>
      <c r="I446">
        <v>4</v>
      </c>
      <c r="J446" t="b">
        <v>0</v>
      </c>
      <c r="K446">
        <v>770</v>
      </c>
      <c r="L446">
        <v>74</v>
      </c>
      <c r="M446" t="s">
        <v>59</v>
      </c>
      <c r="N446" t="s">
        <v>40</v>
      </c>
      <c r="O446" t="s">
        <v>34</v>
      </c>
      <c r="P446">
        <v>12</v>
      </c>
      <c r="Q446">
        <v>4</v>
      </c>
      <c r="R446" t="b">
        <v>0</v>
      </c>
      <c r="S446" t="s">
        <v>28</v>
      </c>
      <c r="T446">
        <v>1526</v>
      </c>
      <c r="U446" t="s">
        <v>57</v>
      </c>
      <c r="V446" t="s">
        <v>30</v>
      </c>
      <c r="W446" t="s">
        <v>31</v>
      </c>
    </row>
    <row r="447" spans="1:23" x14ac:dyDescent="0.3">
      <c r="A447">
        <v>8305</v>
      </c>
      <c r="B447" t="s">
        <v>100</v>
      </c>
      <c r="C447" s="1">
        <v>44952</v>
      </c>
      <c r="D447" s="1">
        <v>45632</v>
      </c>
      <c r="E447">
        <v>11.99</v>
      </c>
      <c r="F447">
        <v>78</v>
      </c>
      <c r="G447" t="s">
        <v>62</v>
      </c>
      <c r="H447">
        <v>4</v>
      </c>
      <c r="I447">
        <v>5</v>
      </c>
      <c r="J447" t="b">
        <v>0</v>
      </c>
      <c r="K447">
        <v>914</v>
      </c>
      <c r="L447">
        <v>22</v>
      </c>
      <c r="M447" t="s">
        <v>74</v>
      </c>
      <c r="N447" t="s">
        <v>40</v>
      </c>
      <c r="O447" t="s">
        <v>34</v>
      </c>
      <c r="P447">
        <v>14</v>
      </c>
      <c r="Q447">
        <v>4.5</v>
      </c>
      <c r="R447" t="b">
        <v>0</v>
      </c>
      <c r="S447" t="s">
        <v>28</v>
      </c>
      <c r="T447">
        <v>4934</v>
      </c>
      <c r="U447" t="s">
        <v>29</v>
      </c>
      <c r="V447" t="s">
        <v>30</v>
      </c>
      <c r="W447" t="s">
        <v>31</v>
      </c>
    </row>
    <row r="448" spans="1:23" x14ac:dyDescent="0.3">
      <c r="A448">
        <v>6773</v>
      </c>
      <c r="B448" t="s">
        <v>271</v>
      </c>
      <c r="C448" s="1">
        <v>45328</v>
      </c>
      <c r="D448" s="1">
        <v>45625</v>
      </c>
      <c r="E448">
        <v>7.99</v>
      </c>
      <c r="F448">
        <v>343</v>
      </c>
      <c r="G448" t="s">
        <v>33</v>
      </c>
      <c r="H448">
        <v>4</v>
      </c>
      <c r="I448">
        <v>1</v>
      </c>
      <c r="J448" t="b">
        <v>1</v>
      </c>
      <c r="K448">
        <v>492</v>
      </c>
      <c r="L448">
        <v>187</v>
      </c>
      <c r="M448" t="s">
        <v>25</v>
      </c>
      <c r="N448" t="s">
        <v>26</v>
      </c>
      <c r="O448" t="s">
        <v>67</v>
      </c>
      <c r="P448">
        <v>75</v>
      </c>
      <c r="Q448">
        <v>4.9000000000000004</v>
      </c>
      <c r="R448" t="b">
        <v>1</v>
      </c>
      <c r="S448" t="s">
        <v>28</v>
      </c>
      <c r="T448">
        <v>628</v>
      </c>
      <c r="U448" t="s">
        <v>35</v>
      </c>
      <c r="V448" t="s">
        <v>60</v>
      </c>
      <c r="W448" t="s">
        <v>31</v>
      </c>
    </row>
    <row r="449" spans="1:23" x14ac:dyDescent="0.3">
      <c r="A449">
        <v>3010</v>
      </c>
      <c r="B449" t="s">
        <v>181</v>
      </c>
      <c r="C449" s="1">
        <v>45599</v>
      </c>
      <c r="D449" s="1">
        <v>45620</v>
      </c>
      <c r="E449">
        <v>11.99</v>
      </c>
      <c r="F449">
        <v>318</v>
      </c>
      <c r="G449" t="s">
        <v>43</v>
      </c>
      <c r="H449">
        <v>1</v>
      </c>
      <c r="I449">
        <v>5</v>
      </c>
      <c r="J449" t="b">
        <v>0</v>
      </c>
      <c r="K449">
        <v>925</v>
      </c>
      <c r="L449">
        <v>191</v>
      </c>
      <c r="M449" t="s">
        <v>59</v>
      </c>
      <c r="N449" t="s">
        <v>26</v>
      </c>
      <c r="O449" t="s">
        <v>41</v>
      </c>
      <c r="P449">
        <v>38</v>
      </c>
      <c r="Q449">
        <v>4.5999999999999996</v>
      </c>
      <c r="R449" t="b">
        <v>1</v>
      </c>
      <c r="S449" t="s">
        <v>28</v>
      </c>
      <c r="T449">
        <v>167</v>
      </c>
      <c r="U449" t="s">
        <v>65</v>
      </c>
      <c r="V449" t="s">
        <v>36</v>
      </c>
      <c r="W449" t="s">
        <v>75</v>
      </c>
    </row>
    <row r="450" spans="1:23" x14ac:dyDescent="0.3">
      <c r="A450">
        <v>3622</v>
      </c>
      <c r="B450" t="s">
        <v>184</v>
      </c>
      <c r="C450" s="1">
        <v>45520</v>
      </c>
      <c r="D450" s="1">
        <v>45635</v>
      </c>
      <c r="E450">
        <v>7.99</v>
      </c>
      <c r="F450">
        <v>444</v>
      </c>
      <c r="G450" t="s">
        <v>33</v>
      </c>
      <c r="H450">
        <v>3</v>
      </c>
      <c r="I450">
        <v>5</v>
      </c>
      <c r="J450" t="b">
        <v>0</v>
      </c>
      <c r="K450">
        <v>183</v>
      </c>
      <c r="L450">
        <v>195</v>
      </c>
      <c r="M450" t="s">
        <v>74</v>
      </c>
      <c r="N450" t="s">
        <v>64</v>
      </c>
      <c r="O450" t="s">
        <v>41</v>
      </c>
      <c r="P450">
        <v>36</v>
      </c>
      <c r="Q450">
        <v>4.7</v>
      </c>
      <c r="R450" t="b">
        <v>0</v>
      </c>
      <c r="S450" t="s">
        <v>28</v>
      </c>
      <c r="T450">
        <v>1309</v>
      </c>
      <c r="U450" t="s">
        <v>51</v>
      </c>
      <c r="V450" t="s">
        <v>36</v>
      </c>
      <c r="W450" t="s">
        <v>53</v>
      </c>
    </row>
    <row r="451" spans="1:23" x14ac:dyDescent="0.3">
      <c r="A451">
        <v>6006</v>
      </c>
      <c r="B451" t="s">
        <v>82</v>
      </c>
      <c r="C451" s="1">
        <v>45542</v>
      </c>
      <c r="D451" s="1">
        <v>45615</v>
      </c>
      <c r="E451">
        <v>11.99</v>
      </c>
      <c r="F451">
        <v>171</v>
      </c>
      <c r="G451" t="s">
        <v>55</v>
      </c>
      <c r="H451">
        <v>3</v>
      </c>
      <c r="I451">
        <v>1</v>
      </c>
      <c r="J451" t="b">
        <v>1</v>
      </c>
      <c r="K451">
        <v>889</v>
      </c>
      <c r="L451">
        <v>54</v>
      </c>
      <c r="M451" t="s">
        <v>74</v>
      </c>
      <c r="N451" t="s">
        <v>64</v>
      </c>
      <c r="O451" t="s">
        <v>34</v>
      </c>
      <c r="P451">
        <v>1</v>
      </c>
      <c r="Q451">
        <v>3.3</v>
      </c>
      <c r="R451" t="b">
        <v>1</v>
      </c>
      <c r="S451" t="s">
        <v>28</v>
      </c>
      <c r="T451">
        <v>710</v>
      </c>
      <c r="U451" t="s">
        <v>29</v>
      </c>
      <c r="V451" t="s">
        <v>60</v>
      </c>
      <c r="W451" t="s">
        <v>31</v>
      </c>
    </row>
    <row r="452" spans="1:23" x14ac:dyDescent="0.3">
      <c r="A452">
        <v>1338</v>
      </c>
      <c r="B452" t="s">
        <v>105</v>
      </c>
      <c r="C452" s="1">
        <v>45011</v>
      </c>
      <c r="D452" s="1">
        <v>45628</v>
      </c>
      <c r="E452">
        <v>15.99</v>
      </c>
      <c r="F452">
        <v>309</v>
      </c>
      <c r="G452" t="s">
        <v>79</v>
      </c>
      <c r="H452">
        <v>5</v>
      </c>
      <c r="I452">
        <v>4</v>
      </c>
      <c r="J452" t="b">
        <v>0</v>
      </c>
      <c r="K452">
        <v>174</v>
      </c>
      <c r="L452">
        <v>172</v>
      </c>
      <c r="M452" t="s">
        <v>59</v>
      </c>
      <c r="N452" t="s">
        <v>64</v>
      </c>
      <c r="O452" t="s">
        <v>56</v>
      </c>
      <c r="P452">
        <v>71</v>
      </c>
      <c r="Q452">
        <v>3.1</v>
      </c>
      <c r="R452" t="b">
        <v>1</v>
      </c>
      <c r="S452" t="s">
        <v>28</v>
      </c>
      <c r="T452">
        <v>106</v>
      </c>
      <c r="U452" t="s">
        <v>51</v>
      </c>
      <c r="V452" t="s">
        <v>68</v>
      </c>
      <c r="W452" t="s">
        <v>53</v>
      </c>
    </row>
    <row r="453" spans="1:23" x14ac:dyDescent="0.3">
      <c r="A453">
        <v>6722</v>
      </c>
      <c r="B453" t="s">
        <v>99</v>
      </c>
      <c r="C453" s="1">
        <v>45054</v>
      </c>
      <c r="D453" s="1">
        <v>45623</v>
      </c>
      <c r="E453">
        <v>15.99</v>
      </c>
      <c r="F453">
        <v>447</v>
      </c>
      <c r="G453" t="s">
        <v>62</v>
      </c>
      <c r="H453">
        <v>5</v>
      </c>
      <c r="I453">
        <v>2</v>
      </c>
      <c r="J453" t="b">
        <v>0</v>
      </c>
      <c r="K453">
        <v>709</v>
      </c>
      <c r="L453">
        <v>93</v>
      </c>
      <c r="M453" t="s">
        <v>48</v>
      </c>
      <c r="N453" t="s">
        <v>40</v>
      </c>
      <c r="O453" t="s">
        <v>34</v>
      </c>
      <c r="P453">
        <v>35</v>
      </c>
      <c r="Q453">
        <v>4.8</v>
      </c>
      <c r="R453" t="b">
        <v>1</v>
      </c>
      <c r="S453" t="s">
        <v>28</v>
      </c>
      <c r="T453">
        <v>2652</v>
      </c>
      <c r="U453" t="s">
        <v>51</v>
      </c>
      <c r="V453" t="s">
        <v>36</v>
      </c>
      <c r="W453" t="s">
        <v>37</v>
      </c>
    </row>
    <row r="454" spans="1:23" x14ac:dyDescent="0.3">
      <c r="A454">
        <v>5871</v>
      </c>
      <c r="B454" t="s">
        <v>289</v>
      </c>
      <c r="C454" s="1">
        <v>45486</v>
      </c>
      <c r="D454" s="1">
        <v>45630</v>
      </c>
      <c r="E454">
        <v>7.99</v>
      </c>
      <c r="F454">
        <v>120</v>
      </c>
      <c r="G454" t="s">
        <v>79</v>
      </c>
      <c r="H454">
        <v>3</v>
      </c>
      <c r="I454">
        <v>5</v>
      </c>
      <c r="J454" t="b">
        <v>1</v>
      </c>
      <c r="K454">
        <v>783</v>
      </c>
      <c r="L454">
        <v>81</v>
      </c>
      <c r="M454" t="s">
        <v>39</v>
      </c>
      <c r="N454" t="s">
        <v>26</v>
      </c>
      <c r="O454" t="s">
        <v>41</v>
      </c>
      <c r="P454">
        <v>52</v>
      </c>
      <c r="Q454">
        <v>4.3</v>
      </c>
      <c r="R454" t="b">
        <v>0</v>
      </c>
      <c r="S454" t="s">
        <v>28</v>
      </c>
      <c r="T454">
        <v>4879</v>
      </c>
      <c r="U454" t="s">
        <v>57</v>
      </c>
      <c r="V454" t="s">
        <v>68</v>
      </c>
      <c r="W454" t="s">
        <v>75</v>
      </c>
    </row>
    <row r="455" spans="1:23" x14ac:dyDescent="0.3">
      <c r="A455">
        <v>9290</v>
      </c>
      <c r="B455" t="s">
        <v>290</v>
      </c>
      <c r="C455" s="1">
        <v>45239</v>
      </c>
      <c r="D455" s="1">
        <v>45634</v>
      </c>
      <c r="E455">
        <v>15.99</v>
      </c>
      <c r="F455">
        <v>168</v>
      </c>
      <c r="G455" t="s">
        <v>24</v>
      </c>
      <c r="H455">
        <v>5</v>
      </c>
      <c r="I455">
        <v>4</v>
      </c>
      <c r="J455" t="b">
        <v>1</v>
      </c>
      <c r="K455">
        <v>304</v>
      </c>
      <c r="L455">
        <v>196</v>
      </c>
      <c r="M455" t="s">
        <v>25</v>
      </c>
      <c r="N455" t="s">
        <v>40</v>
      </c>
      <c r="O455" t="s">
        <v>50</v>
      </c>
      <c r="P455">
        <v>44</v>
      </c>
      <c r="Q455">
        <v>4.0999999999999996</v>
      </c>
      <c r="R455" t="b">
        <v>0</v>
      </c>
      <c r="S455" t="s">
        <v>28</v>
      </c>
      <c r="T455">
        <v>1426</v>
      </c>
      <c r="U455" t="s">
        <v>51</v>
      </c>
      <c r="V455" t="s">
        <v>30</v>
      </c>
      <c r="W455" t="s">
        <v>75</v>
      </c>
    </row>
    <row r="456" spans="1:23" x14ac:dyDescent="0.3">
      <c r="A456">
        <v>8567</v>
      </c>
      <c r="B456" t="s">
        <v>72</v>
      </c>
      <c r="C456" s="1">
        <v>45430</v>
      </c>
      <c r="D456" s="1">
        <v>45639</v>
      </c>
      <c r="E456">
        <v>7.99</v>
      </c>
      <c r="F456">
        <v>203</v>
      </c>
      <c r="G456" t="s">
        <v>43</v>
      </c>
      <c r="H456">
        <v>1</v>
      </c>
      <c r="I456">
        <v>3</v>
      </c>
      <c r="J456" t="b">
        <v>1</v>
      </c>
      <c r="K456">
        <v>738</v>
      </c>
      <c r="L456">
        <v>96</v>
      </c>
      <c r="M456" t="s">
        <v>59</v>
      </c>
      <c r="N456" t="s">
        <v>64</v>
      </c>
      <c r="O456" t="s">
        <v>67</v>
      </c>
      <c r="P456">
        <v>10</v>
      </c>
      <c r="Q456">
        <v>4</v>
      </c>
      <c r="R456" t="b">
        <v>0</v>
      </c>
      <c r="S456" t="s">
        <v>28</v>
      </c>
      <c r="T456">
        <v>1504</v>
      </c>
      <c r="U456" t="s">
        <v>57</v>
      </c>
      <c r="V456" t="s">
        <v>52</v>
      </c>
      <c r="W456" t="s">
        <v>75</v>
      </c>
    </row>
    <row r="457" spans="1:23" x14ac:dyDescent="0.3">
      <c r="A457">
        <v>5253</v>
      </c>
      <c r="B457" t="s">
        <v>285</v>
      </c>
      <c r="C457" s="1">
        <v>45267</v>
      </c>
      <c r="D457" s="1">
        <v>45620</v>
      </c>
      <c r="E457">
        <v>11.99</v>
      </c>
      <c r="F457">
        <v>436</v>
      </c>
      <c r="G457" t="s">
        <v>62</v>
      </c>
      <c r="H457">
        <v>5</v>
      </c>
      <c r="I457">
        <v>5</v>
      </c>
      <c r="J457" t="b">
        <v>1</v>
      </c>
      <c r="K457">
        <v>228</v>
      </c>
      <c r="L457">
        <v>110</v>
      </c>
      <c r="M457" t="s">
        <v>59</v>
      </c>
      <c r="N457" t="s">
        <v>64</v>
      </c>
      <c r="O457" t="s">
        <v>27</v>
      </c>
      <c r="P457">
        <v>78</v>
      </c>
      <c r="Q457">
        <v>4.5</v>
      </c>
      <c r="R457" t="b">
        <v>1</v>
      </c>
      <c r="S457" t="s">
        <v>28</v>
      </c>
      <c r="T457">
        <v>1518</v>
      </c>
      <c r="U457" t="s">
        <v>35</v>
      </c>
      <c r="V457" t="s">
        <v>30</v>
      </c>
      <c r="W457" t="s">
        <v>53</v>
      </c>
    </row>
    <row r="458" spans="1:23" x14ac:dyDescent="0.3">
      <c r="A458">
        <v>8172</v>
      </c>
      <c r="B458" t="s">
        <v>291</v>
      </c>
      <c r="C458" s="1">
        <v>45372</v>
      </c>
      <c r="D458" s="1">
        <v>45643</v>
      </c>
      <c r="E458">
        <v>11.99</v>
      </c>
      <c r="F458">
        <v>195</v>
      </c>
      <c r="G458" t="s">
        <v>79</v>
      </c>
      <c r="H458">
        <v>5</v>
      </c>
      <c r="I458">
        <v>6</v>
      </c>
      <c r="J458" t="b">
        <v>1</v>
      </c>
      <c r="K458">
        <v>997</v>
      </c>
      <c r="L458">
        <v>107</v>
      </c>
      <c r="M458" t="s">
        <v>39</v>
      </c>
      <c r="N458" t="s">
        <v>49</v>
      </c>
      <c r="O458" t="s">
        <v>67</v>
      </c>
      <c r="P458">
        <v>78</v>
      </c>
      <c r="Q458">
        <v>4.9000000000000004</v>
      </c>
      <c r="R458" t="b">
        <v>0</v>
      </c>
      <c r="S458" t="s">
        <v>28</v>
      </c>
      <c r="T458">
        <v>708</v>
      </c>
      <c r="U458" t="s">
        <v>65</v>
      </c>
      <c r="V458" t="s">
        <v>60</v>
      </c>
      <c r="W458" t="s">
        <v>37</v>
      </c>
    </row>
    <row r="459" spans="1:23" x14ac:dyDescent="0.3">
      <c r="A459">
        <v>2154</v>
      </c>
      <c r="B459" t="s">
        <v>77</v>
      </c>
      <c r="C459" s="1">
        <v>45271</v>
      </c>
      <c r="D459" s="1">
        <v>45631</v>
      </c>
      <c r="E459">
        <v>7.99</v>
      </c>
      <c r="F459">
        <v>454</v>
      </c>
      <c r="G459" t="s">
        <v>33</v>
      </c>
      <c r="H459">
        <v>5</v>
      </c>
      <c r="I459">
        <v>1</v>
      </c>
      <c r="J459" t="b">
        <v>1</v>
      </c>
      <c r="K459">
        <v>722</v>
      </c>
      <c r="L459">
        <v>98</v>
      </c>
      <c r="M459" t="s">
        <v>44</v>
      </c>
      <c r="N459" t="s">
        <v>49</v>
      </c>
      <c r="O459" t="s">
        <v>41</v>
      </c>
      <c r="P459">
        <v>36</v>
      </c>
      <c r="Q459">
        <v>3.4</v>
      </c>
      <c r="R459" t="b">
        <v>0</v>
      </c>
      <c r="S459" t="s">
        <v>28</v>
      </c>
      <c r="T459">
        <v>4651</v>
      </c>
      <c r="U459" t="s">
        <v>65</v>
      </c>
      <c r="V459" t="s">
        <v>30</v>
      </c>
      <c r="W459" t="s">
        <v>37</v>
      </c>
    </row>
    <row r="460" spans="1:23" x14ac:dyDescent="0.3">
      <c r="A460">
        <v>5013</v>
      </c>
      <c r="B460" t="s">
        <v>292</v>
      </c>
      <c r="C460" s="1">
        <v>45164</v>
      </c>
      <c r="D460" s="1">
        <v>45620</v>
      </c>
      <c r="E460">
        <v>15.99</v>
      </c>
      <c r="F460">
        <v>187</v>
      </c>
      <c r="G460" t="s">
        <v>33</v>
      </c>
      <c r="H460">
        <v>1</v>
      </c>
      <c r="I460">
        <v>1</v>
      </c>
      <c r="J460" t="b">
        <v>0</v>
      </c>
      <c r="K460">
        <v>316</v>
      </c>
      <c r="L460">
        <v>10</v>
      </c>
      <c r="M460" t="s">
        <v>44</v>
      </c>
      <c r="N460" t="s">
        <v>26</v>
      </c>
      <c r="O460" t="s">
        <v>56</v>
      </c>
      <c r="P460">
        <v>8</v>
      </c>
      <c r="Q460">
        <v>4.7</v>
      </c>
      <c r="R460" t="b">
        <v>0</v>
      </c>
      <c r="S460" t="s">
        <v>28</v>
      </c>
      <c r="T460">
        <v>4397</v>
      </c>
      <c r="U460" t="s">
        <v>29</v>
      </c>
      <c r="V460" t="s">
        <v>68</v>
      </c>
      <c r="W460" t="s">
        <v>31</v>
      </c>
    </row>
    <row r="461" spans="1:23" x14ac:dyDescent="0.3">
      <c r="A461">
        <v>4211</v>
      </c>
      <c r="B461" t="s">
        <v>293</v>
      </c>
      <c r="C461" s="1">
        <v>45572</v>
      </c>
      <c r="D461" s="1">
        <v>45627</v>
      </c>
      <c r="E461">
        <v>7.99</v>
      </c>
      <c r="F461">
        <v>277</v>
      </c>
      <c r="G461" t="s">
        <v>79</v>
      </c>
      <c r="H461">
        <v>1</v>
      </c>
      <c r="I461">
        <v>3</v>
      </c>
      <c r="J461" t="b">
        <v>1</v>
      </c>
      <c r="K461">
        <v>455</v>
      </c>
      <c r="L461">
        <v>120</v>
      </c>
      <c r="M461" t="s">
        <v>74</v>
      </c>
      <c r="N461" t="s">
        <v>26</v>
      </c>
      <c r="O461" t="s">
        <v>50</v>
      </c>
      <c r="P461">
        <v>92</v>
      </c>
      <c r="Q461">
        <v>4.7</v>
      </c>
      <c r="R461" t="b">
        <v>0</v>
      </c>
      <c r="S461" t="s">
        <v>28</v>
      </c>
      <c r="T461">
        <v>1360</v>
      </c>
      <c r="U461" t="s">
        <v>57</v>
      </c>
      <c r="V461" t="s">
        <v>52</v>
      </c>
      <c r="W461" t="s">
        <v>75</v>
      </c>
    </row>
    <row r="462" spans="1:23" x14ac:dyDescent="0.3">
      <c r="A462">
        <v>4408</v>
      </c>
      <c r="B462" t="s">
        <v>153</v>
      </c>
      <c r="C462" s="1">
        <v>45197</v>
      </c>
      <c r="D462" s="1">
        <v>45626</v>
      </c>
      <c r="E462">
        <v>7.99</v>
      </c>
      <c r="F462">
        <v>257</v>
      </c>
      <c r="G462" t="s">
        <v>79</v>
      </c>
      <c r="H462">
        <v>3</v>
      </c>
      <c r="I462">
        <v>6</v>
      </c>
      <c r="J462" t="b">
        <v>1</v>
      </c>
      <c r="K462">
        <v>985</v>
      </c>
      <c r="L462">
        <v>97</v>
      </c>
      <c r="M462" t="s">
        <v>44</v>
      </c>
      <c r="N462" t="s">
        <v>49</v>
      </c>
      <c r="O462" t="s">
        <v>41</v>
      </c>
      <c r="P462">
        <v>88</v>
      </c>
      <c r="Q462">
        <v>3.9</v>
      </c>
      <c r="R462" t="b">
        <v>1</v>
      </c>
      <c r="S462" t="s">
        <v>28</v>
      </c>
      <c r="T462">
        <v>4155</v>
      </c>
      <c r="U462" t="s">
        <v>35</v>
      </c>
      <c r="V462" t="s">
        <v>52</v>
      </c>
      <c r="W462" t="s">
        <v>53</v>
      </c>
    </row>
    <row r="463" spans="1:23" x14ac:dyDescent="0.3">
      <c r="A463">
        <v>8473</v>
      </c>
      <c r="B463" t="s">
        <v>294</v>
      </c>
      <c r="C463" s="1">
        <v>44982</v>
      </c>
      <c r="D463" s="1">
        <v>45638</v>
      </c>
      <c r="E463">
        <v>11.99</v>
      </c>
      <c r="F463">
        <v>12</v>
      </c>
      <c r="G463" t="s">
        <v>46</v>
      </c>
      <c r="H463">
        <v>4</v>
      </c>
      <c r="I463">
        <v>6</v>
      </c>
      <c r="J463" t="b">
        <v>0</v>
      </c>
      <c r="K463">
        <v>718</v>
      </c>
      <c r="L463">
        <v>100</v>
      </c>
      <c r="M463" t="s">
        <v>74</v>
      </c>
      <c r="N463" t="s">
        <v>40</v>
      </c>
      <c r="O463" t="s">
        <v>41</v>
      </c>
      <c r="P463">
        <v>24</v>
      </c>
      <c r="Q463">
        <v>4.0999999999999996</v>
      </c>
      <c r="R463" t="b">
        <v>0</v>
      </c>
      <c r="S463" t="s">
        <v>28</v>
      </c>
      <c r="T463">
        <v>1289</v>
      </c>
      <c r="U463" t="s">
        <v>29</v>
      </c>
      <c r="V463" t="s">
        <v>52</v>
      </c>
      <c r="W463" t="s">
        <v>53</v>
      </c>
    </row>
    <row r="464" spans="1:23" x14ac:dyDescent="0.3">
      <c r="A464">
        <v>7510</v>
      </c>
      <c r="B464" t="s">
        <v>295</v>
      </c>
      <c r="C464" s="1">
        <v>44941</v>
      </c>
      <c r="D464" s="1">
        <v>45625</v>
      </c>
      <c r="E464">
        <v>7.99</v>
      </c>
      <c r="F464">
        <v>362</v>
      </c>
      <c r="G464" t="s">
        <v>79</v>
      </c>
      <c r="H464">
        <v>2</v>
      </c>
      <c r="I464">
        <v>4</v>
      </c>
      <c r="J464" t="b">
        <v>1</v>
      </c>
      <c r="K464">
        <v>923</v>
      </c>
      <c r="L464">
        <v>57</v>
      </c>
      <c r="M464" t="s">
        <v>74</v>
      </c>
      <c r="N464" t="s">
        <v>26</v>
      </c>
      <c r="O464" t="s">
        <v>34</v>
      </c>
      <c r="P464">
        <v>38</v>
      </c>
      <c r="Q464">
        <v>4.8</v>
      </c>
      <c r="R464" t="b">
        <v>0</v>
      </c>
      <c r="S464" t="s">
        <v>28</v>
      </c>
      <c r="T464">
        <v>2922</v>
      </c>
      <c r="U464" t="s">
        <v>57</v>
      </c>
      <c r="V464" t="s">
        <v>30</v>
      </c>
      <c r="W464" t="s">
        <v>75</v>
      </c>
    </row>
    <row r="465" spans="1:23" x14ac:dyDescent="0.3">
      <c r="A465">
        <v>5376</v>
      </c>
      <c r="B465" t="s">
        <v>146</v>
      </c>
      <c r="C465" s="1">
        <v>45023</v>
      </c>
      <c r="D465" s="1">
        <v>45622</v>
      </c>
      <c r="E465">
        <v>7.99</v>
      </c>
      <c r="F465">
        <v>89</v>
      </c>
      <c r="G465" t="s">
        <v>79</v>
      </c>
      <c r="H465">
        <v>2</v>
      </c>
      <c r="I465">
        <v>4</v>
      </c>
      <c r="J465" t="b">
        <v>1</v>
      </c>
      <c r="K465">
        <v>174</v>
      </c>
      <c r="L465">
        <v>178</v>
      </c>
      <c r="M465" t="s">
        <v>63</v>
      </c>
      <c r="N465" t="s">
        <v>26</v>
      </c>
      <c r="O465" t="s">
        <v>67</v>
      </c>
      <c r="P465">
        <v>7</v>
      </c>
      <c r="Q465">
        <v>3.7</v>
      </c>
      <c r="R465" t="b">
        <v>0</v>
      </c>
      <c r="S465" t="s">
        <v>28</v>
      </c>
      <c r="T465">
        <v>28</v>
      </c>
      <c r="U465" t="s">
        <v>57</v>
      </c>
      <c r="V465" t="s">
        <v>30</v>
      </c>
      <c r="W465" t="s">
        <v>53</v>
      </c>
    </row>
    <row r="466" spans="1:23" x14ac:dyDescent="0.3">
      <c r="A466">
        <v>8005</v>
      </c>
      <c r="B466" t="s">
        <v>165</v>
      </c>
      <c r="C466" s="1">
        <v>44993</v>
      </c>
      <c r="D466" s="1">
        <v>45640</v>
      </c>
      <c r="E466">
        <v>7.99</v>
      </c>
      <c r="F466">
        <v>123</v>
      </c>
      <c r="G466" t="s">
        <v>46</v>
      </c>
      <c r="H466">
        <v>5</v>
      </c>
      <c r="I466">
        <v>5</v>
      </c>
      <c r="J466" t="b">
        <v>1</v>
      </c>
      <c r="K466">
        <v>253</v>
      </c>
      <c r="L466">
        <v>157</v>
      </c>
      <c r="M466" t="s">
        <v>44</v>
      </c>
      <c r="N466" t="s">
        <v>26</v>
      </c>
      <c r="O466" t="s">
        <v>50</v>
      </c>
      <c r="P466">
        <v>85</v>
      </c>
      <c r="Q466">
        <v>4</v>
      </c>
      <c r="R466" t="b">
        <v>0</v>
      </c>
      <c r="S466" t="s">
        <v>28</v>
      </c>
      <c r="T466">
        <v>3083</v>
      </c>
      <c r="U466" t="s">
        <v>51</v>
      </c>
      <c r="V466" t="s">
        <v>60</v>
      </c>
      <c r="W466" t="s">
        <v>31</v>
      </c>
    </row>
    <row r="467" spans="1:23" x14ac:dyDescent="0.3">
      <c r="A467">
        <v>7439</v>
      </c>
      <c r="B467" t="s">
        <v>133</v>
      </c>
      <c r="C467" s="1">
        <v>45163</v>
      </c>
      <c r="D467" s="1">
        <v>45631</v>
      </c>
      <c r="E467">
        <v>15.99</v>
      </c>
      <c r="F467">
        <v>427</v>
      </c>
      <c r="G467" t="s">
        <v>62</v>
      </c>
      <c r="H467">
        <v>1</v>
      </c>
      <c r="I467">
        <v>1</v>
      </c>
      <c r="J467" t="b">
        <v>0</v>
      </c>
      <c r="K467">
        <v>479</v>
      </c>
      <c r="L467">
        <v>98</v>
      </c>
      <c r="M467" t="s">
        <v>25</v>
      </c>
      <c r="N467" t="s">
        <v>26</v>
      </c>
      <c r="O467" t="s">
        <v>56</v>
      </c>
      <c r="P467">
        <v>18</v>
      </c>
      <c r="Q467">
        <v>3.8</v>
      </c>
      <c r="R467" t="b">
        <v>1</v>
      </c>
      <c r="S467" t="s">
        <v>28</v>
      </c>
      <c r="T467">
        <v>547</v>
      </c>
      <c r="U467" t="s">
        <v>65</v>
      </c>
      <c r="V467" t="s">
        <v>68</v>
      </c>
      <c r="W467" t="s">
        <v>31</v>
      </c>
    </row>
    <row r="468" spans="1:23" x14ac:dyDescent="0.3">
      <c r="A468">
        <v>3699</v>
      </c>
      <c r="B468" t="s">
        <v>250</v>
      </c>
      <c r="C468" s="1">
        <v>45072</v>
      </c>
      <c r="D468" s="1">
        <v>45620</v>
      </c>
      <c r="E468">
        <v>15.99</v>
      </c>
      <c r="F468">
        <v>439</v>
      </c>
      <c r="G468" t="s">
        <v>79</v>
      </c>
      <c r="H468">
        <v>2</v>
      </c>
      <c r="I468">
        <v>4</v>
      </c>
      <c r="J468" t="b">
        <v>0</v>
      </c>
      <c r="K468">
        <v>932</v>
      </c>
      <c r="L468">
        <v>98</v>
      </c>
      <c r="M468" t="s">
        <v>74</v>
      </c>
      <c r="N468" t="s">
        <v>64</v>
      </c>
      <c r="O468" t="s">
        <v>27</v>
      </c>
      <c r="P468">
        <v>58</v>
      </c>
      <c r="Q468">
        <v>4.9000000000000004</v>
      </c>
      <c r="R468" t="b">
        <v>0</v>
      </c>
      <c r="S468" t="s">
        <v>28</v>
      </c>
      <c r="T468">
        <v>239</v>
      </c>
      <c r="U468" t="s">
        <v>65</v>
      </c>
      <c r="V468" t="s">
        <v>30</v>
      </c>
      <c r="W468" t="s">
        <v>75</v>
      </c>
    </row>
    <row r="469" spans="1:23" x14ac:dyDescent="0.3">
      <c r="A469">
        <v>3162</v>
      </c>
      <c r="B469" t="s">
        <v>109</v>
      </c>
      <c r="C469" s="1">
        <v>44914</v>
      </c>
      <c r="D469" s="1">
        <v>45639</v>
      </c>
      <c r="E469">
        <v>15.99</v>
      </c>
      <c r="F469">
        <v>396</v>
      </c>
      <c r="G469" t="s">
        <v>55</v>
      </c>
      <c r="H469">
        <v>3</v>
      </c>
      <c r="I469">
        <v>3</v>
      </c>
      <c r="J469" t="b">
        <v>1</v>
      </c>
      <c r="K469">
        <v>175</v>
      </c>
      <c r="L469">
        <v>17</v>
      </c>
      <c r="M469" t="s">
        <v>25</v>
      </c>
      <c r="N469" t="s">
        <v>49</v>
      </c>
      <c r="O469" t="s">
        <v>67</v>
      </c>
      <c r="P469">
        <v>11</v>
      </c>
      <c r="Q469">
        <v>3.4</v>
      </c>
      <c r="R469" t="b">
        <v>0</v>
      </c>
      <c r="S469" t="s">
        <v>28</v>
      </c>
      <c r="T469">
        <v>3516</v>
      </c>
      <c r="U469" t="s">
        <v>29</v>
      </c>
      <c r="V469" t="s">
        <v>30</v>
      </c>
      <c r="W469" t="s">
        <v>37</v>
      </c>
    </row>
    <row r="470" spans="1:23" x14ac:dyDescent="0.3">
      <c r="A470">
        <v>8798</v>
      </c>
      <c r="B470" t="s">
        <v>296</v>
      </c>
      <c r="C470" s="1">
        <v>45036</v>
      </c>
      <c r="D470" s="1">
        <v>45641</v>
      </c>
      <c r="E470">
        <v>15.99</v>
      </c>
      <c r="F470">
        <v>453</v>
      </c>
      <c r="G470" t="s">
        <v>55</v>
      </c>
      <c r="H470">
        <v>5</v>
      </c>
      <c r="I470">
        <v>2</v>
      </c>
      <c r="J470" t="b">
        <v>1</v>
      </c>
      <c r="K470">
        <v>591</v>
      </c>
      <c r="L470">
        <v>169</v>
      </c>
      <c r="M470" t="s">
        <v>39</v>
      </c>
      <c r="N470" t="s">
        <v>26</v>
      </c>
      <c r="O470" t="s">
        <v>56</v>
      </c>
      <c r="P470">
        <v>72</v>
      </c>
      <c r="Q470">
        <v>4.0999999999999996</v>
      </c>
      <c r="R470" t="b">
        <v>1</v>
      </c>
      <c r="S470" t="s">
        <v>28</v>
      </c>
      <c r="T470">
        <v>4031</v>
      </c>
      <c r="U470" t="s">
        <v>65</v>
      </c>
      <c r="V470" t="s">
        <v>36</v>
      </c>
      <c r="W470" t="s">
        <v>37</v>
      </c>
    </row>
    <row r="471" spans="1:23" x14ac:dyDescent="0.3">
      <c r="A471">
        <v>6400</v>
      </c>
      <c r="B471" t="s">
        <v>120</v>
      </c>
      <c r="C471" s="1">
        <v>45349</v>
      </c>
      <c r="D471" s="1">
        <v>45640</v>
      </c>
      <c r="E471">
        <v>11.99</v>
      </c>
      <c r="F471">
        <v>356</v>
      </c>
      <c r="G471" t="s">
        <v>55</v>
      </c>
      <c r="H471">
        <v>3</v>
      </c>
      <c r="I471">
        <v>2</v>
      </c>
      <c r="J471" t="b">
        <v>1</v>
      </c>
      <c r="K471">
        <v>776</v>
      </c>
      <c r="L471">
        <v>40</v>
      </c>
      <c r="M471" t="s">
        <v>25</v>
      </c>
      <c r="N471" t="s">
        <v>49</v>
      </c>
      <c r="O471" t="s">
        <v>41</v>
      </c>
      <c r="P471">
        <v>56</v>
      </c>
      <c r="Q471">
        <v>3.4</v>
      </c>
      <c r="R471" t="b">
        <v>1</v>
      </c>
      <c r="S471" t="s">
        <v>28</v>
      </c>
      <c r="T471">
        <v>3408</v>
      </c>
      <c r="U471" t="s">
        <v>65</v>
      </c>
      <c r="V471" t="s">
        <v>30</v>
      </c>
      <c r="W471" t="s">
        <v>37</v>
      </c>
    </row>
    <row r="472" spans="1:23" x14ac:dyDescent="0.3">
      <c r="A472">
        <v>9404</v>
      </c>
      <c r="B472" t="s">
        <v>109</v>
      </c>
      <c r="C472" s="1">
        <v>45179</v>
      </c>
      <c r="D472" s="1">
        <v>45629</v>
      </c>
      <c r="E472">
        <v>15.99</v>
      </c>
      <c r="F472">
        <v>192</v>
      </c>
      <c r="G472" t="s">
        <v>43</v>
      </c>
      <c r="H472">
        <v>1</v>
      </c>
      <c r="I472">
        <v>3</v>
      </c>
      <c r="J472" t="b">
        <v>1</v>
      </c>
      <c r="K472">
        <v>229</v>
      </c>
      <c r="L472">
        <v>54</v>
      </c>
      <c r="M472" t="s">
        <v>63</v>
      </c>
      <c r="N472" t="s">
        <v>26</v>
      </c>
      <c r="O472" t="s">
        <v>50</v>
      </c>
      <c r="P472">
        <v>87</v>
      </c>
      <c r="Q472">
        <v>3.1</v>
      </c>
      <c r="R472" t="b">
        <v>0</v>
      </c>
      <c r="S472" t="s">
        <v>28</v>
      </c>
      <c r="T472">
        <v>3849</v>
      </c>
      <c r="U472" t="s">
        <v>51</v>
      </c>
      <c r="V472" t="s">
        <v>60</v>
      </c>
      <c r="W472" t="s">
        <v>75</v>
      </c>
    </row>
    <row r="473" spans="1:23" x14ac:dyDescent="0.3">
      <c r="A473">
        <v>8151</v>
      </c>
      <c r="B473" t="s">
        <v>82</v>
      </c>
      <c r="C473" s="1">
        <v>45465</v>
      </c>
      <c r="D473" s="1">
        <v>45620</v>
      </c>
      <c r="E473">
        <v>11.99</v>
      </c>
      <c r="F473">
        <v>483</v>
      </c>
      <c r="G473" t="s">
        <v>79</v>
      </c>
      <c r="H473">
        <v>3</v>
      </c>
      <c r="I473">
        <v>6</v>
      </c>
      <c r="J473" t="b">
        <v>0</v>
      </c>
      <c r="K473">
        <v>730</v>
      </c>
      <c r="L473">
        <v>98</v>
      </c>
      <c r="M473" t="s">
        <v>39</v>
      </c>
      <c r="N473" t="s">
        <v>64</v>
      </c>
      <c r="O473" t="s">
        <v>41</v>
      </c>
      <c r="P473">
        <v>29</v>
      </c>
      <c r="Q473">
        <v>3.8</v>
      </c>
      <c r="R473" t="b">
        <v>0</v>
      </c>
      <c r="S473" t="s">
        <v>28</v>
      </c>
      <c r="T473">
        <v>1813</v>
      </c>
      <c r="U473" t="s">
        <v>35</v>
      </c>
      <c r="V473" t="s">
        <v>30</v>
      </c>
      <c r="W473" t="s">
        <v>37</v>
      </c>
    </row>
    <row r="474" spans="1:23" x14ac:dyDescent="0.3">
      <c r="A474">
        <v>7742</v>
      </c>
      <c r="B474" t="s">
        <v>108</v>
      </c>
      <c r="C474" s="1">
        <v>45562</v>
      </c>
      <c r="D474" s="1">
        <v>45618</v>
      </c>
      <c r="E474">
        <v>11.99</v>
      </c>
      <c r="F474">
        <v>17</v>
      </c>
      <c r="G474" t="s">
        <v>62</v>
      </c>
      <c r="H474">
        <v>2</v>
      </c>
      <c r="I474">
        <v>3</v>
      </c>
      <c r="J474" t="b">
        <v>1</v>
      </c>
      <c r="K474">
        <v>312</v>
      </c>
      <c r="L474">
        <v>114</v>
      </c>
      <c r="M474" t="s">
        <v>25</v>
      </c>
      <c r="N474" t="s">
        <v>26</v>
      </c>
      <c r="O474" t="s">
        <v>34</v>
      </c>
      <c r="P474">
        <v>15</v>
      </c>
      <c r="Q474">
        <v>3.6</v>
      </c>
      <c r="R474" t="b">
        <v>1</v>
      </c>
      <c r="S474" t="s">
        <v>28</v>
      </c>
      <c r="T474">
        <v>2084</v>
      </c>
      <c r="U474" t="s">
        <v>65</v>
      </c>
      <c r="V474" t="s">
        <v>52</v>
      </c>
      <c r="W474" t="s">
        <v>53</v>
      </c>
    </row>
    <row r="475" spans="1:23" x14ac:dyDescent="0.3">
      <c r="A475">
        <v>4553</v>
      </c>
      <c r="B475" t="s">
        <v>238</v>
      </c>
      <c r="C475" s="1">
        <v>45092</v>
      </c>
      <c r="D475" s="1">
        <v>45623</v>
      </c>
      <c r="E475">
        <v>7.99</v>
      </c>
      <c r="F475">
        <v>272</v>
      </c>
      <c r="G475" t="s">
        <v>46</v>
      </c>
      <c r="H475">
        <v>1</v>
      </c>
      <c r="I475">
        <v>6</v>
      </c>
      <c r="J475" t="b">
        <v>0</v>
      </c>
      <c r="K475">
        <v>356</v>
      </c>
      <c r="L475">
        <v>126</v>
      </c>
      <c r="M475" t="s">
        <v>48</v>
      </c>
      <c r="N475" t="s">
        <v>40</v>
      </c>
      <c r="O475" t="s">
        <v>41</v>
      </c>
      <c r="P475">
        <v>40</v>
      </c>
      <c r="Q475">
        <v>4.3</v>
      </c>
      <c r="R475" t="b">
        <v>1</v>
      </c>
      <c r="S475" t="s">
        <v>28</v>
      </c>
      <c r="T475">
        <v>749</v>
      </c>
      <c r="U475" t="s">
        <v>51</v>
      </c>
      <c r="V475" t="s">
        <v>36</v>
      </c>
      <c r="W475" t="s">
        <v>53</v>
      </c>
    </row>
    <row r="476" spans="1:23" x14ac:dyDescent="0.3">
      <c r="A476">
        <v>6919</v>
      </c>
      <c r="B476" t="s">
        <v>297</v>
      </c>
      <c r="C476" s="1">
        <v>44982</v>
      </c>
      <c r="D476" s="1">
        <v>45620</v>
      </c>
      <c r="E476">
        <v>7.99</v>
      </c>
      <c r="F476">
        <v>195</v>
      </c>
      <c r="G476" t="s">
        <v>24</v>
      </c>
      <c r="H476">
        <v>4</v>
      </c>
      <c r="I476">
        <v>3</v>
      </c>
      <c r="J476" t="b">
        <v>1</v>
      </c>
      <c r="K476">
        <v>49</v>
      </c>
      <c r="L476">
        <v>30</v>
      </c>
      <c r="M476" t="s">
        <v>39</v>
      </c>
      <c r="N476" t="s">
        <v>26</v>
      </c>
      <c r="O476" t="s">
        <v>34</v>
      </c>
      <c r="P476">
        <v>68</v>
      </c>
      <c r="Q476">
        <v>4.4000000000000004</v>
      </c>
      <c r="R476" t="b">
        <v>0</v>
      </c>
      <c r="S476" t="s">
        <v>28</v>
      </c>
      <c r="T476">
        <v>3157</v>
      </c>
      <c r="U476" t="s">
        <v>51</v>
      </c>
      <c r="V476" t="s">
        <v>52</v>
      </c>
      <c r="W476" t="s">
        <v>53</v>
      </c>
    </row>
    <row r="477" spans="1:23" x14ac:dyDescent="0.3">
      <c r="A477">
        <v>7168</v>
      </c>
      <c r="B477" t="s">
        <v>227</v>
      </c>
      <c r="C477" s="1">
        <v>45301</v>
      </c>
      <c r="D477" s="1">
        <v>45617</v>
      </c>
      <c r="E477">
        <v>11.99</v>
      </c>
      <c r="F477">
        <v>416</v>
      </c>
      <c r="G477" t="s">
        <v>43</v>
      </c>
      <c r="H477">
        <v>3</v>
      </c>
      <c r="I477">
        <v>1</v>
      </c>
      <c r="J477" t="b">
        <v>1</v>
      </c>
      <c r="K477">
        <v>774</v>
      </c>
      <c r="L477">
        <v>55</v>
      </c>
      <c r="M477" t="s">
        <v>74</v>
      </c>
      <c r="N477" t="s">
        <v>26</v>
      </c>
      <c r="O477" t="s">
        <v>67</v>
      </c>
      <c r="P477">
        <v>41</v>
      </c>
      <c r="Q477">
        <v>3.3</v>
      </c>
      <c r="R477" t="b">
        <v>0</v>
      </c>
      <c r="S477" t="s">
        <v>28</v>
      </c>
      <c r="T477">
        <v>173</v>
      </c>
      <c r="U477" t="s">
        <v>29</v>
      </c>
      <c r="V477" t="s">
        <v>52</v>
      </c>
      <c r="W477" t="s">
        <v>37</v>
      </c>
    </row>
    <row r="478" spans="1:23" x14ac:dyDescent="0.3">
      <c r="A478">
        <v>6474</v>
      </c>
      <c r="B478" t="s">
        <v>176</v>
      </c>
      <c r="C478" s="1">
        <v>45230</v>
      </c>
      <c r="D478" s="1">
        <v>45615</v>
      </c>
      <c r="E478">
        <v>15.99</v>
      </c>
      <c r="F478">
        <v>459</v>
      </c>
      <c r="G478" t="s">
        <v>46</v>
      </c>
      <c r="H478">
        <v>5</v>
      </c>
      <c r="I478">
        <v>5</v>
      </c>
      <c r="J478" t="b">
        <v>1</v>
      </c>
      <c r="K478">
        <v>961</v>
      </c>
      <c r="L478">
        <v>173</v>
      </c>
      <c r="M478" t="s">
        <v>44</v>
      </c>
      <c r="N478" t="s">
        <v>26</v>
      </c>
      <c r="O478" t="s">
        <v>34</v>
      </c>
      <c r="P478">
        <v>92</v>
      </c>
      <c r="Q478">
        <v>3.7</v>
      </c>
      <c r="R478" t="b">
        <v>0</v>
      </c>
      <c r="S478" t="s">
        <v>28</v>
      </c>
      <c r="T478">
        <v>2925</v>
      </c>
      <c r="U478" t="s">
        <v>35</v>
      </c>
      <c r="V478" t="s">
        <v>68</v>
      </c>
      <c r="W478" t="s">
        <v>31</v>
      </c>
    </row>
    <row r="479" spans="1:23" x14ac:dyDescent="0.3">
      <c r="A479">
        <v>4242</v>
      </c>
      <c r="B479" t="s">
        <v>38</v>
      </c>
      <c r="C479" s="1">
        <v>45236</v>
      </c>
      <c r="D479" s="1">
        <v>45641</v>
      </c>
      <c r="E479">
        <v>7.99</v>
      </c>
      <c r="F479">
        <v>168</v>
      </c>
      <c r="G479" t="s">
        <v>55</v>
      </c>
      <c r="H479">
        <v>5</v>
      </c>
      <c r="I479">
        <v>3</v>
      </c>
      <c r="J479" t="b">
        <v>1</v>
      </c>
      <c r="K479">
        <v>539</v>
      </c>
      <c r="L479">
        <v>48</v>
      </c>
      <c r="M479" t="s">
        <v>39</v>
      </c>
      <c r="N479" t="s">
        <v>49</v>
      </c>
      <c r="O479" t="s">
        <v>27</v>
      </c>
      <c r="P479">
        <v>82</v>
      </c>
      <c r="Q479">
        <v>4.3</v>
      </c>
      <c r="R479" t="b">
        <v>0</v>
      </c>
      <c r="S479" t="s">
        <v>28</v>
      </c>
      <c r="T479">
        <v>3182</v>
      </c>
      <c r="U479" t="s">
        <v>65</v>
      </c>
      <c r="V479" t="s">
        <v>36</v>
      </c>
      <c r="W479" t="s">
        <v>31</v>
      </c>
    </row>
    <row r="480" spans="1:23" x14ac:dyDescent="0.3">
      <c r="A480">
        <v>3395</v>
      </c>
      <c r="B480" t="s">
        <v>109</v>
      </c>
      <c r="C480" s="1">
        <v>45377</v>
      </c>
      <c r="D480" s="1">
        <v>45625</v>
      </c>
      <c r="E480">
        <v>7.99</v>
      </c>
      <c r="F480">
        <v>307</v>
      </c>
      <c r="G480" t="s">
        <v>79</v>
      </c>
      <c r="H480">
        <v>5</v>
      </c>
      <c r="I480">
        <v>6</v>
      </c>
      <c r="J480" t="b">
        <v>0</v>
      </c>
      <c r="K480">
        <v>340</v>
      </c>
      <c r="L480">
        <v>174</v>
      </c>
      <c r="M480" t="s">
        <v>48</v>
      </c>
      <c r="N480" t="s">
        <v>64</v>
      </c>
      <c r="O480" t="s">
        <v>41</v>
      </c>
      <c r="P480">
        <v>11</v>
      </c>
      <c r="Q480">
        <v>4.5</v>
      </c>
      <c r="R480" t="b">
        <v>1</v>
      </c>
      <c r="S480" t="s">
        <v>28</v>
      </c>
      <c r="T480">
        <v>2432</v>
      </c>
      <c r="U480" t="s">
        <v>51</v>
      </c>
      <c r="V480" t="s">
        <v>52</v>
      </c>
      <c r="W480" t="s">
        <v>37</v>
      </c>
    </row>
    <row r="481" spans="1:23" x14ac:dyDescent="0.3">
      <c r="A481">
        <v>8694</v>
      </c>
      <c r="B481" t="s">
        <v>298</v>
      </c>
      <c r="C481" s="1">
        <v>45274</v>
      </c>
      <c r="D481" s="1">
        <v>45629</v>
      </c>
      <c r="E481">
        <v>15.99</v>
      </c>
      <c r="F481">
        <v>270</v>
      </c>
      <c r="G481" t="s">
        <v>62</v>
      </c>
      <c r="H481">
        <v>2</v>
      </c>
      <c r="I481">
        <v>3</v>
      </c>
      <c r="J481" t="b">
        <v>1</v>
      </c>
      <c r="K481">
        <v>836</v>
      </c>
      <c r="L481">
        <v>67</v>
      </c>
      <c r="M481" t="s">
        <v>59</v>
      </c>
      <c r="N481" t="s">
        <v>26</v>
      </c>
      <c r="O481" t="s">
        <v>67</v>
      </c>
      <c r="P481">
        <v>51</v>
      </c>
      <c r="Q481">
        <v>4.5</v>
      </c>
      <c r="R481" t="b">
        <v>1</v>
      </c>
      <c r="S481" t="s">
        <v>28</v>
      </c>
      <c r="T481">
        <v>414</v>
      </c>
      <c r="U481" t="s">
        <v>51</v>
      </c>
      <c r="V481" t="s">
        <v>52</v>
      </c>
      <c r="W481" t="s">
        <v>53</v>
      </c>
    </row>
    <row r="482" spans="1:23" x14ac:dyDescent="0.3">
      <c r="A482">
        <v>7150</v>
      </c>
      <c r="B482" t="s">
        <v>99</v>
      </c>
      <c r="C482" s="1">
        <v>45029</v>
      </c>
      <c r="D482" s="1">
        <v>45633</v>
      </c>
      <c r="E482">
        <v>7.99</v>
      </c>
      <c r="F482">
        <v>358</v>
      </c>
      <c r="G482" t="s">
        <v>24</v>
      </c>
      <c r="H482">
        <v>4</v>
      </c>
      <c r="I482">
        <v>6</v>
      </c>
      <c r="J482" t="b">
        <v>1</v>
      </c>
      <c r="K482">
        <v>746</v>
      </c>
      <c r="L482">
        <v>200</v>
      </c>
      <c r="M482" t="s">
        <v>48</v>
      </c>
      <c r="N482" t="s">
        <v>40</v>
      </c>
      <c r="O482" t="s">
        <v>56</v>
      </c>
      <c r="P482">
        <v>35</v>
      </c>
      <c r="Q482">
        <v>3.9</v>
      </c>
      <c r="R482" t="b">
        <v>1</v>
      </c>
      <c r="S482" t="s">
        <v>28</v>
      </c>
      <c r="T482">
        <v>888</v>
      </c>
      <c r="U482" t="s">
        <v>57</v>
      </c>
      <c r="V482" t="s">
        <v>60</v>
      </c>
      <c r="W482" t="s">
        <v>31</v>
      </c>
    </row>
    <row r="483" spans="1:23" x14ac:dyDescent="0.3">
      <c r="A483">
        <v>4111</v>
      </c>
      <c r="B483" t="s">
        <v>221</v>
      </c>
      <c r="C483" s="1">
        <v>45405</v>
      </c>
      <c r="D483" s="1">
        <v>45623</v>
      </c>
      <c r="E483">
        <v>11.99</v>
      </c>
      <c r="F483">
        <v>301</v>
      </c>
      <c r="G483" t="s">
        <v>43</v>
      </c>
      <c r="H483">
        <v>2</v>
      </c>
      <c r="I483">
        <v>2</v>
      </c>
      <c r="J483" t="b">
        <v>1</v>
      </c>
      <c r="K483">
        <v>939</v>
      </c>
      <c r="L483">
        <v>21</v>
      </c>
      <c r="M483" t="s">
        <v>63</v>
      </c>
      <c r="N483" t="s">
        <v>49</v>
      </c>
      <c r="O483" t="s">
        <v>41</v>
      </c>
      <c r="P483">
        <v>83</v>
      </c>
      <c r="Q483">
        <v>4.9000000000000004</v>
      </c>
      <c r="R483" t="b">
        <v>0</v>
      </c>
      <c r="S483" t="s">
        <v>28</v>
      </c>
      <c r="T483">
        <v>1058</v>
      </c>
      <c r="U483" t="s">
        <v>51</v>
      </c>
      <c r="V483" t="s">
        <v>68</v>
      </c>
      <c r="W483" t="s">
        <v>53</v>
      </c>
    </row>
    <row r="484" spans="1:23" x14ac:dyDescent="0.3">
      <c r="A484">
        <v>3532</v>
      </c>
      <c r="B484" t="s">
        <v>220</v>
      </c>
      <c r="C484" s="1">
        <v>44955</v>
      </c>
      <c r="D484" s="1">
        <v>45641</v>
      </c>
      <c r="E484">
        <v>7.99</v>
      </c>
      <c r="F484">
        <v>277</v>
      </c>
      <c r="G484" t="s">
        <v>24</v>
      </c>
      <c r="H484">
        <v>2</v>
      </c>
      <c r="I484">
        <v>4</v>
      </c>
      <c r="J484" t="b">
        <v>0</v>
      </c>
      <c r="K484">
        <v>659</v>
      </c>
      <c r="L484">
        <v>150</v>
      </c>
      <c r="M484" t="s">
        <v>25</v>
      </c>
      <c r="N484" t="s">
        <v>40</v>
      </c>
      <c r="O484" t="s">
        <v>56</v>
      </c>
      <c r="P484">
        <v>79</v>
      </c>
      <c r="Q484">
        <v>3.9</v>
      </c>
      <c r="R484" t="b">
        <v>1</v>
      </c>
      <c r="S484" t="s">
        <v>28</v>
      </c>
      <c r="T484">
        <v>2067</v>
      </c>
      <c r="U484" t="s">
        <v>51</v>
      </c>
      <c r="V484" t="s">
        <v>60</v>
      </c>
      <c r="W484" t="s">
        <v>37</v>
      </c>
    </row>
    <row r="485" spans="1:23" x14ac:dyDescent="0.3">
      <c r="A485">
        <v>5375</v>
      </c>
      <c r="B485" t="s">
        <v>299</v>
      </c>
      <c r="C485" s="1">
        <v>44926</v>
      </c>
      <c r="D485" s="1">
        <v>45626</v>
      </c>
      <c r="E485">
        <v>15.99</v>
      </c>
      <c r="F485">
        <v>423</v>
      </c>
      <c r="G485" t="s">
        <v>43</v>
      </c>
      <c r="H485">
        <v>5</v>
      </c>
      <c r="I485">
        <v>2</v>
      </c>
      <c r="J485" t="b">
        <v>1</v>
      </c>
      <c r="K485">
        <v>435</v>
      </c>
      <c r="L485">
        <v>108</v>
      </c>
      <c r="M485" t="s">
        <v>44</v>
      </c>
      <c r="N485" t="s">
        <v>40</v>
      </c>
      <c r="O485" t="s">
        <v>56</v>
      </c>
      <c r="P485">
        <v>44</v>
      </c>
      <c r="Q485">
        <v>4.5999999999999996</v>
      </c>
      <c r="R485" t="b">
        <v>0</v>
      </c>
      <c r="S485" t="s">
        <v>28</v>
      </c>
      <c r="T485">
        <v>3763</v>
      </c>
      <c r="U485" t="s">
        <v>57</v>
      </c>
      <c r="V485" t="s">
        <v>60</v>
      </c>
      <c r="W485" t="s">
        <v>53</v>
      </c>
    </row>
    <row r="486" spans="1:23" x14ac:dyDescent="0.3">
      <c r="A486">
        <v>8881</v>
      </c>
      <c r="B486" t="s">
        <v>178</v>
      </c>
      <c r="C486" s="1">
        <v>45551</v>
      </c>
      <c r="D486" s="1">
        <v>45620</v>
      </c>
      <c r="E486">
        <v>11.99</v>
      </c>
      <c r="F486">
        <v>197</v>
      </c>
      <c r="G486" t="s">
        <v>33</v>
      </c>
      <c r="H486">
        <v>1</v>
      </c>
      <c r="I486">
        <v>5</v>
      </c>
      <c r="J486" t="b">
        <v>0</v>
      </c>
      <c r="K486">
        <v>292</v>
      </c>
      <c r="L486">
        <v>169</v>
      </c>
      <c r="M486" t="s">
        <v>74</v>
      </c>
      <c r="N486" t="s">
        <v>64</v>
      </c>
      <c r="O486" t="s">
        <v>56</v>
      </c>
      <c r="P486">
        <v>3</v>
      </c>
      <c r="Q486">
        <v>4.5</v>
      </c>
      <c r="R486" t="b">
        <v>0</v>
      </c>
      <c r="S486" t="s">
        <v>28</v>
      </c>
      <c r="T486">
        <v>957</v>
      </c>
      <c r="U486" t="s">
        <v>35</v>
      </c>
      <c r="V486" t="s">
        <v>60</v>
      </c>
      <c r="W486" t="s">
        <v>53</v>
      </c>
    </row>
    <row r="487" spans="1:23" x14ac:dyDescent="0.3">
      <c r="A487">
        <v>1235</v>
      </c>
      <c r="B487" t="s">
        <v>80</v>
      </c>
      <c r="C487" s="1">
        <v>45230</v>
      </c>
      <c r="D487" s="1">
        <v>45623</v>
      </c>
      <c r="E487">
        <v>15.99</v>
      </c>
      <c r="F487">
        <v>100</v>
      </c>
      <c r="G487" t="s">
        <v>46</v>
      </c>
      <c r="H487">
        <v>2</v>
      </c>
      <c r="I487">
        <v>6</v>
      </c>
      <c r="J487" t="b">
        <v>1</v>
      </c>
      <c r="K487">
        <v>103</v>
      </c>
      <c r="L487">
        <v>36</v>
      </c>
      <c r="M487" t="s">
        <v>48</v>
      </c>
      <c r="N487" t="s">
        <v>40</v>
      </c>
      <c r="O487" t="s">
        <v>41</v>
      </c>
      <c r="P487">
        <v>68</v>
      </c>
      <c r="Q487">
        <v>3.7</v>
      </c>
      <c r="R487" t="b">
        <v>0</v>
      </c>
      <c r="S487" t="s">
        <v>28</v>
      </c>
      <c r="T487">
        <v>3003</v>
      </c>
      <c r="U487" t="s">
        <v>65</v>
      </c>
      <c r="V487" t="s">
        <v>68</v>
      </c>
      <c r="W487" t="s">
        <v>31</v>
      </c>
    </row>
    <row r="488" spans="1:23" x14ac:dyDescent="0.3">
      <c r="A488">
        <v>2533</v>
      </c>
      <c r="B488" t="s">
        <v>197</v>
      </c>
      <c r="C488" s="1">
        <v>45233</v>
      </c>
      <c r="D488" s="1">
        <v>45619</v>
      </c>
      <c r="E488">
        <v>15.99</v>
      </c>
      <c r="F488">
        <v>338</v>
      </c>
      <c r="G488" t="s">
        <v>24</v>
      </c>
      <c r="H488">
        <v>4</v>
      </c>
      <c r="I488">
        <v>2</v>
      </c>
      <c r="J488" t="b">
        <v>0</v>
      </c>
      <c r="K488">
        <v>525</v>
      </c>
      <c r="L488">
        <v>140</v>
      </c>
      <c r="M488" t="s">
        <v>59</v>
      </c>
      <c r="N488" t="s">
        <v>49</v>
      </c>
      <c r="O488" t="s">
        <v>67</v>
      </c>
      <c r="P488">
        <v>75</v>
      </c>
      <c r="Q488">
        <v>4.5999999999999996</v>
      </c>
      <c r="R488" t="b">
        <v>1</v>
      </c>
      <c r="S488" t="s">
        <v>28</v>
      </c>
      <c r="T488">
        <v>354</v>
      </c>
      <c r="U488" t="s">
        <v>51</v>
      </c>
      <c r="V488" t="s">
        <v>52</v>
      </c>
      <c r="W488" t="s">
        <v>75</v>
      </c>
    </row>
    <row r="489" spans="1:23" x14ac:dyDescent="0.3">
      <c r="A489">
        <v>2734</v>
      </c>
      <c r="B489" t="s">
        <v>186</v>
      </c>
      <c r="C489" s="1">
        <v>45449</v>
      </c>
      <c r="D489" s="1">
        <v>45627</v>
      </c>
      <c r="E489">
        <v>11.99</v>
      </c>
      <c r="F489">
        <v>130</v>
      </c>
      <c r="G489" t="s">
        <v>46</v>
      </c>
      <c r="H489">
        <v>1</v>
      </c>
      <c r="I489">
        <v>1</v>
      </c>
      <c r="J489" t="b">
        <v>1</v>
      </c>
      <c r="K489">
        <v>428</v>
      </c>
      <c r="L489">
        <v>119</v>
      </c>
      <c r="M489" t="s">
        <v>74</v>
      </c>
      <c r="N489" t="s">
        <v>49</v>
      </c>
      <c r="O489" t="s">
        <v>67</v>
      </c>
      <c r="P489">
        <v>53</v>
      </c>
      <c r="Q489">
        <v>4.5</v>
      </c>
      <c r="R489" t="b">
        <v>1</v>
      </c>
      <c r="S489" t="s">
        <v>28</v>
      </c>
      <c r="T489">
        <v>4922</v>
      </c>
      <c r="U489" t="s">
        <v>65</v>
      </c>
      <c r="V489" t="s">
        <v>30</v>
      </c>
      <c r="W489" t="s">
        <v>75</v>
      </c>
    </row>
    <row r="490" spans="1:23" x14ac:dyDescent="0.3">
      <c r="A490">
        <v>4129</v>
      </c>
      <c r="B490" t="s">
        <v>154</v>
      </c>
      <c r="C490" s="1">
        <v>45291</v>
      </c>
      <c r="D490" s="1">
        <v>45621</v>
      </c>
      <c r="E490">
        <v>11.99</v>
      </c>
      <c r="F490">
        <v>383</v>
      </c>
      <c r="G490" t="s">
        <v>55</v>
      </c>
      <c r="H490">
        <v>5</v>
      </c>
      <c r="I490">
        <v>4</v>
      </c>
      <c r="J490" t="b">
        <v>1</v>
      </c>
      <c r="K490">
        <v>711</v>
      </c>
      <c r="L490">
        <v>147</v>
      </c>
      <c r="M490" t="s">
        <v>74</v>
      </c>
      <c r="N490" t="s">
        <v>26</v>
      </c>
      <c r="O490" t="s">
        <v>41</v>
      </c>
      <c r="P490">
        <v>68</v>
      </c>
      <c r="Q490">
        <v>3.9</v>
      </c>
      <c r="R490" t="b">
        <v>1</v>
      </c>
      <c r="S490" t="s">
        <v>28</v>
      </c>
      <c r="T490">
        <v>2083</v>
      </c>
      <c r="U490" t="s">
        <v>57</v>
      </c>
      <c r="V490" t="s">
        <v>52</v>
      </c>
      <c r="W490" t="s">
        <v>37</v>
      </c>
    </row>
    <row r="491" spans="1:23" x14ac:dyDescent="0.3">
      <c r="A491">
        <v>3762</v>
      </c>
      <c r="B491" t="s">
        <v>200</v>
      </c>
      <c r="C491" s="1">
        <v>45288</v>
      </c>
      <c r="D491" s="1">
        <v>45626</v>
      </c>
      <c r="E491">
        <v>11.99</v>
      </c>
      <c r="F491">
        <v>411</v>
      </c>
      <c r="G491" t="s">
        <v>24</v>
      </c>
      <c r="H491">
        <v>5</v>
      </c>
      <c r="I491">
        <v>6</v>
      </c>
      <c r="J491" t="b">
        <v>1</v>
      </c>
      <c r="K491">
        <v>887</v>
      </c>
      <c r="L491">
        <v>37</v>
      </c>
      <c r="M491" t="s">
        <v>59</v>
      </c>
      <c r="N491" t="s">
        <v>26</v>
      </c>
      <c r="O491" t="s">
        <v>67</v>
      </c>
      <c r="P491">
        <v>66</v>
      </c>
      <c r="Q491">
        <v>3.9</v>
      </c>
      <c r="R491" t="b">
        <v>1</v>
      </c>
      <c r="S491" t="s">
        <v>28</v>
      </c>
      <c r="T491">
        <v>2098</v>
      </c>
      <c r="U491" t="s">
        <v>35</v>
      </c>
      <c r="V491" t="s">
        <v>60</v>
      </c>
      <c r="W491" t="s">
        <v>31</v>
      </c>
    </row>
    <row r="492" spans="1:23" x14ac:dyDescent="0.3">
      <c r="A492">
        <v>4341</v>
      </c>
      <c r="B492" t="s">
        <v>300</v>
      </c>
      <c r="C492" s="1">
        <v>45078</v>
      </c>
      <c r="D492" s="1">
        <v>45633</v>
      </c>
      <c r="E492">
        <v>11.99</v>
      </c>
      <c r="F492">
        <v>347</v>
      </c>
      <c r="G492" t="s">
        <v>55</v>
      </c>
      <c r="H492">
        <v>4</v>
      </c>
      <c r="I492">
        <v>2</v>
      </c>
      <c r="J492" t="b">
        <v>1</v>
      </c>
      <c r="K492">
        <v>546</v>
      </c>
      <c r="L492">
        <v>12</v>
      </c>
      <c r="M492" t="s">
        <v>59</v>
      </c>
      <c r="N492" t="s">
        <v>26</v>
      </c>
      <c r="O492" t="s">
        <v>50</v>
      </c>
      <c r="P492">
        <v>31</v>
      </c>
      <c r="Q492">
        <v>3.1</v>
      </c>
      <c r="R492" t="b">
        <v>0</v>
      </c>
      <c r="S492" t="s">
        <v>28</v>
      </c>
      <c r="T492">
        <v>2022</v>
      </c>
      <c r="U492" t="s">
        <v>29</v>
      </c>
      <c r="V492" t="s">
        <v>30</v>
      </c>
      <c r="W492" t="s">
        <v>37</v>
      </c>
    </row>
    <row r="493" spans="1:23" x14ac:dyDescent="0.3">
      <c r="A493">
        <v>6638</v>
      </c>
      <c r="B493" t="s">
        <v>301</v>
      </c>
      <c r="C493" s="1">
        <v>45201</v>
      </c>
      <c r="D493" s="1">
        <v>45637</v>
      </c>
      <c r="E493">
        <v>11.99</v>
      </c>
      <c r="F493">
        <v>302</v>
      </c>
      <c r="G493" t="s">
        <v>62</v>
      </c>
      <c r="H493">
        <v>4</v>
      </c>
      <c r="I493">
        <v>2</v>
      </c>
      <c r="J493" t="b">
        <v>1</v>
      </c>
      <c r="K493">
        <v>417</v>
      </c>
      <c r="L493">
        <v>143</v>
      </c>
      <c r="M493" t="s">
        <v>39</v>
      </c>
      <c r="N493" t="s">
        <v>40</v>
      </c>
      <c r="O493" t="s">
        <v>41</v>
      </c>
      <c r="P493">
        <v>14</v>
      </c>
      <c r="Q493">
        <v>4.7</v>
      </c>
      <c r="R493" t="b">
        <v>0</v>
      </c>
      <c r="S493" t="s">
        <v>28</v>
      </c>
      <c r="T493">
        <v>3791</v>
      </c>
      <c r="U493" t="s">
        <v>29</v>
      </c>
      <c r="V493" t="s">
        <v>68</v>
      </c>
      <c r="W493" t="s">
        <v>75</v>
      </c>
    </row>
    <row r="494" spans="1:23" x14ac:dyDescent="0.3">
      <c r="A494">
        <v>5861</v>
      </c>
      <c r="B494" t="s">
        <v>203</v>
      </c>
      <c r="C494" s="1">
        <v>45054</v>
      </c>
      <c r="D494" s="1">
        <v>45629</v>
      </c>
      <c r="E494">
        <v>15.99</v>
      </c>
      <c r="F494">
        <v>361</v>
      </c>
      <c r="G494" t="s">
        <v>79</v>
      </c>
      <c r="H494">
        <v>3</v>
      </c>
      <c r="I494">
        <v>6</v>
      </c>
      <c r="J494" t="b">
        <v>0</v>
      </c>
      <c r="K494">
        <v>407</v>
      </c>
      <c r="L494">
        <v>126</v>
      </c>
      <c r="M494" t="s">
        <v>63</v>
      </c>
      <c r="N494" t="s">
        <v>40</v>
      </c>
      <c r="O494" t="s">
        <v>50</v>
      </c>
      <c r="P494">
        <v>80</v>
      </c>
      <c r="Q494">
        <v>4.3</v>
      </c>
      <c r="R494" t="b">
        <v>0</v>
      </c>
      <c r="S494" t="s">
        <v>28</v>
      </c>
      <c r="T494">
        <v>728</v>
      </c>
      <c r="U494" t="s">
        <v>57</v>
      </c>
      <c r="V494" t="s">
        <v>30</v>
      </c>
      <c r="W494" t="s">
        <v>31</v>
      </c>
    </row>
    <row r="495" spans="1:23" x14ac:dyDescent="0.3">
      <c r="A495">
        <v>8815</v>
      </c>
      <c r="B495" t="s">
        <v>214</v>
      </c>
      <c r="C495" s="1">
        <v>45243</v>
      </c>
      <c r="D495" s="1">
        <v>45627</v>
      </c>
      <c r="E495">
        <v>7.99</v>
      </c>
      <c r="F495">
        <v>148</v>
      </c>
      <c r="G495" t="s">
        <v>46</v>
      </c>
      <c r="H495">
        <v>1</v>
      </c>
      <c r="I495">
        <v>1</v>
      </c>
      <c r="J495" t="b">
        <v>1</v>
      </c>
      <c r="K495">
        <v>579</v>
      </c>
      <c r="L495">
        <v>121</v>
      </c>
      <c r="M495" t="s">
        <v>74</v>
      </c>
      <c r="N495" t="s">
        <v>64</v>
      </c>
      <c r="O495" t="s">
        <v>50</v>
      </c>
      <c r="P495">
        <v>8</v>
      </c>
      <c r="Q495">
        <v>3.6</v>
      </c>
      <c r="R495" t="b">
        <v>0</v>
      </c>
      <c r="S495" t="s">
        <v>28</v>
      </c>
      <c r="T495">
        <v>3448</v>
      </c>
      <c r="U495" t="s">
        <v>51</v>
      </c>
      <c r="V495" t="s">
        <v>60</v>
      </c>
      <c r="W495" t="s">
        <v>37</v>
      </c>
    </row>
    <row r="496" spans="1:23" x14ac:dyDescent="0.3">
      <c r="A496">
        <v>8793</v>
      </c>
      <c r="B496" t="s">
        <v>105</v>
      </c>
      <c r="C496" s="1">
        <v>45430</v>
      </c>
      <c r="D496" s="1">
        <v>45617</v>
      </c>
      <c r="E496">
        <v>7.99</v>
      </c>
      <c r="F496">
        <v>162</v>
      </c>
      <c r="G496" t="s">
        <v>43</v>
      </c>
      <c r="H496">
        <v>2</v>
      </c>
      <c r="I496">
        <v>5</v>
      </c>
      <c r="J496" t="b">
        <v>1</v>
      </c>
      <c r="K496">
        <v>672</v>
      </c>
      <c r="L496">
        <v>57</v>
      </c>
      <c r="M496" t="s">
        <v>59</v>
      </c>
      <c r="N496" t="s">
        <v>40</v>
      </c>
      <c r="O496" t="s">
        <v>41</v>
      </c>
      <c r="P496">
        <v>16</v>
      </c>
      <c r="Q496">
        <v>4.3</v>
      </c>
      <c r="R496" t="b">
        <v>0</v>
      </c>
      <c r="S496" t="s">
        <v>28</v>
      </c>
      <c r="T496">
        <v>3930</v>
      </c>
      <c r="U496" t="s">
        <v>57</v>
      </c>
      <c r="V496" t="s">
        <v>52</v>
      </c>
      <c r="W496" t="s">
        <v>75</v>
      </c>
    </row>
    <row r="497" spans="1:23" x14ac:dyDescent="0.3">
      <c r="A497">
        <v>3469</v>
      </c>
      <c r="B497" t="s">
        <v>89</v>
      </c>
      <c r="C497" s="1">
        <v>45144</v>
      </c>
      <c r="D497" s="1">
        <v>45644</v>
      </c>
      <c r="E497">
        <v>7.99</v>
      </c>
      <c r="F497">
        <v>379</v>
      </c>
      <c r="G497" t="s">
        <v>33</v>
      </c>
      <c r="H497">
        <v>3</v>
      </c>
      <c r="I497">
        <v>5</v>
      </c>
      <c r="J497" t="b">
        <v>1</v>
      </c>
      <c r="K497">
        <v>377</v>
      </c>
      <c r="L497">
        <v>153</v>
      </c>
      <c r="M497" t="s">
        <v>59</v>
      </c>
      <c r="N497" t="s">
        <v>64</v>
      </c>
      <c r="O497" t="s">
        <v>41</v>
      </c>
      <c r="P497">
        <v>67</v>
      </c>
      <c r="Q497">
        <v>3.6</v>
      </c>
      <c r="R497" t="b">
        <v>1</v>
      </c>
      <c r="S497" t="s">
        <v>28</v>
      </c>
      <c r="T497">
        <v>3702</v>
      </c>
      <c r="U497" t="s">
        <v>29</v>
      </c>
      <c r="V497" t="s">
        <v>52</v>
      </c>
      <c r="W497" t="s">
        <v>75</v>
      </c>
    </row>
    <row r="498" spans="1:23" x14ac:dyDescent="0.3">
      <c r="A498">
        <v>3654</v>
      </c>
      <c r="B498" t="s">
        <v>108</v>
      </c>
      <c r="C498" s="1">
        <v>45346</v>
      </c>
      <c r="D498" s="1">
        <v>45640</v>
      </c>
      <c r="E498">
        <v>15.99</v>
      </c>
      <c r="F498">
        <v>373</v>
      </c>
      <c r="G498" t="s">
        <v>62</v>
      </c>
      <c r="H498">
        <v>2</v>
      </c>
      <c r="I498">
        <v>6</v>
      </c>
      <c r="J498" t="b">
        <v>1</v>
      </c>
      <c r="K498">
        <v>818</v>
      </c>
      <c r="L498">
        <v>34</v>
      </c>
      <c r="M498" t="s">
        <v>39</v>
      </c>
      <c r="N498" t="s">
        <v>26</v>
      </c>
      <c r="O498" t="s">
        <v>56</v>
      </c>
      <c r="P498">
        <v>57</v>
      </c>
      <c r="Q498">
        <v>3.8</v>
      </c>
      <c r="R498" t="b">
        <v>1</v>
      </c>
      <c r="S498" t="s">
        <v>28</v>
      </c>
      <c r="T498">
        <v>2400</v>
      </c>
      <c r="U498" t="s">
        <v>35</v>
      </c>
      <c r="V498" t="s">
        <v>60</v>
      </c>
      <c r="W498" t="s">
        <v>37</v>
      </c>
    </row>
    <row r="499" spans="1:23" x14ac:dyDescent="0.3">
      <c r="A499">
        <v>9555</v>
      </c>
      <c r="B499" t="s">
        <v>214</v>
      </c>
      <c r="C499" s="1">
        <v>45506</v>
      </c>
      <c r="D499" s="1">
        <v>45618</v>
      </c>
      <c r="E499">
        <v>11.99</v>
      </c>
      <c r="F499">
        <v>354</v>
      </c>
      <c r="G499" t="s">
        <v>46</v>
      </c>
      <c r="H499">
        <v>1</v>
      </c>
      <c r="I499">
        <v>1</v>
      </c>
      <c r="J499" t="b">
        <v>1</v>
      </c>
      <c r="K499">
        <v>225</v>
      </c>
      <c r="L499">
        <v>1</v>
      </c>
      <c r="M499" t="s">
        <v>44</v>
      </c>
      <c r="N499" t="s">
        <v>64</v>
      </c>
      <c r="O499" t="s">
        <v>27</v>
      </c>
      <c r="P499">
        <v>83</v>
      </c>
      <c r="Q499">
        <v>4.3</v>
      </c>
      <c r="R499" t="b">
        <v>1</v>
      </c>
      <c r="S499" t="s">
        <v>28</v>
      </c>
      <c r="T499">
        <v>548</v>
      </c>
      <c r="U499" t="s">
        <v>65</v>
      </c>
      <c r="V499" t="s">
        <v>68</v>
      </c>
      <c r="W499" t="s">
        <v>37</v>
      </c>
    </row>
    <row r="500" spans="1:23" x14ac:dyDescent="0.3">
      <c r="A500">
        <v>4028</v>
      </c>
      <c r="B500" t="s">
        <v>148</v>
      </c>
      <c r="C500" s="1">
        <v>45416</v>
      </c>
      <c r="D500" s="1">
        <v>45635</v>
      </c>
      <c r="E500">
        <v>7.99</v>
      </c>
      <c r="F500">
        <v>76</v>
      </c>
      <c r="G500" t="s">
        <v>55</v>
      </c>
      <c r="H500">
        <v>2</v>
      </c>
      <c r="I500">
        <v>4</v>
      </c>
      <c r="J500" t="b">
        <v>1</v>
      </c>
      <c r="K500">
        <v>324</v>
      </c>
      <c r="L500">
        <v>113</v>
      </c>
      <c r="M500" t="s">
        <v>59</v>
      </c>
      <c r="N500" t="s">
        <v>49</v>
      </c>
      <c r="O500" t="s">
        <v>67</v>
      </c>
      <c r="P500">
        <v>87</v>
      </c>
      <c r="Q500">
        <v>4.9000000000000004</v>
      </c>
      <c r="R500" t="b">
        <v>0</v>
      </c>
      <c r="S500" t="s">
        <v>28</v>
      </c>
      <c r="T500">
        <v>4702</v>
      </c>
      <c r="U500" t="s">
        <v>57</v>
      </c>
      <c r="V500" t="s">
        <v>36</v>
      </c>
      <c r="W500" t="s">
        <v>53</v>
      </c>
    </row>
    <row r="501" spans="1:23" x14ac:dyDescent="0.3">
      <c r="A501">
        <v>9499</v>
      </c>
      <c r="B501" t="s">
        <v>127</v>
      </c>
      <c r="C501" s="1">
        <v>45033</v>
      </c>
      <c r="D501" s="1">
        <v>45640</v>
      </c>
      <c r="E501">
        <v>11.99</v>
      </c>
      <c r="F501">
        <v>316</v>
      </c>
      <c r="G501" t="s">
        <v>24</v>
      </c>
      <c r="H501">
        <v>1</v>
      </c>
      <c r="I501">
        <v>3</v>
      </c>
      <c r="J501" t="b">
        <v>0</v>
      </c>
      <c r="K501">
        <v>793</v>
      </c>
      <c r="L501">
        <v>141</v>
      </c>
      <c r="M501" t="s">
        <v>25</v>
      </c>
      <c r="N501" t="s">
        <v>26</v>
      </c>
      <c r="O501" t="s">
        <v>34</v>
      </c>
      <c r="P501">
        <v>28</v>
      </c>
      <c r="Q501">
        <v>3.4</v>
      </c>
      <c r="R501" t="b">
        <v>0</v>
      </c>
      <c r="S501" t="s">
        <v>28</v>
      </c>
      <c r="T501">
        <v>2821</v>
      </c>
      <c r="U501" t="s">
        <v>35</v>
      </c>
      <c r="V501" t="s">
        <v>60</v>
      </c>
      <c r="W501" t="s">
        <v>53</v>
      </c>
    </row>
    <row r="502" spans="1:23" x14ac:dyDescent="0.3">
      <c r="A502">
        <v>8628</v>
      </c>
      <c r="B502" t="s">
        <v>112</v>
      </c>
      <c r="C502" s="1">
        <v>44921</v>
      </c>
      <c r="D502" s="1">
        <v>45625</v>
      </c>
      <c r="E502">
        <v>11.99</v>
      </c>
      <c r="F502">
        <v>331</v>
      </c>
      <c r="G502" t="s">
        <v>55</v>
      </c>
      <c r="H502">
        <v>4</v>
      </c>
      <c r="I502">
        <v>2</v>
      </c>
      <c r="J502" t="b">
        <v>1</v>
      </c>
      <c r="K502">
        <v>133</v>
      </c>
      <c r="L502">
        <v>143</v>
      </c>
      <c r="M502" t="s">
        <v>44</v>
      </c>
      <c r="N502" t="s">
        <v>26</v>
      </c>
      <c r="O502" t="s">
        <v>50</v>
      </c>
      <c r="P502">
        <v>35</v>
      </c>
      <c r="Q502">
        <v>4.5999999999999996</v>
      </c>
      <c r="R502" t="b">
        <v>1</v>
      </c>
      <c r="S502" t="s">
        <v>28</v>
      </c>
      <c r="T502">
        <v>484</v>
      </c>
      <c r="U502" t="s">
        <v>57</v>
      </c>
      <c r="V502" t="s">
        <v>68</v>
      </c>
      <c r="W502" t="s">
        <v>31</v>
      </c>
    </row>
    <row r="503" spans="1:23" x14ac:dyDescent="0.3">
      <c r="A503">
        <v>9942</v>
      </c>
      <c r="B503" t="s">
        <v>109</v>
      </c>
      <c r="C503" s="1">
        <v>45142</v>
      </c>
      <c r="D503" s="1">
        <v>45616</v>
      </c>
      <c r="E503">
        <v>15.99</v>
      </c>
      <c r="F503">
        <v>418</v>
      </c>
      <c r="G503" t="s">
        <v>46</v>
      </c>
      <c r="H503">
        <v>1</v>
      </c>
      <c r="I503">
        <v>5</v>
      </c>
      <c r="J503" t="b">
        <v>1</v>
      </c>
      <c r="K503">
        <v>260</v>
      </c>
      <c r="L503">
        <v>161</v>
      </c>
      <c r="M503" t="s">
        <v>39</v>
      </c>
      <c r="N503" t="s">
        <v>64</v>
      </c>
      <c r="O503" t="s">
        <v>56</v>
      </c>
      <c r="P503">
        <v>49</v>
      </c>
      <c r="Q503">
        <v>3.6</v>
      </c>
      <c r="R503" t="b">
        <v>1</v>
      </c>
      <c r="S503" t="s">
        <v>28</v>
      </c>
      <c r="T503">
        <v>2871</v>
      </c>
      <c r="U503" t="s">
        <v>51</v>
      </c>
      <c r="V503" t="s">
        <v>36</v>
      </c>
      <c r="W503" t="s">
        <v>31</v>
      </c>
    </row>
    <row r="504" spans="1:23" x14ac:dyDescent="0.3">
      <c r="A504">
        <v>4044</v>
      </c>
      <c r="B504" t="s">
        <v>302</v>
      </c>
      <c r="C504" s="1">
        <v>45081</v>
      </c>
      <c r="D504" s="1">
        <v>45619</v>
      </c>
      <c r="E504">
        <v>15.99</v>
      </c>
      <c r="F504">
        <v>309</v>
      </c>
      <c r="G504" t="s">
        <v>79</v>
      </c>
      <c r="H504">
        <v>5</v>
      </c>
      <c r="I504">
        <v>5</v>
      </c>
      <c r="J504" t="b">
        <v>0</v>
      </c>
      <c r="K504">
        <v>851</v>
      </c>
      <c r="L504">
        <v>166</v>
      </c>
      <c r="M504" t="s">
        <v>74</v>
      </c>
      <c r="N504" t="s">
        <v>64</v>
      </c>
      <c r="O504" t="s">
        <v>50</v>
      </c>
      <c r="P504">
        <v>66</v>
      </c>
      <c r="Q504">
        <v>4</v>
      </c>
      <c r="R504" t="b">
        <v>1</v>
      </c>
      <c r="S504" t="s">
        <v>28</v>
      </c>
      <c r="T504">
        <v>4783</v>
      </c>
      <c r="U504" t="s">
        <v>57</v>
      </c>
      <c r="V504" t="s">
        <v>60</v>
      </c>
      <c r="W504" t="s">
        <v>75</v>
      </c>
    </row>
    <row r="505" spans="1:23" x14ac:dyDescent="0.3">
      <c r="A505">
        <v>8143</v>
      </c>
      <c r="B505" t="s">
        <v>82</v>
      </c>
      <c r="C505" s="1">
        <v>45441</v>
      </c>
      <c r="D505" s="1">
        <v>45637</v>
      </c>
      <c r="E505">
        <v>7.99</v>
      </c>
      <c r="F505">
        <v>252</v>
      </c>
      <c r="G505" t="s">
        <v>33</v>
      </c>
      <c r="H505">
        <v>3</v>
      </c>
      <c r="I505">
        <v>5</v>
      </c>
      <c r="J505" t="b">
        <v>1</v>
      </c>
      <c r="K505">
        <v>105</v>
      </c>
      <c r="L505">
        <v>118</v>
      </c>
      <c r="M505" t="s">
        <v>63</v>
      </c>
      <c r="N505" t="s">
        <v>40</v>
      </c>
      <c r="O505" t="s">
        <v>34</v>
      </c>
      <c r="P505">
        <v>52</v>
      </c>
      <c r="Q505">
        <v>4.4000000000000004</v>
      </c>
      <c r="R505" t="b">
        <v>1</v>
      </c>
      <c r="S505" t="s">
        <v>28</v>
      </c>
      <c r="T505">
        <v>2725</v>
      </c>
      <c r="U505" t="s">
        <v>57</v>
      </c>
      <c r="V505" t="s">
        <v>36</v>
      </c>
      <c r="W505" t="s">
        <v>53</v>
      </c>
    </row>
    <row r="506" spans="1:23" x14ac:dyDescent="0.3">
      <c r="A506">
        <v>3984</v>
      </c>
      <c r="B506" t="s">
        <v>167</v>
      </c>
      <c r="C506" s="1">
        <v>45006</v>
      </c>
      <c r="D506" s="1">
        <v>45627</v>
      </c>
      <c r="E506">
        <v>15.99</v>
      </c>
      <c r="F506">
        <v>146</v>
      </c>
      <c r="G506" t="s">
        <v>62</v>
      </c>
      <c r="H506">
        <v>4</v>
      </c>
      <c r="I506">
        <v>6</v>
      </c>
      <c r="J506" t="b">
        <v>0</v>
      </c>
      <c r="K506">
        <v>646</v>
      </c>
      <c r="L506">
        <v>139</v>
      </c>
      <c r="M506" t="s">
        <v>63</v>
      </c>
      <c r="N506" t="s">
        <v>26</v>
      </c>
      <c r="O506" t="s">
        <v>34</v>
      </c>
      <c r="P506">
        <v>27</v>
      </c>
      <c r="Q506">
        <v>3.7</v>
      </c>
      <c r="R506" t="b">
        <v>1</v>
      </c>
      <c r="S506" t="s">
        <v>28</v>
      </c>
      <c r="T506">
        <v>4400</v>
      </c>
      <c r="U506" t="s">
        <v>65</v>
      </c>
      <c r="V506" t="s">
        <v>52</v>
      </c>
      <c r="W506" t="s">
        <v>31</v>
      </c>
    </row>
    <row r="507" spans="1:23" x14ac:dyDescent="0.3">
      <c r="A507">
        <v>9294</v>
      </c>
      <c r="B507" t="s">
        <v>303</v>
      </c>
      <c r="C507" s="1">
        <v>44977</v>
      </c>
      <c r="D507" s="1">
        <v>45617</v>
      </c>
      <c r="E507">
        <v>11.99</v>
      </c>
      <c r="F507">
        <v>352</v>
      </c>
      <c r="G507" t="s">
        <v>55</v>
      </c>
      <c r="H507">
        <v>4</v>
      </c>
      <c r="I507">
        <v>4</v>
      </c>
      <c r="J507" t="b">
        <v>1</v>
      </c>
      <c r="K507">
        <v>358</v>
      </c>
      <c r="L507">
        <v>6</v>
      </c>
      <c r="M507" t="s">
        <v>39</v>
      </c>
      <c r="N507" t="s">
        <v>40</v>
      </c>
      <c r="O507" t="s">
        <v>41</v>
      </c>
      <c r="P507">
        <v>32</v>
      </c>
      <c r="Q507">
        <v>3.8</v>
      </c>
      <c r="R507" t="b">
        <v>0</v>
      </c>
      <c r="S507" t="s">
        <v>28</v>
      </c>
      <c r="T507">
        <v>2218</v>
      </c>
      <c r="U507" t="s">
        <v>29</v>
      </c>
      <c r="V507" t="s">
        <v>36</v>
      </c>
      <c r="W507" t="s">
        <v>37</v>
      </c>
    </row>
    <row r="508" spans="1:23" x14ac:dyDescent="0.3">
      <c r="A508">
        <v>4769</v>
      </c>
      <c r="B508" t="s">
        <v>109</v>
      </c>
      <c r="C508" s="1">
        <v>45357</v>
      </c>
      <c r="D508" s="1">
        <v>45643</v>
      </c>
      <c r="E508">
        <v>7.99</v>
      </c>
      <c r="F508">
        <v>43</v>
      </c>
      <c r="G508" t="s">
        <v>79</v>
      </c>
      <c r="H508">
        <v>5</v>
      </c>
      <c r="I508">
        <v>3</v>
      </c>
      <c r="J508" t="b">
        <v>1</v>
      </c>
      <c r="K508">
        <v>336</v>
      </c>
      <c r="L508">
        <v>135</v>
      </c>
      <c r="M508" t="s">
        <v>25</v>
      </c>
      <c r="N508" t="s">
        <v>26</v>
      </c>
      <c r="O508" t="s">
        <v>56</v>
      </c>
      <c r="P508">
        <v>70</v>
      </c>
      <c r="Q508">
        <v>4</v>
      </c>
      <c r="R508" t="b">
        <v>1</v>
      </c>
      <c r="S508" t="s">
        <v>28</v>
      </c>
      <c r="T508">
        <v>4552</v>
      </c>
      <c r="U508" t="s">
        <v>29</v>
      </c>
      <c r="V508" t="s">
        <v>52</v>
      </c>
      <c r="W508" t="s">
        <v>31</v>
      </c>
    </row>
    <row r="509" spans="1:23" x14ac:dyDescent="0.3">
      <c r="A509">
        <v>8864</v>
      </c>
      <c r="B509" t="s">
        <v>109</v>
      </c>
      <c r="C509" s="1">
        <v>45371</v>
      </c>
      <c r="D509" s="1">
        <v>45625</v>
      </c>
      <c r="E509">
        <v>11.99</v>
      </c>
      <c r="F509">
        <v>440</v>
      </c>
      <c r="G509" t="s">
        <v>33</v>
      </c>
      <c r="H509">
        <v>4</v>
      </c>
      <c r="I509">
        <v>3</v>
      </c>
      <c r="J509" t="b">
        <v>1</v>
      </c>
      <c r="K509">
        <v>80</v>
      </c>
      <c r="L509">
        <v>143</v>
      </c>
      <c r="M509" t="s">
        <v>44</v>
      </c>
      <c r="N509" t="s">
        <v>64</v>
      </c>
      <c r="O509" t="s">
        <v>34</v>
      </c>
      <c r="P509">
        <v>2</v>
      </c>
      <c r="Q509">
        <v>3.4</v>
      </c>
      <c r="R509" t="b">
        <v>0</v>
      </c>
      <c r="S509" t="s">
        <v>28</v>
      </c>
      <c r="T509">
        <v>4125</v>
      </c>
      <c r="U509" t="s">
        <v>65</v>
      </c>
      <c r="V509" t="s">
        <v>30</v>
      </c>
      <c r="W509" t="s">
        <v>31</v>
      </c>
    </row>
    <row r="510" spans="1:23" x14ac:dyDescent="0.3">
      <c r="A510">
        <v>1857</v>
      </c>
      <c r="B510" t="s">
        <v>304</v>
      </c>
      <c r="C510" s="1">
        <v>45447</v>
      </c>
      <c r="D510" s="1">
        <v>45619</v>
      </c>
      <c r="E510">
        <v>15.99</v>
      </c>
      <c r="F510">
        <v>376</v>
      </c>
      <c r="G510" t="s">
        <v>79</v>
      </c>
      <c r="H510">
        <v>2</v>
      </c>
      <c r="I510">
        <v>2</v>
      </c>
      <c r="J510" t="b">
        <v>0</v>
      </c>
      <c r="K510">
        <v>326</v>
      </c>
      <c r="L510">
        <v>89</v>
      </c>
      <c r="M510" t="s">
        <v>48</v>
      </c>
      <c r="N510" t="s">
        <v>64</v>
      </c>
      <c r="O510" t="s">
        <v>50</v>
      </c>
      <c r="P510">
        <v>84</v>
      </c>
      <c r="Q510">
        <v>4.5999999999999996</v>
      </c>
      <c r="R510" t="b">
        <v>1</v>
      </c>
      <c r="S510" t="s">
        <v>28</v>
      </c>
      <c r="T510">
        <v>424</v>
      </c>
      <c r="U510" t="s">
        <v>57</v>
      </c>
      <c r="V510" t="s">
        <v>68</v>
      </c>
      <c r="W510" t="s">
        <v>31</v>
      </c>
    </row>
    <row r="511" spans="1:23" x14ac:dyDescent="0.3">
      <c r="A511">
        <v>5566</v>
      </c>
      <c r="B511" t="s">
        <v>214</v>
      </c>
      <c r="C511" s="1">
        <v>45278</v>
      </c>
      <c r="D511" s="1">
        <v>45633</v>
      </c>
      <c r="E511">
        <v>11.99</v>
      </c>
      <c r="F511">
        <v>137</v>
      </c>
      <c r="G511" t="s">
        <v>24</v>
      </c>
      <c r="H511">
        <v>3</v>
      </c>
      <c r="I511">
        <v>6</v>
      </c>
      <c r="J511" t="b">
        <v>1</v>
      </c>
      <c r="K511">
        <v>699</v>
      </c>
      <c r="L511">
        <v>70</v>
      </c>
      <c r="M511" t="s">
        <v>63</v>
      </c>
      <c r="N511" t="s">
        <v>26</v>
      </c>
      <c r="O511" t="s">
        <v>50</v>
      </c>
      <c r="P511">
        <v>25</v>
      </c>
      <c r="Q511">
        <v>3.9</v>
      </c>
      <c r="R511" t="b">
        <v>1</v>
      </c>
      <c r="S511" t="s">
        <v>28</v>
      </c>
      <c r="T511">
        <v>2418</v>
      </c>
      <c r="U511" t="s">
        <v>57</v>
      </c>
      <c r="V511" t="s">
        <v>30</v>
      </c>
      <c r="W511" t="s">
        <v>37</v>
      </c>
    </row>
    <row r="512" spans="1:23" x14ac:dyDescent="0.3">
      <c r="A512">
        <v>1373</v>
      </c>
      <c r="B512" t="s">
        <v>104</v>
      </c>
      <c r="C512" s="1">
        <v>44998</v>
      </c>
      <c r="D512" s="1">
        <v>45638</v>
      </c>
      <c r="E512">
        <v>7.99</v>
      </c>
      <c r="F512">
        <v>301</v>
      </c>
      <c r="G512" t="s">
        <v>24</v>
      </c>
      <c r="H512">
        <v>2</v>
      </c>
      <c r="I512">
        <v>5</v>
      </c>
      <c r="J512" t="b">
        <v>0</v>
      </c>
      <c r="K512">
        <v>89</v>
      </c>
      <c r="L512">
        <v>55</v>
      </c>
      <c r="M512" t="s">
        <v>25</v>
      </c>
      <c r="N512" t="s">
        <v>49</v>
      </c>
      <c r="O512" t="s">
        <v>67</v>
      </c>
      <c r="P512">
        <v>54</v>
      </c>
      <c r="Q512">
        <v>4.2</v>
      </c>
      <c r="R512" t="b">
        <v>1</v>
      </c>
      <c r="S512" t="s">
        <v>28</v>
      </c>
      <c r="T512">
        <v>756</v>
      </c>
      <c r="U512" t="s">
        <v>57</v>
      </c>
      <c r="V512" t="s">
        <v>68</v>
      </c>
      <c r="W512" t="s">
        <v>31</v>
      </c>
    </row>
    <row r="513" spans="1:23" x14ac:dyDescent="0.3">
      <c r="A513">
        <v>6345</v>
      </c>
      <c r="B513" t="s">
        <v>305</v>
      </c>
      <c r="C513" s="1">
        <v>44927</v>
      </c>
      <c r="D513" s="1">
        <v>45635</v>
      </c>
      <c r="E513">
        <v>7.99</v>
      </c>
      <c r="F513">
        <v>410</v>
      </c>
      <c r="G513" t="s">
        <v>46</v>
      </c>
      <c r="H513">
        <v>1</v>
      </c>
      <c r="I513">
        <v>1</v>
      </c>
      <c r="J513" t="b">
        <v>1</v>
      </c>
      <c r="K513">
        <v>909</v>
      </c>
      <c r="L513">
        <v>99</v>
      </c>
      <c r="M513" t="s">
        <v>39</v>
      </c>
      <c r="N513" t="s">
        <v>26</v>
      </c>
      <c r="O513" t="s">
        <v>41</v>
      </c>
      <c r="P513">
        <v>22</v>
      </c>
      <c r="Q513">
        <v>3.2</v>
      </c>
      <c r="R513" t="b">
        <v>0</v>
      </c>
      <c r="S513" t="s">
        <v>28</v>
      </c>
      <c r="T513">
        <v>754</v>
      </c>
      <c r="U513" t="s">
        <v>51</v>
      </c>
      <c r="V513" t="s">
        <v>36</v>
      </c>
      <c r="W513" t="s">
        <v>37</v>
      </c>
    </row>
    <row r="514" spans="1:23" x14ac:dyDescent="0.3">
      <c r="A514">
        <v>3234</v>
      </c>
      <c r="B514" t="s">
        <v>102</v>
      </c>
      <c r="C514" s="1">
        <v>45292</v>
      </c>
      <c r="D514" s="1">
        <v>45633</v>
      </c>
      <c r="E514">
        <v>11.99</v>
      </c>
      <c r="F514">
        <v>298</v>
      </c>
      <c r="G514" t="s">
        <v>55</v>
      </c>
      <c r="H514">
        <v>2</v>
      </c>
      <c r="I514">
        <v>1</v>
      </c>
      <c r="J514" t="b">
        <v>0</v>
      </c>
      <c r="K514">
        <v>918</v>
      </c>
      <c r="L514">
        <v>153</v>
      </c>
      <c r="M514" t="s">
        <v>59</v>
      </c>
      <c r="N514" t="s">
        <v>26</v>
      </c>
      <c r="O514" t="s">
        <v>50</v>
      </c>
      <c r="P514">
        <v>52</v>
      </c>
      <c r="Q514">
        <v>4.4000000000000004</v>
      </c>
      <c r="R514" t="b">
        <v>1</v>
      </c>
      <c r="S514" t="s">
        <v>28</v>
      </c>
      <c r="T514">
        <v>3476</v>
      </c>
      <c r="U514" t="s">
        <v>51</v>
      </c>
      <c r="V514" t="s">
        <v>52</v>
      </c>
      <c r="W514" t="s">
        <v>53</v>
      </c>
    </row>
    <row r="515" spans="1:23" x14ac:dyDescent="0.3">
      <c r="A515">
        <v>6998</v>
      </c>
      <c r="B515" t="s">
        <v>92</v>
      </c>
      <c r="C515" s="1">
        <v>45373</v>
      </c>
      <c r="D515" s="1">
        <v>45628</v>
      </c>
      <c r="E515">
        <v>7.99</v>
      </c>
      <c r="F515">
        <v>54</v>
      </c>
      <c r="G515" t="s">
        <v>43</v>
      </c>
      <c r="H515">
        <v>4</v>
      </c>
      <c r="I515">
        <v>5</v>
      </c>
      <c r="J515" t="b">
        <v>1</v>
      </c>
      <c r="K515">
        <v>285</v>
      </c>
      <c r="L515">
        <v>66</v>
      </c>
      <c r="M515" t="s">
        <v>48</v>
      </c>
      <c r="N515" t="s">
        <v>49</v>
      </c>
      <c r="O515" t="s">
        <v>56</v>
      </c>
      <c r="P515">
        <v>43</v>
      </c>
      <c r="Q515">
        <v>3.8</v>
      </c>
      <c r="R515" t="b">
        <v>0</v>
      </c>
      <c r="S515" t="s">
        <v>28</v>
      </c>
      <c r="T515">
        <v>290</v>
      </c>
      <c r="U515" t="s">
        <v>65</v>
      </c>
      <c r="V515" t="s">
        <v>60</v>
      </c>
      <c r="W515" t="s">
        <v>31</v>
      </c>
    </row>
    <row r="516" spans="1:23" x14ac:dyDescent="0.3">
      <c r="A516">
        <v>5809</v>
      </c>
      <c r="B516" t="s">
        <v>153</v>
      </c>
      <c r="C516" s="1">
        <v>45548</v>
      </c>
      <c r="D516" s="1">
        <v>45615</v>
      </c>
      <c r="E516">
        <v>7.99</v>
      </c>
      <c r="F516">
        <v>486</v>
      </c>
      <c r="G516" t="s">
        <v>55</v>
      </c>
      <c r="H516">
        <v>4</v>
      </c>
      <c r="I516">
        <v>3</v>
      </c>
      <c r="J516" t="b">
        <v>0</v>
      </c>
      <c r="K516">
        <v>463</v>
      </c>
      <c r="L516">
        <v>171</v>
      </c>
      <c r="M516" t="s">
        <v>44</v>
      </c>
      <c r="N516" t="s">
        <v>40</v>
      </c>
      <c r="O516" t="s">
        <v>67</v>
      </c>
      <c r="P516">
        <v>10</v>
      </c>
      <c r="Q516">
        <v>3.2</v>
      </c>
      <c r="R516" t="b">
        <v>0</v>
      </c>
      <c r="S516" t="s">
        <v>28</v>
      </c>
      <c r="T516">
        <v>987</v>
      </c>
      <c r="U516" t="s">
        <v>35</v>
      </c>
      <c r="V516" t="s">
        <v>68</v>
      </c>
      <c r="W516" t="s">
        <v>37</v>
      </c>
    </row>
    <row r="517" spans="1:23" x14ac:dyDescent="0.3">
      <c r="A517">
        <v>6522</v>
      </c>
      <c r="B517" t="s">
        <v>306</v>
      </c>
      <c r="C517" s="1">
        <v>45179</v>
      </c>
      <c r="D517" s="1">
        <v>45623</v>
      </c>
      <c r="E517">
        <v>11.99</v>
      </c>
      <c r="F517">
        <v>38</v>
      </c>
      <c r="G517" t="s">
        <v>62</v>
      </c>
      <c r="H517">
        <v>1</v>
      </c>
      <c r="I517">
        <v>4</v>
      </c>
      <c r="J517" t="b">
        <v>1</v>
      </c>
      <c r="K517">
        <v>875</v>
      </c>
      <c r="L517">
        <v>115</v>
      </c>
      <c r="M517" t="s">
        <v>39</v>
      </c>
      <c r="N517" t="s">
        <v>64</v>
      </c>
      <c r="O517" t="s">
        <v>34</v>
      </c>
      <c r="P517">
        <v>75</v>
      </c>
      <c r="Q517">
        <v>4.7</v>
      </c>
      <c r="R517" t="b">
        <v>1</v>
      </c>
      <c r="S517" t="s">
        <v>28</v>
      </c>
      <c r="T517">
        <v>4972</v>
      </c>
      <c r="U517" t="s">
        <v>51</v>
      </c>
      <c r="V517" t="s">
        <v>52</v>
      </c>
      <c r="W517" t="s">
        <v>31</v>
      </c>
    </row>
    <row r="518" spans="1:23" x14ac:dyDescent="0.3">
      <c r="A518">
        <v>3892</v>
      </c>
      <c r="B518" t="s">
        <v>181</v>
      </c>
      <c r="C518" s="1">
        <v>45128</v>
      </c>
      <c r="D518" s="1">
        <v>45629</v>
      </c>
      <c r="E518">
        <v>7.99</v>
      </c>
      <c r="F518">
        <v>442</v>
      </c>
      <c r="G518" t="s">
        <v>24</v>
      </c>
      <c r="H518">
        <v>3</v>
      </c>
      <c r="I518">
        <v>6</v>
      </c>
      <c r="J518" t="b">
        <v>1</v>
      </c>
      <c r="K518">
        <v>875</v>
      </c>
      <c r="L518">
        <v>70</v>
      </c>
      <c r="M518" t="s">
        <v>39</v>
      </c>
      <c r="N518" t="s">
        <v>26</v>
      </c>
      <c r="O518" t="s">
        <v>34</v>
      </c>
      <c r="P518">
        <v>96</v>
      </c>
      <c r="Q518">
        <v>3.7</v>
      </c>
      <c r="R518" t="b">
        <v>0</v>
      </c>
      <c r="S518" t="s">
        <v>28</v>
      </c>
      <c r="T518">
        <v>1628</v>
      </c>
      <c r="U518" t="s">
        <v>35</v>
      </c>
      <c r="V518" t="s">
        <v>30</v>
      </c>
      <c r="W518" t="s">
        <v>37</v>
      </c>
    </row>
    <row r="519" spans="1:23" x14ac:dyDescent="0.3">
      <c r="A519">
        <v>4427</v>
      </c>
      <c r="B519" t="s">
        <v>307</v>
      </c>
      <c r="C519" s="1">
        <v>45094</v>
      </c>
      <c r="D519" s="1">
        <v>45624</v>
      </c>
      <c r="E519">
        <v>7.99</v>
      </c>
      <c r="F519">
        <v>474</v>
      </c>
      <c r="G519" t="s">
        <v>55</v>
      </c>
      <c r="H519">
        <v>3</v>
      </c>
      <c r="I519">
        <v>5</v>
      </c>
      <c r="J519" t="b">
        <v>1</v>
      </c>
      <c r="K519">
        <v>341</v>
      </c>
      <c r="L519">
        <v>165</v>
      </c>
      <c r="M519" t="s">
        <v>59</v>
      </c>
      <c r="N519" t="s">
        <v>64</v>
      </c>
      <c r="O519" t="s">
        <v>41</v>
      </c>
      <c r="P519">
        <v>30</v>
      </c>
      <c r="Q519">
        <v>4.8</v>
      </c>
      <c r="R519" t="b">
        <v>0</v>
      </c>
      <c r="S519" t="s">
        <v>28</v>
      </c>
      <c r="T519">
        <v>1285</v>
      </c>
      <c r="U519" t="s">
        <v>29</v>
      </c>
      <c r="V519" t="s">
        <v>60</v>
      </c>
      <c r="W519" t="s">
        <v>37</v>
      </c>
    </row>
    <row r="520" spans="1:23" x14ac:dyDescent="0.3">
      <c r="A520">
        <v>8145</v>
      </c>
      <c r="B520" t="s">
        <v>308</v>
      </c>
      <c r="C520" s="1">
        <v>44967</v>
      </c>
      <c r="D520" s="1">
        <v>45617</v>
      </c>
      <c r="E520">
        <v>15.99</v>
      </c>
      <c r="F520">
        <v>96</v>
      </c>
      <c r="G520" t="s">
        <v>62</v>
      </c>
      <c r="H520">
        <v>5</v>
      </c>
      <c r="I520">
        <v>1</v>
      </c>
      <c r="J520" t="b">
        <v>1</v>
      </c>
      <c r="K520">
        <v>273</v>
      </c>
      <c r="L520">
        <v>79</v>
      </c>
      <c r="M520" t="s">
        <v>44</v>
      </c>
      <c r="N520" t="s">
        <v>26</v>
      </c>
      <c r="O520" t="s">
        <v>56</v>
      </c>
      <c r="P520">
        <v>60</v>
      </c>
      <c r="Q520">
        <v>4.3</v>
      </c>
      <c r="R520" t="b">
        <v>0</v>
      </c>
      <c r="S520" t="s">
        <v>28</v>
      </c>
      <c r="T520">
        <v>1960</v>
      </c>
      <c r="U520" t="s">
        <v>35</v>
      </c>
      <c r="V520" t="s">
        <v>36</v>
      </c>
      <c r="W520" t="s">
        <v>75</v>
      </c>
    </row>
    <row r="521" spans="1:23" x14ac:dyDescent="0.3">
      <c r="A521">
        <v>1150</v>
      </c>
      <c r="B521" t="s">
        <v>146</v>
      </c>
      <c r="C521" s="1">
        <v>45222</v>
      </c>
      <c r="D521" s="1">
        <v>45625</v>
      </c>
      <c r="E521">
        <v>11.99</v>
      </c>
      <c r="F521">
        <v>160</v>
      </c>
      <c r="G521" t="s">
        <v>55</v>
      </c>
      <c r="H521">
        <v>5</v>
      </c>
      <c r="I521">
        <v>5</v>
      </c>
      <c r="J521" t="b">
        <v>1</v>
      </c>
      <c r="K521">
        <v>352</v>
      </c>
      <c r="L521">
        <v>31</v>
      </c>
      <c r="M521" t="s">
        <v>48</v>
      </c>
      <c r="N521" t="s">
        <v>26</v>
      </c>
      <c r="O521" t="s">
        <v>27</v>
      </c>
      <c r="P521">
        <v>37</v>
      </c>
      <c r="Q521">
        <v>3.7</v>
      </c>
      <c r="R521" t="b">
        <v>1</v>
      </c>
      <c r="S521" t="s">
        <v>28</v>
      </c>
      <c r="T521">
        <v>771</v>
      </c>
      <c r="U521" t="s">
        <v>65</v>
      </c>
      <c r="V521" t="s">
        <v>36</v>
      </c>
      <c r="W521" t="s">
        <v>75</v>
      </c>
    </row>
    <row r="522" spans="1:23" x14ac:dyDescent="0.3">
      <c r="A522">
        <v>7366</v>
      </c>
      <c r="B522" t="s">
        <v>309</v>
      </c>
      <c r="C522" s="1">
        <v>45465</v>
      </c>
      <c r="D522" s="1">
        <v>45641</v>
      </c>
      <c r="E522">
        <v>7.99</v>
      </c>
      <c r="F522">
        <v>451</v>
      </c>
      <c r="G522" t="s">
        <v>62</v>
      </c>
      <c r="H522">
        <v>3</v>
      </c>
      <c r="I522">
        <v>3</v>
      </c>
      <c r="J522" t="b">
        <v>0</v>
      </c>
      <c r="K522">
        <v>588</v>
      </c>
      <c r="L522">
        <v>147</v>
      </c>
      <c r="M522" t="s">
        <v>63</v>
      </c>
      <c r="N522" t="s">
        <v>40</v>
      </c>
      <c r="O522" t="s">
        <v>34</v>
      </c>
      <c r="P522">
        <v>75</v>
      </c>
      <c r="Q522">
        <v>3.3</v>
      </c>
      <c r="R522" t="b">
        <v>1</v>
      </c>
      <c r="S522" t="s">
        <v>28</v>
      </c>
      <c r="T522">
        <v>1785</v>
      </c>
      <c r="U522" t="s">
        <v>65</v>
      </c>
      <c r="V522" t="s">
        <v>60</v>
      </c>
      <c r="W522" t="s">
        <v>37</v>
      </c>
    </row>
    <row r="523" spans="1:23" x14ac:dyDescent="0.3">
      <c r="A523">
        <v>3004</v>
      </c>
      <c r="B523" t="s">
        <v>195</v>
      </c>
      <c r="C523" s="1">
        <v>45587</v>
      </c>
      <c r="D523" s="1">
        <v>45644</v>
      </c>
      <c r="E523">
        <v>11.99</v>
      </c>
      <c r="F523">
        <v>184</v>
      </c>
      <c r="G523" t="s">
        <v>46</v>
      </c>
      <c r="H523">
        <v>3</v>
      </c>
      <c r="I523">
        <v>4</v>
      </c>
      <c r="J523" t="b">
        <v>0</v>
      </c>
      <c r="K523">
        <v>233</v>
      </c>
      <c r="L523">
        <v>15</v>
      </c>
      <c r="M523" t="s">
        <v>39</v>
      </c>
      <c r="N523" t="s">
        <v>64</v>
      </c>
      <c r="O523" t="s">
        <v>41</v>
      </c>
      <c r="P523">
        <v>28</v>
      </c>
      <c r="Q523">
        <v>3.5</v>
      </c>
      <c r="R523" t="b">
        <v>1</v>
      </c>
      <c r="S523" t="s">
        <v>28</v>
      </c>
      <c r="T523">
        <v>2760</v>
      </c>
      <c r="U523" t="s">
        <v>51</v>
      </c>
      <c r="V523" t="s">
        <v>60</v>
      </c>
      <c r="W523" t="s">
        <v>31</v>
      </c>
    </row>
    <row r="524" spans="1:23" x14ac:dyDescent="0.3">
      <c r="A524">
        <v>9934</v>
      </c>
      <c r="B524" t="s">
        <v>310</v>
      </c>
      <c r="C524" s="1">
        <v>45288</v>
      </c>
      <c r="D524" s="1">
        <v>45642</v>
      </c>
      <c r="E524">
        <v>15.99</v>
      </c>
      <c r="F524">
        <v>50</v>
      </c>
      <c r="G524" t="s">
        <v>33</v>
      </c>
      <c r="H524">
        <v>2</v>
      </c>
      <c r="I524">
        <v>6</v>
      </c>
      <c r="J524" t="b">
        <v>1</v>
      </c>
      <c r="K524">
        <v>159</v>
      </c>
      <c r="L524">
        <v>131</v>
      </c>
      <c r="M524" t="s">
        <v>59</v>
      </c>
      <c r="N524" t="s">
        <v>40</v>
      </c>
      <c r="O524" t="s">
        <v>41</v>
      </c>
      <c r="P524">
        <v>49</v>
      </c>
      <c r="Q524">
        <v>3.8</v>
      </c>
      <c r="R524" t="b">
        <v>0</v>
      </c>
      <c r="S524" t="s">
        <v>28</v>
      </c>
      <c r="T524">
        <v>388</v>
      </c>
      <c r="U524" t="s">
        <v>35</v>
      </c>
      <c r="V524" t="s">
        <v>36</v>
      </c>
      <c r="W524" t="s">
        <v>75</v>
      </c>
    </row>
    <row r="525" spans="1:23" x14ac:dyDescent="0.3">
      <c r="A525">
        <v>1228</v>
      </c>
      <c r="B525" t="s">
        <v>171</v>
      </c>
      <c r="C525" s="1">
        <v>45014</v>
      </c>
      <c r="D525" s="1">
        <v>45640</v>
      </c>
      <c r="E525">
        <v>7.99</v>
      </c>
      <c r="F525">
        <v>299</v>
      </c>
      <c r="G525" t="s">
        <v>55</v>
      </c>
      <c r="H525">
        <v>3</v>
      </c>
      <c r="I525">
        <v>1</v>
      </c>
      <c r="J525" t="b">
        <v>0</v>
      </c>
      <c r="K525">
        <v>488</v>
      </c>
      <c r="L525">
        <v>135</v>
      </c>
      <c r="M525" t="s">
        <v>63</v>
      </c>
      <c r="N525" t="s">
        <v>40</v>
      </c>
      <c r="O525" t="s">
        <v>34</v>
      </c>
      <c r="P525">
        <v>100</v>
      </c>
      <c r="Q525">
        <v>4.8</v>
      </c>
      <c r="R525" t="b">
        <v>0</v>
      </c>
      <c r="S525" t="s">
        <v>28</v>
      </c>
      <c r="T525">
        <v>2385</v>
      </c>
      <c r="U525" t="s">
        <v>35</v>
      </c>
      <c r="V525" t="s">
        <v>60</v>
      </c>
      <c r="W525" t="s">
        <v>75</v>
      </c>
    </row>
    <row r="526" spans="1:23" x14ac:dyDescent="0.3">
      <c r="A526">
        <v>5806</v>
      </c>
      <c r="B526" t="s">
        <v>311</v>
      </c>
      <c r="C526" s="1">
        <v>45505</v>
      </c>
      <c r="D526" s="1">
        <v>45641</v>
      </c>
      <c r="E526">
        <v>7.99</v>
      </c>
      <c r="F526">
        <v>495</v>
      </c>
      <c r="G526" t="s">
        <v>33</v>
      </c>
      <c r="H526">
        <v>5</v>
      </c>
      <c r="I526">
        <v>6</v>
      </c>
      <c r="J526" t="b">
        <v>0</v>
      </c>
      <c r="K526">
        <v>522</v>
      </c>
      <c r="L526">
        <v>32</v>
      </c>
      <c r="M526" t="s">
        <v>59</v>
      </c>
      <c r="N526" t="s">
        <v>64</v>
      </c>
      <c r="O526" t="s">
        <v>67</v>
      </c>
      <c r="P526">
        <v>41</v>
      </c>
      <c r="Q526">
        <v>3.9</v>
      </c>
      <c r="R526" t="b">
        <v>1</v>
      </c>
      <c r="S526" t="s">
        <v>28</v>
      </c>
      <c r="T526">
        <v>3714</v>
      </c>
      <c r="U526" t="s">
        <v>65</v>
      </c>
      <c r="V526" t="s">
        <v>68</v>
      </c>
      <c r="W526" t="s">
        <v>75</v>
      </c>
    </row>
    <row r="527" spans="1:23" x14ac:dyDescent="0.3">
      <c r="A527">
        <v>7538</v>
      </c>
      <c r="B527" t="s">
        <v>150</v>
      </c>
      <c r="C527" s="1">
        <v>45424</v>
      </c>
      <c r="D527" s="1">
        <v>45622</v>
      </c>
      <c r="E527">
        <v>7.99</v>
      </c>
      <c r="F527">
        <v>132</v>
      </c>
      <c r="G527" t="s">
        <v>55</v>
      </c>
      <c r="H527">
        <v>4</v>
      </c>
      <c r="I527">
        <v>5</v>
      </c>
      <c r="J527" t="b">
        <v>1</v>
      </c>
      <c r="K527">
        <v>30</v>
      </c>
      <c r="L527">
        <v>177</v>
      </c>
      <c r="M527" t="s">
        <v>25</v>
      </c>
      <c r="N527" t="s">
        <v>26</v>
      </c>
      <c r="O527" t="s">
        <v>67</v>
      </c>
      <c r="P527">
        <v>31</v>
      </c>
      <c r="Q527">
        <v>5</v>
      </c>
      <c r="R527" t="b">
        <v>0</v>
      </c>
      <c r="S527" t="s">
        <v>28</v>
      </c>
      <c r="T527">
        <v>2015</v>
      </c>
      <c r="U527" t="s">
        <v>51</v>
      </c>
      <c r="V527" t="s">
        <v>60</v>
      </c>
      <c r="W527" t="s">
        <v>37</v>
      </c>
    </row>
    <row r="528" spans="1:23" x14ac:dyDescent="0.3">
      <c r="A528">
        <v>1035</v>
      </c>
      <c r="B528" t="s">
        <v>134</v>
      </c>
      <c r="C528" s="1">
        <v>45338</v>
      </c>
      <c r="D528" s="1">
        <v>45618</v>
      </c>
      <c r="E528">
        <v>11.99</v>
      </c>
      <c r="F528">
        <v>395</v>
      </c>
      <c r="G528" t="s">
        <v>79</v>
      </c>
      <c r="H528">
        <v>2</v>
      </c>
      <c r="I528">
        <v>4</v>
      </c>
      <c r="J528" t="b">
        <v>1</v>
      </c>
      <c r="K528">
        <v>139</v>
      </c>
      <c r="L528">
        <v>29</v>
      </c>
      <c r="M528" t="s">
        <v>63</v>
      </c>
      <c r="N528" t="s">
        <v>40</v>
      </c>
      <c r="O528" t="s">
        <v>50</v>
      </c>
      <c r="P528">
        <v>44</v>
      </c>
      <c r="Q528">
        <v>3.9</v>
      </c>
      <c r="R528" t="b">
        <v>1</v>
      </c>
      <c r="S528" t="s">
        <v>28</v>
      </c>
      <c r="T528">
        <v>3201</v>
      </c>
      <c r="U528" t="s">
        <v>65</v>
      </c>
      <c r="V528" t="s">
        <v>60</v>
      </c>
      <c r="W528" t="s">
        <v>53</v>
      </c>
    </row>
    <row r="529" spans="1:23" x14ac:dyDescent="0.3">
      <c r="A529">
        <v>8399</v>
      </c>
      <c r="B529" t="s">
        <v>235</v>
      </c>
      <c r="C529" s="1">
        <v>44990</v>
      </c>
      <c r="D529" s="1">
        <v>45629</v>
      </c>
      <c r="E529">
        <v>11.99</v>
      </c>
      <c r="F529">
        <v>34</v>
      </c>
      <c r="G529" t="s">
        <v>24</v>
      </c>
      <c r="H529">
        <v>1</v>
      </c>
      <c r="I529">
        <v>2</v>
      </c>
      <c r="J529" t="b">
        <v>1</v>
      </c>
      <c r="K529">
        <v>393</v>
      </c>
      <c r="L529">
        <v>130</v>
      </c>
      <c r="M529" t="s">
        <v>44</v>
      </c>
      <c r="N529" t="s">
        <v>64</v>
      </c>
      <c r="O529" t="s">
        <v>41</v>
      </c>
      <c r="P529">
        <v>10</v>
      </c>
      <c r="Q529">
        <v>3.9</v>
      </c>
      <c r="R529" t="b">
        <v>0</v>
      </c>
      <c r="S529" t="s">
        <v>28</v>
      </c>
      <c r="T529">
        <v>3426</v>
      </c>
      <c r="U529" t="s">
        <v>57</v>
      </c>
      <c r="V529" t="s">
        <v>30</v>
      </c>
      <c r="W529" t="s">
        <v>31</v>
      </c>
    </row>
    <row r="530" spans="1:23" x14ac:dyDescent="0.3">
      <c r="A530">
        <v>1912</v>
      </c>
      <c r="B530" t="s">
        <v>182</v>
      </c>
      <c r="C530" s="1">
        <v>45135</v>
      </c>
      <c r="D530" s="1">
        <v>45640</v>
      </c>
      <c r="E530">
        <v>11.99</v>
      </c>
      <c r="F530">
        <v>348</v>
      </c>
      <c r="G530" t="s">
        <v>79</v>
      </c>
      <c r="H530">
        <v>1</v>
      </c>
      <c r="I530">
        <v>4</v>
      </c>
      <c r="J530" t="b">
        <v>0</v>
      </c>
      <c r="K530">
        <v>792</v>
      </c>
      <c r="L530">
        <v>67</v>
      </c>
      <c r="M530" t="s">
        <v>59</v>
      </c>
      <c r="N530" t="s">
        <v>64</v>
      </c>
      <c r="O530" t="s">
        <v>67</v>
      </c>
      <c r="P530">
        <v>60</v>
      </c>
      <c r="Q530">
        <v>4.0999999999999996</v>
      </c>
      <c r="R530" t="b">
        <v>0</v>
      </c>
      <c r="S530" t="s">
        <v>28</v>
      </c>
      <c r="T530">
        <v>3366</v>
      </c>
      <c r="U530" t="s">
        <v>35</v>
      </c>
      <c r="V530" t="s">
        <v>30</v>
      </c>
      <c r="W530" t="s">
        <v>31</v>
      </c>
    </row>
    <row r="531" spans="1:23" x14ac:dyDescent="0.3">
      <c r="A531">
        <v>6604</v>
      </c>
      <c r="B531" t="s">
        <v>105</v>
      </c>
      <c r="C531" s="1">
        <v>45459</v>
      </c>
      <c r="D531" s="1">
        <v>45618</v>
      </c>
      <c r="E531">
        <v>15.99</v>
      </c>
      <c r="F531">
        <v>247</v>
      </c>
      <c r="G531" t="s">
        <v>79</v>
      </c>
      <c r="H531">
        <v>5</v>
      </c>
      <c r="I531">
        <v>4</v>
      </c>
      <c r="J531" t="b">
        <v>0</v>
      </c>
      <c r="K531">
        <v>186</v>
      </c>
      <c r="L531">
        <v>158</v>
      </c>
      <c r="M531" t="s">
        <v>44</v>
      </c>
      <c r="N531" t="s">
        <v>64</v>
      </c>
      <c r="O531" t="s">
        <v>50</v>
      </c>
      <c r="P531">
        <v>19</v>
      </c>
      <c r="Q531">
        <v>3.8</v>
      </c>
      <c r="R531" t="b">
        <v>0</v>
      </c>
      <c r="S531" t="s">
        <v>28</v>
      </c>
      <c r="T531">
        <v>125</v>
      </c>
      <c r="U531" t="s">
        <v>65</v>
      </c>
      <c r="V531" t="s">
        <v>60</v>
      </c>
      <c r="W531" t="s">
        <v>37</v>
      </c>
    </row>
    <row r="532" spans="1:23" x14ac:dyDescent="0.3">
      <c r="A532">
        <v>8952</v>
      </c>
      <c r="B532" t="s">
        <v>123</v>
      </c>
      <c r="C532" s="1">
        <v>44965</v>
      </c>
      <c r="D532" s="1">
        <v>45618</v>
      </c>
      <c r="E532">
        <v>11.99</v>
      </c>
      <c r="F532">
        <v>216</v>
      </c>
      <c r="G532" t="s">
        <v>79</v>
      </c>
      <c r="H532">
        <v>1</v>
      </c>
      <c r="I532">
        <v>1</v>
      </c>
      <c r="J532" t="b">
        <v>0</v>
      </c>
      <c r="K532">
        <v>872</v>
      </c>
      <c r="L532">
        <v>150</v>
      </c>
      <c r="M532" t="s">
        <v>74</v>
      </c>
      <c r="N532" t="s">
        <v>49</v>
      </c>
      <c r="O532" t="s">
        <v>56</v>
      </c>
      <c r="P532">
        <v>10</v>
      </c>
      <c r="Q532">
        <v>3.8</v>
      </c>
      <c r="R532" t="b">
        <v>1</v>
      </c>
      <c r="S532" t="s">
        <v>28</v>
      </c>
      <c r="T532">
        <v>4037</v>
      </c>
      <c r="U532" t="s">
        <v>65</v>
      </c>
      <c r="V532" t="s">
        <v>52</v>
      </c>
      <c r="W532" t="s">
        <v>31</v>
      </c>
    </row>
    <row r="533" spans="1:23" x14ac:dyDescent="0.3">
      <c r="A533">
        <v>2549</v>
      </c>
      <c r="B533" t="s">
        <v>107</v>
      </c>
      <c r="C533" s="1">
        <v>45520</v>
      </c>
      <c r="D533" s="1">
        <v>45622</v>
      </c>
      <c r="E533">
        <v>11.99</v>
      </c>
      <c r="F533">
        <v>299</v>
      </c>
      <c r="G533" t="s">
        <v>62</v>
      </c>
      <c r="H533">
        <v>4</v>
      </c>
      <c r="I533">
        <v>6</v>
      </c>
      <c r="J533" t="b">
        <v>0</v>
      </c>
      <c r="K533">
        <v>77</v>
      </c>
      <c r="L533">
        <v>191</v>
      </c>
      <c r="M533" t="s">
        <v>59</v>
      </c>
      <c r="N533" t="s">
        <v>64</v>
      </c>
      <c r="O533" t="s">
        <v>56</v>
      </c>
      <c r="P533">
        <v>85</v>
      </c>
      <c r="Q533">
        <v>3.4</v>
      </c>
      <c r="R533" t="b">
        <v>1</v>
      </c>
      <c r="S533" t="s">
        <v>28</v>
      </c>
      <c r="T533">
        <v>4348</v>
      </c>
      <c r="U533" t="s">
        <v>35</v>
      </c>
      <c r="V533" t="s">
        <v>60</v>
      </c>
      <c r="W533" t="s">
        <v>75</v>
      </c>
    </row>
    <row r="534" spans="1:23" x14ac:dyDescent="0.3">
      <c r="A534">
        <v>8954</v>
      </c>
      <c r="B534" t="s">
        <v>153</v>
      </c>
      <c r="C534" s="1">
        <v>45243</v>
      </c>
      <c r="D534" s="1">
        <v>45623</v>
      </c>
      <c r="E534">
        <v>15.99</v>
      </c>
      <c r="F534">
        <v>315</v>
      </c>
      <c r="G534" t="s">
        <v>62</v>
      </c>
      <c r="H534">
        <v>2</v>
      </c>
      <c r="I534">
        <v>1</v>
      </c>
      <c r="J534" t="b">
        <v>1</v>
      </c>
      <c r="K534">
        <v>829</v>
      </c>
      <c r="L534">
        <v>178</v>
      </c>
      <c r="M534" t="s">
        <v>25</v>
      </c>
      <c r="N534" t="s">
        <v>40</v>
      </c>
      <c r="O534" t="s">
        <v>50</v>
      </c>
      <c r="P534">
        <v>53</v>
      </c>
      <c r="Q534">
        <v>3.1</v>
      </c>
      <c r="R534" t="b">
        <v>0</v>
      </c>
      <c r="S534" t="s">
        <v>28</v>
      </c>
      <c r="T534">
        <v>546</v>
      </c>
      <c r="U534" t="s">
        <v>29</v>
      </c>
      <c r="V534" t="s">
        <v>30</v>
      </c>
      <c r="W534" t="s">
        <v>37</v>
      </c>
    </row>
    <row r="535" spans="1:23" x14ac:dyDescent="0.3">
      <c r="A535">
        <v>1922</v>
      </c>
      <c r="B535" t="s">
        <v>81</v>
      </c>
      <c r="C535" s="1">
        <v>45627</v>
      </c>
      <c r="D535" s="1">
        <v>45629</v>
      </c>
      <c r="E535">
        <v>11.99</v>
      </c>
      <c r="F535">
        <v>35</v>
      </c>
      <c r="G535" t="s">
        <v>46</v>
      </c>
      <c r="H535">
        <v>2</v>
      </c>
      <c r="I535">
        <v>4</v>
      </c>
      <c r="J535" t="b">
        <v>0</v>
      </c>
      <c r="K535">
        <v>821</v>
      </c>
      <c r="L535">
        <v>7</v>
      </c>
      <c r="M535" t="s">
        <v>48</v>
      </c>
      <c r="N535" t="s">
        <v>40</v>
      </c>
      <c r="O535" t="s">
        <v>41</v>
      </c>
      <c r="P535">
        <v>3</v>
      </c>
      <c r="Q535">
        <v>3.3</v>
      </c>
      <c r="R535" t="b">
        <v>0</v>
      </c>
      <c r="S535" t="s">
        <v>28</v>
      </c>
      <c r="T535">
        <v>2785</v>
      </c>
      <c r="U535" t="s">
        <v>51</v>
      </c>
      <c r="V535" t="s">
        <v>30</v>
      </c>
      <c r="W535" t="s">
        <v>75</v>
      </c>
    </row>
    <row r="536" spans="1:23" x14ac:dyDescent="0.3">
      <c r="A536">
        <v>9861</v>
      </c>
      <c r="B536" t="s">
        <v>100</v>
      </c>
      <c r="C536" s="1">
        <v>45267</v>
      </c>
      <c r="D536" s="1">
        <v>45642</v>
      </c>
      <c r="E536">
        <v>15.99</v>
      </c>
      <c r="F536">
        <v>359</v>
      </c>
      <c r="G536" t="s">
        <v>62</v>
      </c>
      <c r="H536">
        <v>3</v>
      </c>
      <c r="I536">
        <v>1</v>
      </c>
      <c r="J536" t="b">
        <v>0</v>
      </c>
      <c r="K536">
        <v>265</v>
      </c>
      <c r="L536">
        <v>34</v>
      </c>
      <c r="M536" t="s">
        <v>59</v>
      </c>
      <c r="N536" t="s">
        <v>49</v>
      </c>
      <c r="O536" t="s">
        <v>56</v>
      </c>
      <c r="P536">
        <v>64</v>
      </c>
      <c r="Q536">
        <v>4.9000000000000004</v>
      </c>
      <c r="R536" t="b">
        <v>1</v>
      </c>
      <c r="S536" t="s">
        <v>28</v>
      </c>
      <c r="T536">
        <v>3308</v>
      </c>
      <c r="U536" t="s">
        <v>29</v>
      </c>
      <c r="V536" t="s">
        <v>36</v>
      </c>
      <c r="W536" t="s">
        <v>53</v>
      </c>
    </row>
    <row r="537" spans="1:23" x14ac:dyDescent="0.3">
      <c r="A537">
        <v>4383</v>
      </c>
      <c r="B537" t="s">
        <v>312</v>
      </c>
      <c r="C537" s="1">
        <v>45543</v>
      </c>
      <c r="D537" s="1">
        <v>45626</v>
      </c>
      <c r="E537">
        <v>15.99</v>
      </c>
      <c r="F537">
        <v>361</v>
      </c>
      <c r="G537" t="s">
        <v>24</v>
      </c>
      <c r="H537">
        <v>4</v>
      </c>
      <c r="I537">
        <v>5</v>
      </c>
      <c r="J537" t="b">
        <v>1</v>
      </c>
      <c r="K537">
        <v>416</v>
      </c>
      <c r="L537">
        <v>143</v>
      </c>
      <c r="M537" t="s">
        <v>59</v>
      </c>
      <c r="N537" t="s">
        <v>49</v>
      </c>
      <c r="O537" t="s">
        <v>67</v>
      </c>
      <c r="P537">
        <v>99</v>
      </c>
      <c r="Q537">
        <v>3.7</v>
      </c>
      <c r="R537" t="b">
        <v>0</v>
      </c>
      <c r="S537" t="s">
        <v>28</v>
      </c>
      <c r="T537">
        <v>527</v>
      </c>
      <c r="U537" t="s">
        <v>51</v>
      </c>
      <c r="V537" t="s">
        <v>52</v>
      </c>
      <c r="W537" t="s">
        <v>53</v>
      </c>
    </row>
    <row r="538" spans="1:23" x14ac:dyDescent="0.3">
      <c r="A538">
        <v>4328</v>
      </c>
      <c r="B538" t="s">
        <v>88</v>
      </c>
      <c r="C538" s="1">
        <v>45064</v>
      </c>
      <c r="D538" s="1">
        <v>45620</v>
      </c>
      <c r="E538">
        <v>11.99</v>
      </c>
      <c r="F538">
        <v>273</v>
      </c>
      <c r="G538" t="s">
        <v>24</v>
      </c>
      <c r="H538">
        <v>3</v>
      </c>
      <c r="I538">
        <v>4</v>
      </c>
      <c r="J538" t="b">
        <v>1</v>
      </c>
      <c r="K538">
        <v>253</v>
      </c>
      <c r="L538">
        <v>70</v>
      </c>
      <c r="M538" t="s">
        <v>63</v>
      </c>
      <c r="N538" t="s">
        <v>26</v>
      </c>
      <c r="O538" t="s">
        <v>56</v>
      </c>
      <c r="P538">
        <v>42</v>
      </c>
      <c r="Q538">
        <v>4.9000000000000004</v>
      </c>
      <c r="R538" t="b">
        <v>0</v>
      </c>
      <c r="S538" t="s">
        <v>28</v>
      </c>
      <c r="T538">
        <v>837</v>
      </c>
      <c r="U538" t="s">
        <v>29</v>
      </c>
      <c r="V538" t="s">
        <v>36</v>
      </c>
      <c r="W538" t="s">
        <v>37</v>
      </c>
    </row>
    <row r="539" spans="1:23" x14ac:dyDescent="0.3">
      <c r="A539">
        <v>4622</v>
      </c>
      <c r="B539" t="s">
        <v>128</v>
      </c>
      <c r="C539" s="1">
        <v>45616</v>
      </c>
      <c r="D539" s="1">
        <v>45641</v>
      </c>
      <c r="E539">
        <v>7.99</v>
      </c>
      <c r="F539">
        <v>47</v>
      </c>
      <c r="G539" t="s">
        <v>24</v>
      </c>
      <c r="H539">
        <v>2</v>
      </c>
      <c r="I539">
        <v>4</v>
      </c>
      <c r="J539" t="b">
        <v>1</v>
      </c>
      <c r="K539">
        <v>770</v>
      </c>
      <c r="L539">
        <v>2</v>
      </c>
      <c r="M539" t="s">
        <v>59</v>
      </c>
      <c r="N539" t="s">
        <v>49</v>
      </c>
      <c r="O539" t="s">
        <v>56</v>
      </c>
      <c r="P539">
        <v>46</v>
      </c>
      <c r="Q539">
        <v>4.7</v>
      </c>
      <c r="R539" t="b">
        <v>1</v>
      </c>
      <c r="S539" t="s">
        <v>28</v>
      </c>
      <c r="T539">
        <v>371</v>
      </c>
      <c r="U539" t="s">
        <v>35</v>
      </c>
      <c r="V539" t="s">
        <v>60</v>
      </c>
      <c r="W539" t="s">
        <v>75</v>
      </c>
    </row>
    <row r="540" spans="1:23" x14ac:dyDescent="0.3">
      <c r="A540">
        <v>7828</v>
      </c>
      <c r="B540" t="s">
        <v>313</v>
      </c>
      <c r="C540" s="1">
        <v>45024</v>
      </c>
      <c r="D540" s="1">
        <v>45628</v>
      </c>
      <c r="E540">
        <v>7.99</v>
      </c>
      <c r="F540">
        <v>477</v>
      </c>
      <c r="G540" t="s">
        <v>55</v>
      </c>
      <c r="H540">
        <v>5</v>
      </c>
      <c r="I540">
        <v>5</v>
      </c>
      <c r="J540" t="b">
        <v>0</v>
      </c>
      <c r="K540">
        <v>969</v>
      </c>
      <c r="L540">
        <v>12</v>
      </c>
      <c r="M540" t="s">
        <v>74</v>
      </c>
      <c r="N540" t="s">
        <v>40</v>
      </c>
      <c r="O540" t="s">
        <v>56</v>
      </c>
      <c r="P540">
        <v>37</v>
      </c>
      <c r="Q540">
        <v>4.7</v>
      </c>
      <c r="R540" t="b">
        <v>0</v>
      </c>
      <c r="S540" t="s">
        <v>28</v>
      </c>
      <c r="T540">
        <v>877</v>
      </c>
      <c r="U540" t="s">
        <v>65</v>
      </c>
      <c r="V540" t="s">
        <v>36</v>
      </c>
      <c r="W540" t="s">
        <v>31</v>
      </c>
    </row>
    <row r="541" spans="1:23" x14ac:dyDescent="0.3">
      <c r="A541">
        <v>1393</v>
      </c>
      <c r="B541" t="s">
        <v>165</v>
      </c>
      <c r="C541" s="1">
        <v>44943</v>
      </c>
      <c r="D541" s="1">
        <v>45629</v>
      </c>
      <c r="E541">
        <v>7.99</v>
      </c>
      <c r="F541">
        <v>418</v>
      </c>
      <c r="G541" t="s">
        <v>24</v>
      </c>
      <c r="H541">
        <v>3</v>
      </c>
      <c r="I541">
        <v>4</v>
      </c>
      <c r="J541" t="b">
        <v>1</v>
      </c>
      <c r="K541">
        <v>701</v>
      </c>
      <c r="L541">
        <v>125</v>
      </c>
      <c r="M541" t="s">
        <v>48</v>
      </c>
      <c r="N541" t="s">
        <v>40</v>
      </c>
      <c r="O541" t="s">
        <v>27</v>
      </c>
      <c r="P541">
        <v>68</v>
      </c>
      <c r="Q541">
        <v>4.8</v>
      </c>
      <c r="R541" t="b">
        <v>1</v>
      </c>
      <c r="S541" t="s">
        <v>28</v>
      </c>
      <c r="T541">
        <v>4873</v>
      </c>
      <c r="U541" t="s">
        <v>65</v>
      </c>
      <c r="V541" t="s">
        <v>36</v>
      </c>
      <c r="W541" t="s">
        <v>37</v>
      </c>
    </row>
    <row r="542" spans="1:23" x14ac:dyDescent="0.3">
      <c r="A542">
        <v>9239</v>
      </c>
      <c r="B542" t="s">
        <v>167</v>
      </c>
      <c r="C542" s="1">
        <v>45621</v>
      </c>
      <c r="D542" s="1">
        <v>45617</v>
      </c>
      <c r="E542">
        <v>15.99</v>
      </c>
      <c r="F542">
        <v>274</v>
      </c>
      <c r="G542" t="s">
        <v>33</v>
      </c>
      <c r="H542">
        <v>5</v>
      </c>
      <c r="I542">
        <v>6</v>
      </c>
      <c r="J542" t="b">
        <v>0</v>
      </c>
      <c r="K542">
        <v>732</v>
      </c>
      <c r="L542">
        <v>105</v>
      </c>
      <c r="M542" t="s">
        <v>44</v>
      </c>
      <c r="N542" t="s">
        <v>26</v>
      </c>
      <c r="O542" t="s">
        <v>27</v>
      </c>
      <c r="P542">
        <v>36</v>
      </c>
      <c r="Q542">
        <v>4.0999999999999996</v>
      </c>
      <c r="R542" t="b">
        <v>1</v>
      </c>
      <c r="S542" t="s">
        <v>28</v>
      </c>
      <c r="T542">
        <v>4194</v>
      </c>
      <c r="U542" t="s">
        <v>51</v>
      </c>
      <c r="V542" t="s">
        <v>60</v>
      </c>
      <c r="W542" t="s">
        <v>37</v>
      </c>
    </row>
    <row r="543" spans="1:23" x14ac:dyDescent="0.3">
      <c r="A543">
        <v>1636</v>
      </c>
      <c r="B543" t="s">
        <v>104</v>
      </c>
      <c r="C543" s="1">
        <v>45073</v>
      </c>
      <c r="D543" s="1">
        <v>45632</v>
      </c>
      <c r="E543">
        <v>11.99</v>
      </c>
      <c r="F543">
        <v>102</v>
      </c>
      <c r="G543" t="s">
        <v>79</v>
      </c>
      <c r="H543">
        <v>5</v>
      </c>
      <c r="I543">
        <v>2</v>
      </c>
      <c r="J543" t="b">
        <v>0</v>
      </c>
      <c r="K543">
        <v>989</v>
      </c>
      <c r="L543">
        <v>44</v>
      </c>
      <c r="M543" t="s">
        <v>59</v>
      </c>
      <c r="N543" t="s">
        <v>64</v>
      </c>
      <c r="O543" t="s">
        <v>56</v>
      </c>
      <c r="P543">
        <v>63</v>
      </c>
      <c r="Q543">
        <v>4.8</v>
      </c>
      <c r="R543" t="b">
        <v>0</v>
      </c>
      <c r="S543" t="s">
        <v>28</v>
      </c>
      <c r="T543">
        <v>3118</v>
      </c>
      <c r="U543" t="s">
        <v>35</v>
      </c>
      <c r="V543" t="s">
        <v>30</v>
      </c>
      <c r="W543" t="s">
        <v>31</v>
      </c>
    </row>
    <row r="544" spans="1:23" x14ac:dyDescent="0.3">
      <c r="A544">
        <v>4401</v>
      </c>
      <c r="B544" t="s">
        <v>314</v>
      </c>
      <c r="C544" s="1">
        <v>45396</v>
      </c>
      <c r="D544" s="1">
        <v>45641</v>
      </c>
      <c r="E544">
        <v>15.99</v>
      </c>
      <c r="F544">
        <v>164</v>
      </c>
      <c r="G544" t="s">
        <v>46</v>
      </c>
      <c r="H544">
        <v>3</v>
      </c>
      <c r="I544">
        <v>5</v>
      </c>
      <c r="J544" t="b">
        <v>1</v>
      </c>
      <c r="K544">
        <v>89</v>
      </c>
      <c r="L544">
        <v>32</v>
      </c>
      <c r="M544" t="s">
        <v>63</v>
      </c>
      <c r="N544" t="s">
        <v>64</v>
      </c>
      <c r="O544" t="s">
        <v>34</v>
      </c>
      <c r="P544">
        <v>83</v>
      </c>
      <c r="Q544">
        <v>3</v>
      </c>
      <c r="R544" t="b">
        <v>1</v>
      </c>
      <c r="S544" t="s">
        <v>28</v>
      </c>
      <c r="T544">
        <v>2088</v>
      </c>
      <c r="U544" t="s">
        <v>65</v>
      </c>
      <c r="V544" t="s">
        <v>68</v>
      </c>
      <c r="W544" t="s">
        <v>37</v>
      </c>
    </row>
    <row r="545" spans="1:23" x14ac:dyDescent="0.3">
      <c r="A545">
        <v>7135</v>
      </c>
      <c r="B545" t="s">
        <v>315</v>
      </c>
      <c r="C545" s="1">
        <v>45272</v>
      </c>
      <c r="D545" s="1">
        <v>45643</v>
      </c>
      <c r="E545">
        <v>15.99</v>
      </c>
      <c r="F545">
        <v>478</v>
      </c>
      <c r="G545" t="s">
        <v>33</v>
      </c>
      <c r="H545">
        <v>4</v>
      </c>
      <c r="I545">
        <v>5</v>
      </c>
      <c r="J545" t="b">
        <v>1</v>
      </c>
      <c r="K545">
        <v>578</v>
      </c>
      <c r="L545">
        <v>117</v>
      </c>
      <c r="M545" t="s">
        <v>63</v>
      </c>
      <c r="N545" t="s">
        <v>49</v>
      </c>
      <c r="O545" t="s">
        <v>27</v>
      </c>
      <c r="P545">
        <v>27</v>
      </c>
      <c r="Q545">
        <v>4.9000000000000004</v>
      </c>
      <c r="R545" t="b">
        <v>0</v>
      </c>
      <c r="S545" t="s">
        <v>28</v>
      </c>
      <c r="T545">
        <v>3468</v>
      </c>
      <c r="U545" t="s">
        <v>51</v>
      </c>
      <c r="V545" t="s">
        <v>60</v>
      </c>
      <c r="W545" t="s">
        <v>53</v>
      </c>
    </row>
    <row r="546" spans="1:23" x14ac:dyDescent="0.3">
      <c r="A546">
        <v>8923</v>
      </c>
      <c r="B546" t="s">
        <v>124</v>
      </c>
      <c r="C546" s="1">
        <v>45637</v>
      </c>
      <c r="D546" s="1">
        <v>45636</v>
      </c>
      <c r="E546">
        <v>11.99</v>
      </c>
      <c r="F546">
        <v>100</v>
      </c>
      <c r="G546" t="s">
        <v>79</v>
      </c>
      <c r="H546">
        <v>3</v>
      </c>
      <c r="I546">
        <v>4</v>
      </c>
      <c r="J546" t="b">
        <v>0</v>
      </c>
      <c r="K546">
        <v>417</v>
      </c>
      <c r="L546">
        <v>87</v>
      </c>
      <c r="M546" t="s">
        <v>74</v>
      </c>
      <c r="N546" t="s">
        <v>49</v>
      </c>
      <c r="O546" t="s">
        <v>56</v>
      </c>
      <c r="P546">
        <v>14</v>
      </c>
      <c r="Q546">
        <v>3.4</v>
      </c>
      <c r="R546" t="b">
        <v>0</v>
      </c>
      <c r="S546" t="s">
        <v>28</v>
      </c>
      <c r="T546">
        <v>3183</v>
      </c>
      <c r="U546" t="s">
        <v>51</v>
      </c>
      <c r="V546" t="s">
        <v>30</v>
      </c>
      <c r="W546" t="s">
        <v>75</v>
      </c>
    </row>
    <row r="547" spans="1:23" x14ac:dyDescent="0.3">
      <c r="A547">
        <v>9748</v>
      </c>
      <c r="B547" t="s">
        <v>202</v>
      </c>
      <c r="C547" s="1">
        <v>45272</v>
      </c>
      <c r="D547" s="1">
        <v>45633</v>
      </c>
      <c r="E547">
        <v>15.99</v>
      </c>
      <c r="F547">
        <v>264</v>
      </c>
      <c r="G547" t="s">
        <v>79</v>
      </c>
      <c r="H547">
        <v>2</v>
      </c>
      <c r="I547">
        <v>6</v>
      </c>
      <c r="J547" t="b">
        <v>0</v>
      </c>
      <c r="K547">
        <v>474</v>
      </c>
      <c r="L547">
        <v>10</v>
      </c>
      <c r="M547" t="s">
        <v>25</v>
      </c>
      <c r="N547" t="s">
        <v>64</v>
      </c>
      <c r="O547" t="s">
        <v>34</v>
      </c>
      <c r="P547">
        <v>18</v>
      </c>
      <c r="Q547">
        <v>4.7</v>
      </c>
      <c r="R547" t="b">
        <v>1</v>
      </c>
      <c r="S547" t="s">
        <v>28</v>
      </c>
      <c r="T547">
        <v>4070</v>
      </c>
      <c r="U547" t="s">
        <v>29</v>
      </c>
      <c r="V547" t="s">
        <v>30</v>
      </c>
      <c r="W547" t="s">
        <v>53</v>
      </c>
    </row>
    <row r="548" spans="1:23" x14ac:dyDescent="0.3">
      <c r="A548">
        <v>7046</v>
      </c>
      <c r="B548" t="s">
        <v>213</v>
      </c>
      <c r="C548" s="1">
        <v>44983</v>
      </c>
      <c r="D548" s="1">
        <v>45636</v>
      </c>
      <c r="E548">
        <v>15.99</v>
      </c>
      <c r="F548">
        <v>208</v>
      </c>
      <c r="G548" t="s">
        <v>55</v>
      </c>
      <c r="H548">
        <v>5</v>
      </c>
      <c r="I548">
        <v>6</v>
      </c>
      <c r="J548" t="b">
        <v>0</v>
      </c>
      <c r="K548">
        <v>512</v>
      </c>
      <c r="L548">
        <v>176</v>
      </c>
      <c r="M548" t="s">
        <v>59</v>
      </c>
      <c r="N548" t="s">
        <v>26</v>
      </c>
      <c r="O548" t="s">
        <v>67</v>
      </c>
      <c r="P548">
        <v>36</v>
      </c>
      <c r="Q548">
        <v>4.7</v>
      </c>
      <c r="R548" t="b">
        <v>0</v>
      </c>
      <c r="S548" t="s">
        <v>28</v>
      </c>
      <c r="T548">
        <v>4147</v>
      </c>
      <c r="U548" t="s">
        <v>29</v>
      </c>
      <c r="V548" t="s">
        <v>68</v>
      </c>
      <c r="W548" t="s">
        <v>75</v>
      </c>
    </row>
    <row r="549" spans="1:23" x14ac:dyDescent="0.3">
      <c r="A549">
        <v>9688</v>
      </c>
      <c r="B549" t="s">
        <v>316</v>
      </c>
      <c r="C549" s="1">
        <v>45307</v>
      </c>
      <c r="D549" s="1">
        <v>45630</v>
      </c>
      <c r="E549">
        <v>7.99</v>
      </c>
      <c r="F549">
        <v>56</v>
      </c>
      <c r="G549" t="s">
        <v>62</v>
      </c>
      <c r="H549">
        <v>1</v>
      </c>
      <c r="I549">
        <v>2</v>
      </c>
      <c r="J549" t="b">
        <v>1</v>
      </c>
      <c r="K549">
        <v>280</v>
      </c>
      <c r="L549">
        <v>67</v>
      </c>
      <c r="M549" t="s">
        <v>74</v>
      </c>
      <c r="N549" t="s">
        <v>64</v>
      </c>
      <c r="O549" t="s">
        <v>50</v>
      </c>
      <c r="P549">
        <v>21</v>
      </c>
      <c r="Q549">
        <v>4.5999999999999996</v>
      </c>
      <c r="R549" t="b">
        <v>0</v>
      </c>
      <c r="S549" t="s">
        <v>28</v>
      </c>
      <c r="T549">
        <v>255</v>
      </c>
      <c r="U549" t="s">
        <v>29</v>
      </c>
      <c r="V549" t="s">
        <v>36</v>
      </c>
      <c r="W549" t="s">
        <v>53</v>
      </c>
    </row>
    <row r="550" spans="1:23" x14ac:dyDescent="0.3">
      <c r="A550">
        <v>6720</v>
      </c>
      <c r="B550" t="s">
        <v>109</v>
      </c>
      <c r="C550" s="1">
        <v>45115</v>
      </c>
      <c r="D550" s="1">
        <v>45639</v>
      </c>
      <c r="E550">
        <v>15.99</v>
      </c>
      <c r="F550">
        <v>207</v>
      </c>
      <c r="G550" t="s">
        <v>55</v>
      </c>
      <c r="H550">
        <v>2</v>
      </c>
      <c r="I550">
        <v>2</v>
      </c>
      <c r="J550" t="b">
        <v>1</v>
      </c>
      <c r="K550">
        <v>494</v>
      </c>
      <c r="L550">
        <v>28</v>
      </c>
      <c r="M550" t="s">
        <v>74</v>
      </c>
      <c r="N550" t="s">
        <v>64</v>
      </c>
      <c r="O550" t="s">
        <v>34</v>
      </c>
      <c r="P550">
        <v>99</v>
      </c>
      <c r="Q550">
        <v>3.6</v>
      </c>
      <c r="R550" t="b">
        <v>0</v>
      </c>
      <c r="S550" t="s">
        <v>28</v>
      </c>
      <c r="T550">
        <v>3278</v>
      </c>
      <c r="U550" t="s">
        <v>35</v>
      </c>
      <c r="V550" t="s">
        <v>68</v>
      </c>
      <c r="W550" t="s">
        <v>31</v>
      </c>
    </row>
    <row r="551" spans="1:23" x14ac:dyDescent="0.3">
      <c r="A551">
        <v>2766</v>
      </c>
      <c r="B551" t="s">
        <v>317</v>
      </c>
      <c r="C551" s="1">
        <v>44934</v>
      </c>
      <c r="D551" s="1">
        <v>45621</v>
      </c>
      <c r="E551">
        <v>7.99</v>
      </c>
      <c r="F551">
        <v>187</v>
      </c>
      <c r="G551" t="s">
        <v>46</v>
      </c>
      <c r="H551">
        <v>2</v>
      </c>
      <c r="I551">
        <v>3</v>
      </c>
      <c r="J551" t="b">
        <v>1</v>
      </c>
      <c r="K551">
        <v>697</v>
      </c>
      <c r="L551">
        <v>5</v>
      </c>
      <c r="M551" t="s">
        <v>59</v>
      </c>
      <c r="N551" t="s">
        <v>40</v>
      </c>
      <c r="O551" t="s">
        <v>34</v>
      </c>
      <c r="P551">
        <v>29</v>
      </c>
      <c r="Q551">
        <v>4.5</v>
      </c>
      <c r="R551" t="b">
        <v>0</v>
      </c>
      <c r="S551" t="s">
        <v>28</v>
      </c>
      <c r="T551">
        <v>213</v>
      </c>
      <c r="U551" t="s">
        <v>51</v>
      </c>
      <c r="V551" t="s">
        <v>52</v>
      </c>
      <c r="W551" t="s">
        <v>53</v>
      </c>
    </row>
    <row r="552" spans="1:23" x14ac:dyDescent="0.3">
      <c r="A552">
        <v>3847</v>
      </c>
      <c r="B552" t="s">
        <v>85</v>
      </c>
      <c r="C552" s="1">
        <v>45356</v>
      </c>
      <c r="D552" s="1">
        <v>45619</v>
      </c>
      <c r="E552">
        <v>11.99</v>
      </c>
      <c r="F552">
        <v>62</v>
      </c>
      <c r="G552" t="s">
        <v>24</v>
      </c>
      <c r="H552">
        <v>3</v>
      </c>
      <c r="I552">
        <v>1</v>
      </c>
      <c r="J552" t="b">
        <v>1</v>
      </c>
      <c r="K552">
        <v>879</v>
      </c>
      <c r="L552">
        <v>128</v>
      </c>
      <c r="M552" t="s">
        <v>48</v>
      </c>
      <c r="N552" t="s">
        <v>26</v>
      </c>
      <c r="O552" t="s">
        <v>41</v>
      </c>
      <c r="P552">
        <v>56</v>
      </c>
      <c r="Q552">
        <v>3.4</v>
      </c>
      <c r="R552" t="b">
        <v>0</v>
      </c>
      <c r="S552" t="s">
        <v>28</v>
      </c>
      <c r="T552">
        <v>2886</v>
      </c>
      <c r="U552" t="s">
        <v>57</v>
      </c>
      <c r="V552" t="s">
        <v>36</v>
      </c>
      <c r="W552" t="s">
        <v>31</v>
      </c>
    </row>
    <row r="553" spans="1:23" x14ac:dyDescent="0.3">
      <c r="A553">
        <v>8554</v>
      </c>
      <c r="B553" t="s">
        <v>108</v>
      </c>
      <c r="C553" s="1">
        <v>45262</v>
      </c>
      <c r="D553" s="1">
        <v>45617</v>
      </c>
      <c r="E553">
        <v>15.99</v>
      </c>
      <c r="F553">
        <v>182</v>
      </c>
      <c r="G553" t="s">
        <v>79</v>
      </c>
      <c r="H553">
        <v>1</v>
      </c>
      <c r="I553">
        <v>2</v>
      </c>
      <c r="J553" t="b">
        <v>1</v>
      </c>
      <c r="K553">
        <v>442</v>
      </c>
      <c r="L553">
        <v>87</v>
      </c>
      <c r="M553" t="s">
        <v>25</v>
      </c>
      <c r="N553" t="s">
        <v>49</v>
      </c>
      <c r="O553" t="s">
        <v>41</v>
      </c>
      <c r="P553">
        <v>62</v>
      </c>
      <c r="Q553">
        <v>4.9000000000000004</v>
      </c>
      <c r="R553" t="b">
        <v>0</v>
      </c>
      <c r="S553" t="s">
        <v>28</v>
      </c>
      <c r="T553">
        <v>1901</v>
      </c>
      <c r="U553" t="s">
        <v>35</v>
      </c>
      <c r="V553" t="s">
        <v>60</v>
      </c>
      <c r="W553" t="s">
        <v>37</v>
      </c>
    </row>
    <row r="554" spans="1:23" x14ac:dyDescent="0.3">
      <c r="A554">
        <v>6569</v>
      </c>
      <c r="B554" t="s">
        <v>32</v>
      </c>
      <c r="C554" s="1">
        <v>45230</v>
      </c>
      <c r="D554" s="1">
        <v>45621</v>
      </c>
      <c r="E554">
        <v>7.99</v>
      </c>
      <c r="F554">
        <v>468</v>
      </c>
      <c r="G554" t="s">
        <v>79</v>
      </c>
      <c r="H554">
        <v>2</v>
      </c>
      <c r="I554">
        <v>3</v>
      </c>
      <c r="J554" t="b">
        <v>0</v>
      </c>
      <c r="K554">
        <v>514</v>
      </c>
      <c r="L554">
        <v>46</v>
      </c>
      <c r="M554" t="s">
        <v>39</v>
      </c>
      <c r="N554" t="s">
        <v>40</v>
      </c>
      <c r="O554" t="s">
        <v>56</v>
      </c>
      <c r="P554">
        <v>74</v>
      </c>
      <c r="Q554">
        <v>3.2</v>
      </c>
      <c r="R554" t="b">
        <v>0</v>
      </c>
      <c r="S554" t="s">
        <v>28</v>
      </c>
      <c r="T554">
        <v>4456</v>
      </c>
      <c r="U554" t="s">
        <v>29</v>
      </c>
      <c r="V554" t="s">
        <v>36</v>
      </c>
      <c r="W554" t="s">
        <v>75</v>
      </c>
    </row>
    <row r="555" spans="1:23" x14ac:dyDescent="0.3">
      <c r="A555">
        <v>6391</v>
      </c>
      <c r="B555" t="s">
        <v>167</v>
      </c>
      <c r="C555" s="1">
        <v>45423</v>
      </c>
      <c r="D555" s="1">
        <v>45620</v>
      </c>
      <c r="E555">
        <v>15.99</v>
      </c>
      <c r="F555">
        <v>389</v>
      </c>
      <c r="G555" t="s">
        <v>33</v>
      </c>
      <c r="H555">
        <v>2</v>
      </c>
      <c r="I555">
        <v>2</v>
      </c>
      <c r="J555" t="b">
        <v>0</v>
      </c>
      <c r="K555">
        <v>120</v>
      </c>
      <c r="L555">
        <v>191</v>
      </c>
      <c r="M555" t="s">
        <v>44</v>
      </c>
      <c r="N555" t="s">
        <v>40</v>
      </c>
      <c r="O555" t="s">
        <v>56</v>
      </c>
      <c r="P555">
        <v>75</v>
      </c>
      <c r="Q555">
        <v>3.8</v>
      </c>
      <c r="R555" t="b">
        <v>1</v>
      </c>
      <c r="S555" t="s">
        <v>28</v>
      </c>
      <c r="T555">
        <v>237</v>
      </c>
      <c r="U555" t="s">
        <v>35</v>
      </c>
      <c r="V555" t="s">
        <v>52</v>
      </c>
      <c r="W555" t="s">
        <v>53</v>
      </c>
    </row>
    <row r="556" spans="1:23" x14ac:dyDescent="0.3">
      <c r="A556">
        <v>4883</v>
      </c>
      <c r="B556" t="s">
        <v>318</v>
      </c>
      <c r="C556" s="1">
        <v>45329</v>
      </c>
      <c r="D556" s="1">
        <v>45635</v>
      </c>
      <c r="E556">
        <v>15.99</v>
      </c>
      <c r="F556">
        <v>155</v>
      </c>
      <c r="G556" t="s">
        <v>24</v>
      </c>
      <c r="H556">
        <v>4</v>
      </c>
      <c r="I556">
        <v>5</v>
      </c>
      <c r="J556" t="b">
        <v>0</v>
      </c>
      <c r="K556">
        <v>573</v>
      </c>
      <c r="L556">
        <v>190</v>
      </c>
      <c r="M556" t="s">
        <v>48</v>
      </c>
      <c r="N556" t="s">
        <v>64</v>
      </c>
      <c r="O556" t="s">
        <v>50</v>
      </c>
      <c r="P556">
        <v>86</v>
      </c>
      <c r="Q556">
        <v>3.5</v>
      </c>
      <c r="R556" t="b">
        <v>1</v>
      </c>
      <c r="S556" t="s">
        <v>28</v>
      </c>
      <c r="T556">
        <v>4659</v>
      </c>
      <c r="U556" t="s">
        <v>65</v>
      </c>
      <c r="V556" t="s">
        <v>30</v>
      </c>
      <c r="W556" t="s">
        <v>31</v>
      </c>
    </row>
    <row r="557" spans="1:23" x14ac:dyDescent="0.3">
      <c r="A557">
        <v>4530</v>
      </c>
      <c r="B557" t="s">
        <v>147</v>
      </c>
      <c r="C557" s="1">
        <v>45275</v>
      </c>
      <c r="D557" s="1">
        <v>45622</v>
      </c>
      <c r="E557">
        <v>7.99</v>
      </c>
      <c r="F557">
        <v>331</v>
      </c>
      <c r="G557" t="s">
        <v>24</v>
      </c>
      <c r="H557">
        <v>1</v>
      </c>
      <c r="I557">
        <v>6</v>
      </c>
      <c r="J557" t="b">
        <v>1</v>
      </c>
      <c r="K557">
        <v>231</v>
      </c>
      <c r="L557">
        <v>199</v>
      </c>
      <c r="M557" t="s">
        <v>63</v>
      </c>
      <c r="N557" t="s">
        <v>26</v>
      </c>
      <c r="O557" t="s">
        <v>41</v>
      </c>
      <c r="P557">
        <v>93</v>
      </c>
      <c r="Q557">
        <v>3.4</v>
      </c>
      <c r="R557" t="b">
        <v>0</v>
      </c>
      <c r="S557" t="s">
        <v>28</v>
      </c>
      <c r="T557">
        <v>4906</v>
      </c>
      <c r="U557" t="s">
        <v>35</v>
      </c>
      <c r="V557" t="s">
        <v>68</v>
      </c>
      <c r="W557" t="s">
        <v>31</v>
      </c>
    </row>
    <row r="558" spans="1:23" x14ac:dyDescent="0.3">
      <c r="A558">
        <v>6531</v>
      </c>
      <c r="B558" t="s">
        <v>181</v>
      </c>
      <c r="C558" s="1">
        <v>44964</v>
      </c>
      <c r="D558" s="1">
        <v>45638</v>
      </c>
      <c r="E558">
        <v>11.99</v>
      </c>
      <c r="F558">
        <v>131</v>
      </c>
      <c r="G558" t="s">
        <v>43</v>
      </c>
      <c r="H558">
        <v>5</v>
      </c>
      <c r="I558">
        <v>2</v>
      </c>
      <c r="J558" t="b">
        <v>0</v>
      </c>
      <c r="K558">
        <v>374</v>
      </c>
      <c r="L558">
        <v>154</v>
      </c>
      <c r="M558" t="s">
        <v>74</v>
      </c>
      <c r="N558" t="s">
        <v>40</v>
      </c>
      <c r="O558" t="s">
        <v>34</v>
      </c>
      <c r="P558">
        <v>81</v>
      </c>
      <c r="Q558">
        <v>4.4000000000000004</v>
      </c>
      <c r="R558" t="b">
        <v>0</v>
      </c>
      <c r="S558" t="s">
        <v>28</v>
      </c>
      <c r="T558">
        <v>1155</v>
      </c>
      <c r="U558" t="s">
        <v>57</v>
      </c>
      <c r="V558" t="s">
        <v>30</v>
      </c>
      <c r="W558" t="s">
        <v>53</v>
      </c>
    </row>
    <row r="559" spans="1:23" x14ac:dyDescent="0.3">
      <c r="A559">
        <v>9701</v>
      </c>
      <c r="B559" t="s">
        <v>319</v>
      </c>
      <c r="C559" s="1">
        <v>45002</v>
      </c>
      <c r="D559" s="1">
        <v>45622</v>
      </c>
      <c r="E559">
        <v>7.99</v>
      </c>
      <c r="F559">
        <v>376</v>
      </c>
      <c r="G559" t="s">
        <v>43</v>
      </c>
      <c r="H559">
        <v>3</v>
      </c>
      <c r="I559">
        <v>6</v>
      </c>
      <c r="J559" t="b">
        <v>0</v>
      </c>
      <c r="K559">
        <v>727</v>
      </c>
      <c r="L559">
        <v>13</v>
      </c>
      <c r="M559" t="s">
        <v>44</v>
      </c>
      <c r="N559" t="s">
        <v>64</v>
      </c>
      <c r="O559" t="s">
        <v>34</v>
      </c>
      <c r="P559">
        <v>5</v>
      </c>
      <c r="Q559">
        <v>3.4</v>
      </c>
      <c r="R559" t="b">
        <v>0</v>
      </c>
      <c r="S559" t="s">
        <v>28</v>
      </c>
      <c r="T559">
        <v>4378</v>
      </c>
      <c r="U559" t="s">
        <v>35</v>
      </c>
      <c r="V559" t="s">
        <v>36</v>
      </c>
      <c r="W559" t="s">
        <v>53</v>
      </c>
    </row>
    <row r="560" spans="1:23" x14ac:dyDescent="0.3">
      <c r="A560">
        <v>4702</v>
      </c>
      <c r="B560" t="s">
        <v>236</v>
      </c>
      <c r="C560" s="1">
        <v>45382</v>
      </c>
      <c r="D560" s="1">
        <v>45637</v>
      </c>
      <c r="E560">
        <v>7.99</v>
      </c>
      <c r="F560">
        <v>106</v>
      </c>
      <c r="G560" t="s">
        <v>55</v>
      </c>
      <c r="H560">
        <v>4</v>
      </c>
      <c r="I560">
        <v>6</v>
      </c>
      <c r="J560" t="b">
        <v>1</v>
      </c>
      <c r="K560">
        <v>858</v>
      </c>
      <c r="L560">
        <v>12</v>
      </c>
      <c r="M560" t="s">
        <v>59</v>
      </c>
      <c r="N560" t="s">
        <v>40</v>
      </c>
      <c r="O560" t="s">
        <v>41</v>
      </c>
      <c r="P560">
        <v>25</v>
      </c>
      <c r="Q560">
        <v>3.4</v>
      </c>
      <c r="R560" t="b">
        <v>1</v>
      </c>
      <c r="S560" t="s">
        <v>28</v>
      </c>
      <c r="T560">
        <v>1674</v>
      </c>
      <c r="U560" t="s">
        <v>35</v>
      </c>
      <c r="V560" t="s">
        <v>60</v>
      </c>
      <c r="W560" t="s">
        <v>75</v>
      </c>
    </row>
    <row r="561" spans="1:23" x14ac:dyDescent="0.3">
      <c r="A561">
        <v>3163</v>
      </c>
      <c r="B561" t="s">
        <v>249</v>
      </c>
      <c r="C561" s="1">
        <v>45485</v>
      </c>
      <c r="D561" s="1">
        <v>45626</v>
      </c>
      <c r="E561">
        <v>11.99</v>
      </c>
      <c r="F561">
        <v>445</v>
      </c>
      <c r="G561" t="s">
        <v>62</v>
      </c>
      <c r="H561">
        <v>4</v>
      </c>
      <c r="I561">
        <v>4</v>
      </c>
      <c r="J561" t="b">
        <v>0</v>
      </c>
      <c r="K561">
        <v>25</v>
      </c>
      <c r="L561">
        <v>132</v>
      </c>
      <c r="M561" t="s">
        <v>63</v>
      </c>
      <c r="N561" t="s">
        <v>26</v>
      </c>
      <c r="O561" t="s">
        <v>50</v>
      </c>
      <c r="P561">
        <v>50</v>
      </c>
      <c r="Q561">
        <v>3.8</v>
      </c>
      <c r="R561" t="b">
        <v>1</v>
      </c>
      <c r="S561" t="s">
        <v>28</v>
      </c>
      <c r="T561">
        <v>2407</v>
      </c>
      <c r="U561" t="s">
        <v>51</v>
      </c>
      <c r="V561" t="s">
        <v>36</v>
      </c>
      <c r="W561" t="s">
        <v>53</v>
      </c>
    </row>
    <row r="562" spans="1:23" x14ac:dyDescent="0.3">
      <c r="A562">
        <v>8719</v>
      </c>
      <c r="B562" t="s">
        <v>92</v>
      </c>
      <c r="C562" s="1">
        <v>45187</v>
      </c>
      <c r="D562" s="1">
        <v>45622</v>
      </c>
      <c r="E562">
        <v>15.99</v>
      </c>
      <c r="F562">
        <v>345</v>
      </c>
      <c r="G562" t="s">
        <v>46</v>
      </c>
      <c r="H562">
        <v>4</v>
      </c>
      <c r="I562">
        <v>5</v>
      </c>
      <c r="J562" t="b">
        <v>0</v>
      </c>
      <c r="K562">
        <v>180</v>
      </c>
      <c r="L562">
        <v>99</v>
      </c>
      <c r="M562" t="s">
        <v>44</v>
      </c>
      <c r="N562" t="s">
        <v>64</v>
      </c>
      <c r="O562" t="s">
        <v>67</v>
      </c>
      <c r="P562">
        <v>73</v>
      </c>
      <c r="Q562">
        <v>4.7</v>
      </c>
      <c r="R562" t="b">
        <v>1</v>
      </c>
      <c r="S562" t="s">
        <v>28</v>
      </c>
      <c r="T562">
        <v>2636</v>
      </c>
      <c r="U562" t="s">
        <v>29</v>
      </c>
      <c r="V562" t="s">
        <v>52</v>
      </c>
      <c r="W562" t="s">
        <v>31</v>
      </c>
    </row>
    <row r="563" spans="1:23" x14ac:dyDescent="0.3">
      <c r="A563">
        <v>1282</v>
      </c>
      <c r="B563" t="s">
        <v>88</v>
      </c>
      <c r="C563" s="1">
        <v>45636</v>
      </c>
      <c r="D563" s="1">
        <v>45623</v>
      </c>
      <c r="E563">
        <v>15.99</v>
      </c>
      <c r="F563">
        <v>432</v>
      </c>
      <c r="G563" t="s">
        <v>55</v>
      </c>
      <c r="H563">
        <v>4</v>
      </c>
      <c r="I563">
        <v>3</v>
      </c>
      <c r="J563" t="b">
        <v>1</v>
      </c>
      <c r="K563">
        <v>666</v>
      </c>
      <c r="L563">
        <v>76</v>
      </c>
      <c r="M563" t="s">
        <v>59</v>
      </c>
      <c r="N563" t="s">
        <v>64</v>
      </c>
      <c r="O563" t="s">
        <v>67</v>
      </c>
      <c r="P563">
        <v>92</v>
      </c>
      <c r="Q563">
        <v>4.5999999999999996</v>
      </c>
      <c r="R563" t="b">
        <v>0</v>
      </c>
      <c r="S563" t="s">
        <v>28</v>
      </c>
      <c r="T563">
        <v>4020</v>
      </c>
      <c r="U563" t="s">
        <v>65</v>
      </c>
      <c r="V563" t="s">
        <v>60</v>
      </c>
      <c r="W563" t="s">
        <v>31</v>
      </c>
    </row>
    <row r="564" spans="1:23" x14ac:dyDescent="0.3">
      <c r="A564">
        <v>4538</v>
      </c>
      <c r="B564" t="s">
        <v>187</v>
      </c>
      <c r="C564" s="1">
        <v>45182</v>
      </c>
      <c r="D564" s="1">
        <v>45640</v>
      </c>
      <c r="E564">
        <v>15.99</v>
      </c>
      <c r="F564">
        <v>362</v>
      </c>
      <c r="G564" t="s">
        <v>33</v>
      </c>
      <c r="H564">
        <v>4</v>
      </c>
      <c r="I564">
        <v>1</v>
      </c>
      <c r="J564" t="b">
        <v>0</v>
      </c>
      <c r="K564">
        <v>709</v>
      </c>
      <c r="L564">
        <v>52</v>
      </c>
      <c r="M564" t="s">
        <v>25</v>
      </c>
      <c r="N564" t="s">
        <v>49</v>
      </c>
      <c r="O564" t="s">
        <v>50</v>
      </c>
      <c r="P564">
        <v>80</v>
      </c>
      <c r="Q564">
        <v>4.5</v>
      </c>
      <c r="R564" t="b">
        <v>1</v>
      </c>
      <c r="S564" t="s">
        <v>28</v>
      </c>
      <c r="T564">
        <v>4127</v>
      </c>
      <c r="U564" t="s">
        <v>51</v>
      </c>
      <c r="V564" t="s">
        <v>68</v>
      </c>
      <c r="W564" t="s">
        <v>31</v>
      </c>
    </row>
    <row r="565" spans="1:23" x14ac:dyDescent="0.3">
      <c r="A565">
        <v>9538</v>
      </c>
      <c r="B565" t="s">
        <v>181</v>
      </c>
      <c r="C565" s="1">
        <v>44951</v>
      </c>
      <c r="D565" s="1">
        <v>45626</v>
      </c>
      <c r="E565">
        <v>15.99</v>
      </c>
      <c r="F565">
        <v>174</v>
      </c>
      <c r="G565" t="s">
        <v>33</v>
      </c>
      <c r="H565">
        <v>4</v>
      </c>
      <c r="I565">
        <v>3</v>
      </c>
      <c r="J565" t="b">
        <v>0</v>
      </c>
      <c r="K565">
        <v>30</v>
      </c>
      <c r="L565">
        <v>136</v>
      </c>
      <c r="M565" t="s">
        <v>25</v>
      </c>
      <c r="N565" t="s">
        <v>64</v>
      </c>
      <c r="O565" t="s">
        <v>41</v>
      </c>
      <c r="P565">
        <v>4</v>
      </c>
      <c r="Q565">
        <v>3.1</v>
      </c>
      <c r="R565" t="b">
        <v>1</v>
      </c>
      <c r="S565" t="s">
        <v>28</v>
      </c>
      <c r="T565">
        <v>4503</v>
      </c>
      <c r="U565" t="s">
        <v>29</v>
      </c>
      <c r="V565" t="s">
        <v>30</v>
      </c>
      <c r="W565" t="s">
        <v>53</v>
      </c>
    </row>
    <row r="566" spans="1:23" x14ac:dyDescent="0.3">
      <c r="A566">
        <v>5109</v>
      </c>
      <c r="B566" t="s">
        <v>121</v>
      </c>
      <c r="C566" s="1">
        <v>45406</v>
      </c>
      <c r="D566" s="1">
        <v>45639</v>
      </c>
      <c r="E566">
        <v>11.99</v>
      </c>
      <c r="F566">
        <v>490</v>
      </c>
      <c r="G566" t="s">
        <v>46</v>
      </c>
      <c r="H566">
        <v>4</v>
      </c>
      <c r="I566">
        <v>3</v>
      </c>
      <c r="J566" t="b">
        <v>0</v>
      </c>
      <c r="K566">
        <v>466</v>
      </c>
      <c r="L566">
        <v>106</v>
      </c>
      <c r="M566" t="s">
        <v>63</v>
      </c>
      <c r="N566" t="s">
        <v>49</v>
      </c>
      <c r="O566" t="s">
        <v>67</v>
      </c>
      <c r="P566">
        <v>91</v>
      </c>
      <c r="Q566">
        <v>3.7</v>
      </c>
      <c r="R566" t="b">
        <v>0</v>
      </c>
      <c r="S566" t="s">
        <v>28</v>
      </c>
      <c r="T566">
        <v>1080</v>
      </c>
      <c r="U566" t="s">
        <v>35</v>
      </c>
      <c r="V566" t="s">
        <v>52</v>
      </c>
      <c r="W566" t="s">
        <v>75</v>
      </c>
    </row>
    <row r="567" spans="1:23" x14ac:dyDescent="0.3">
      <c r="A567">
        <v>7947</v>
      </c>
      <c r="B567" t="s">
        <v>320</v>
      </c>
      <c r="C567" s="1">
        <v>45241</v>
      </c>
      <c r="D567" s="1">
        <v>45643</v>
      </c>
      <c r="E567">
        <v>15.99</v>
      </c>
      <c r="F567">
        <v>32</v>
      </c>
      <c r="G567" t="s">
        <v>62</v>
      </c>
      <c r="H567">
        <v>3</v>
      </c>
      <c r="I567">
        <v>4</v>
      </c>
      <c r="J567" t="b">
        <v>0</v>
      </c>
      <c r="K567">
        <v>385</v>
      </c>
      <c r="L567">
        <v>106</v>
      </c>
      <c r="M567" t="s">
        <v>44</v>
      </c>
      <c r="N567" t="s">
        <v>49</v>
      </c>
      <c r="O567" t="s">
        <v>50</v>
      </c>
      <c r="P567">
        <v>75</v>
      </c>
      <c r="Q567">
        <v>3.7</v>
      </c>
      <c r="R567" t="b">
        <v>0</v>
      </c>
      <c r="S567" t="s">
        <v>28</v>
      </c>
      <c r="T567">
        <v>1610</v>
      </c>
      <c r="U567" t="s">
        <v>57</v>
      </c>
      <c r="V567" t="s">
        <v>30</v>
      </c>
      <c r="W567" t="s">
        <v>31</v>
      </c>
    </row>
    <row r="568" spans="1:23" x14ac:dyDescent="0.3">
      <c r="A568">
        <v>7546</v>
      </c>
      <c r="B568" t="s">
        <v>104</v>
      </c>
      <c r="C568" s="1">
        <v>45589</v>
      </c>
      <c r="D568" s="1">
        <v>45636</v>
      </c>
      <c r="E568">
        <v>7.99</v>
      </c>
      <c r="F568">
        <v>48</v>
      </c>
      <c r="G568" t="s">
        <v>43</v>
      </c>
      <c r="H568">
        <v>1</v>
      </c>
      <c r="I568">
        <v>4</v>
      </c>
      <c r="J568" t="b">
        <v>0</v>
      </c>
      <c r="K568">
        <v>484</v>
      </c>
      <c r="L568">
        <v>131</v>
      </c>
      <c r="M568" t="s">
        <v>48</v>
      </c>
      <c r="N568" t="s">
        <v>64</v>
      </c>
      <c r="O568" t="s">
        <v>56</v>
      </c>
      <c r="P568">
        <v>68</v>
      </c>
      <c r="Q568">
        <v>4</v>
      </c>
      <c r="R568" t="b">
        <v>0</v>
      </c>
      <c r="S568" t="s">
        <v>28</v>
      </c>
      <c r="T568">
        <v>1535</v>
      </c>
      <c r="U568" t="s">
        <v>51</v>
      </c>
      <c r="V568" t="s">
        <v>52</v>
      </c>
      <c r="W568" t="s">
        <v>75</v>
      </c>
    </row>
    <row r="569" spans="1:23" x14ac:dyDescent="0.3">
      <c r="A569">
        <v>4213</v>
      </c>
      <c r="B569" t="s">
        <v>321</v>
      </c>
      <c r="C569" s="1">
        <v>45268</v>
      </c>
      <c r="D569" s="1">
        <v>45619</v>
      </c>
      <c r="E569">
        <v>7.99</v>
      </c>
      <c r="F569">
        <v>141</v>
      </c>
      <c r="G569" t="s">
        <v>24</v>
      </c>
      <c r="H569">
        <v>4</v>
      </c>
      <c r="I569">
        <v>2</v>
      </c>
      <c r="J569" t="b">
        <v>1</v>
      </c>
      <c r="K569">
        <v>379</v>
      </c>
      <c r="L569">
        <v>35</v>
      </c>
      <c r="M569" t="s">
        <v>39</v>
      </c>
      <c r="N569" t="s">
        <v>64</v>
      </c>
      <c r="O569" t="s">
        <v>27</v>
      </c>
      <c r="P569">
        <v>29</v>
      </c>
      <c r="Q569">
        <v>4.9000000000000004</v>
      </c>
      <c r="R569" t="b">
        <v>1</v>
      </c>
      <c r="S569" t="s">
        <v>28</v>
      </c>
      <c r="T569">
        <v>3840</v>
      </c>
      <c r="U569" t="s">
        <v>65</v>
      </c>
      <c r="V569" t="s">
        <v>60</v>
      </c>
      <c r="W569" t="s">
        <v>31</v>
      </c>
    </row>
    <row r="570" spans="1:23" x14ac:dyDescent="0.3">
      <c r="A570">
        <v>3135</v>
      </c>
      <c r="B570" t="s">
        <v>203</v>
      </c>
      <c r="C570" s="1">
        <v>45450</v>
      </c>
      <c r="D570" s="1">
        <v>45620</v>
      </c>
      <c r="E570">
        <v>7.99</v>
      </c>
      <c r="F570">
        <v>368</v>
      </c>
      <c r="G570" t="s">
        <v>55</v>
      </c>
      <c r="H570">
        <v>5</v>
      </c>
      <c r="I570">
        <v>1</v>
      </c>
      <c r="J570" t="b">
        <v>0</v>
      </c>
      <c r="K570">
        <v>481</v>
      </c>
      <c r="L570">
        <v>58</v>
      </c>
      <c r="M570" t="s">
        <v>74</v>
      </c>
      <c r="N570" t="s">
        <v>64</v>
      </c>
      <c r="O570" t="s">
        <v>34</v>
      </c>
      <c r="P570">
        <v>97</v>
      </c>
      <c r="Q570">
        <v>4</v>
      </c>
      <c r="R570" t="b">
        <v>0</v>
      </c>
      <c r="S570" t="s">
        <v>28</v>
      </c>
      <c r="T570">
        <v>1108</v>
      </c>
      <c r="U570" t="s">
        <v>35</v>
      </c>
      <c r="V570" t="s">
        <v>36</v>
      </c>
      <c r="W570" t="s">
        <v>37</v>
      </c>
    </row>
    <row r="571" spans="1:23" x14ac:dyDescent="0.3">
      <c r="A571">
        <v>9916</v>
      </c>
      <c r="B571" t="s">
        <v>299</v>
      </c>
      <c r="C571" s="1">
        <v>45350</v>
      </c>
      <c r="D571" s="1">
        <v>45617</v>
      </c>
      <c r="E571">
        <v>7.99</v>
      </c>
      <c r="F571">
        <v>227</v>
      </c>
      <c r="G571" t="s">
        <v>62</v>
      </c>
      <c r="H571">
        <v>5</v>
      </c>
      <c r="I571">
        <v>2</v>
      </c>
      <c r="J571" t="b">
        <v>1</v>
      </c>
      <c r="K571">
        <v>969</v>
      </c>
      <c r="L571">
        <v>175</v>
      </c>
      <c r="M571" t="s">
        <v>44</v>
      </c>
      <c r="N571" t="s">
        <v>49</v>
      </c>
      <c r="O571" t="s">
        <v>50</v>
      </c>
      <c r="P571">
        <v>11</v>
      </c>
      <c r="Q571">
        <v>5</v>
      </c>
      <c r="R571" t="b">
        <v>0</v>
      </c>
      <c r="S571" t="s">
        <v>28</v>
      </c>
      <c r="T571">
        <v>4510</v>
      </c>
      <c r="U571" t="s">
        <v>51</v>
      </c>
      <c r="V571" t="s">
        <v>30</v>
      </c>
      <c r="W571" t="s">
        <v>37</v>
      </c>
    </row>
    <row r="572" spans="1:23" x14ac:dyDescent="0.3">
      <c r="A572">
        <v>2784</v>
      </c>
      <c r="B572" t="s">
        <v>99</v>
      </c>
      <c r="C572" s="1">
        <v>45250</v>
      </c>
      <c r="D572" s="1">
        <v>45639</v>
      </c>
      <c r="E572">
        <v>7.99</v>
      </c>
      <c r="F572">
        <v>484</v>
      </c>
      <c r="G572" t="s">
        <v>46</v>
      </c>
      <c r="H572">
        <v>5</v>
      </c>
      <c r="I572">
        <v>2</v>
      </c>
      <c r="J572" t="b">
        <v>1</v>
      </c>
      <c r="K572">
        <v>52</v>
      </c>
      <c r="L572">
        <v>151</v>
      </c>
      <c r="M572" t="s">
        <v>74</v>
      </c>
      <c r="N572" t="s">
        <v>26</v>
      </c>
      <c r="O572" t="s">
        <v>67</v>
      </c>
      <c r="P572">
        <v>15</v>
      </c>
      <c r="Q572">
        <v>3.1</v>
      </c>
      <c r="R572" t="b">
        <v>0</v>
      </c>
      <c r="S572" t="s">
        <v>28</v>
      </c>
      <c r="T572">
        <v>1042</v>
      </c>
      <c r="U572" t="s">
        <v>65</v>
      </c>
      <c r="V572" t="s">
        <v>52</v>
      </c>
      <c r="W572" t="s">
        <v>31</v>
      </c>
    </row>
    <row r="573" spans="1:23" x14ac:dyDescent="0.3">
      <c r="A573">
        <v>5916</v>
      </c>
      <c r="B573" t="s">
        <v>105</v>
      </c>
      <c r="C573" s="1">
        <v>45553</v>
      </c>
      <c r="D573" s="1">
        <v>45635</v>
      </c>
      <c r="E573">
        <v>15.99</v>
      </c>
      <c r="F573">
        <v>14</v>
      </c>
      <c r="G573" t="s">
        <v>33</v>
      </c>
      <c r="H573">
        <v>4</v>
      </c>
      <c r="I573">
        <v>2</v>
      </c>
      <c r="J573" t="b">
        <v>1</v>
      </c>
      <c r="K573">
        <v>57</v>
      </c>
      <c r="L573">
        <v>175</v>
      </c>
      <c r="M573" t="s">
        <v>63</v>
      </c>
      <c r="N573" t="s">
        <v>40</v>
      </c>
      <c r="O573" t="s">
        <v>67</v>
      </c>
      <c r="P573">
        <v>41</v>
      </c>
      <c r="Q573">
        <v>3.4</v>
      </c>
      <c r="R573" t="b">
        <v>1</v>
      </c>
      <c r="S573" t="s">
        <v>28</v>
      </c>
      <c r="T573">
        <v>2175</v>
      </c>
      <c r="U573" t="s">
        <v>57</v>
      </c>
      <c r="V573" t="s">
        <v>52</v>
      </c>
      <c r="W573" t="s">
        <v>37</v>
      </c>
    </row>
    <row r="574" spans="1:23" x14ac:dyDescent="0.3">
      <c r="A574">
        <v>1674</v>
      </c>
      <c r="B574" t="s">
        <v>120</v>
      </c>
      <c r="C574" s="1">
        <v>45488</v>
      </c>
      <c r="D574" s="1">
        <v>45641</v>
      </c>
      <c r="E574">
        <v>11.99</v>
      </c>
      <c r="F574">
        <v>328</v>
      </c>
      <c r="G574" t="s">
        <v>62</v>
      </c>
      <c r="H574">
        <v>2</v>
      </c>
      <c r="I574">
        <v>2</v>
      </c>
      <c r="J574" t="b">
        <v>1</v>
      </c>
      <c r="K574">
        <v>415</v>
      </c>
      <c r="L574">
        <v>162</v>
      </c>
      <c r="M574" t="s">
        <v>44</v>
      </c>
      <c r="N574" t="s">
        <v>26</v>
      </c>
      <c r="O574" t="s">
        <v>67</v>
      </c>
      <c r="P574">
        <v>19</v>
      </c>
      <c r="Q574">
        <v>4.4000000000000004</v>
      </c>
      <c r="R574" t="b">
        <v>1</v>
      </c>
      <c r="S574" t="s">
        <v>28</v>
      </c>
      <c r="T574">
        <v>1311</v>
      </c>
      <c r="U574" t="s">
        <v>29</v>
      </c>
      <c r="V574" t="s">
        <v>30</v>
      </c>
      <c r="W574" t="s">
        <v>53</v>
      </c>
    </row>
    <row r="575" spans="1:23" x14ac:dyDescent="0.3">
      <c r="A575">
        <v>2095</v>
      </c>
      <c r="B575" t="s">
        <v>220</v>
      </c>
      <c r="C575" s="1">
        <v>45517</v>
      </c>
      <c r="D575" s="1">
        <v>45625</v>
      </c>
      <c r="E575">
        <v>11.99</v>
      </c>
      <c r="F575">
        <v>279</v>
      </c>
      <c r="G575" t="s">
        <v>79</v>
      </c>
      <c r="H575">
        <v>5</v>
      </c>
      <c r="I575">
        <v>5</v>
      </c>
      <c r="J575" t="b">
        <v>1</v>
      </c>
      <c r="K575">
        <v>285</v>
      </c>
      <c r="L575">
        <v>92</v>
      </c>
      <c r="M575" t="s">
        <v>39</v>
      </c>
      <c r="N575" t="s">
        <v>64</v>
      </c>
      <c r="O575" t="s">
        <v>41</v>
      </c>
      <c r="P575">
        <v>81</v>
      </c>
      <c r="Q575">
        <v>4.7</v>
      </c>
      <c r="R575" t="b">
        <v>1</v>
      </c>
      <c r="S575" t="s">
        <v>28</v>
      </c>
      <c r="T575">
        <v>4201</v>
      </c>
      <c r="U575" t="s">
        <v>57</v>
      </c>
      <c r="V575" t="s">
        <v>68</v>
      </c>
      <c r="W575" t="s">
        <v>31</v>
      </c>
    </row>
    <row r="576" spans="1:23" x14ac:dyDescent="0.3">
      <c r="A576">
        <v>9594</v>
      </c>
      <c r="B576" t="s">
        <v>99</v>
      </c>
      <c r="C576" s="1">
        <v>45583</v>
      </c>
      <c r="D576" s="1">
        <v>45629</v>
      </c>
      <c r="E576">
        <v>7.99</v>
      </c>
      <c r="F576">
        <v>158</v>
      </c>
      <c r="G576" t="s">
        <v>24</v>
      </c>
      <c r="H576">
        <v>2</v>
      </c>
      <c r="I576">
        <v>5</v>
      </c>
      <c r="J576" t="b">
        <v>1</v>
      </c>
      <c r="K576">
        <v>861</v>
      </c>
      <c r="L576">
        <v>125</v>
      </c>
      <c r="M576" t="s">
        <v>74</v>
      </c>
      <c r="N576" t="s">
        <v>49</v>
      </c>
      <c r="O576" t="s">
        <v>56</v>
      </c>
      <c r="P576">
        <v>95</v>
      </c>
      <c r="Q576">
        <v>4.4000000000000004</v>
      </c>
      <c r="R576" t="b">
        <v>1</v>
      </c>
      <c r="S576" t="s">
        <v>28</v>
      </c>
      <c r="T576">
        <v>513</v>
      </c>
      <c r="U576" t="s">
        <v>57</v>
      </c>
      <c r="V576" t="s">
        <v>52</v>
      </c>
      <c r="W576" t="s">
        <v>31</v>
      </c>
    </row>
    <row r="577" spans="1:23" x14ac:dyDescent="0.3">
      <c r="A577">
        <v>6750</v>
      </c>
      <c r="B577" t="s">
        <v>23</v>
      </c>
      <c r="C577" s="1">
        <v>45135</v>
      </c>
      <c r="D577" s="1">
        <v>45628</v>
      </c>
      <c r="E577">
        <v>7.99</v>
      </c>
      <c r="F577">
        <v>422</v>
      </c>
      <c r="G577" t="s">
        <v>43</v>
      </c>
      <c r="H577">
        <v>3</v>
      </c>
      <c r="I577">
        <v>5</v>
      </c>
      <c r="J577" t="b">
        <v>0</v>
      </c>
      <c r="K577">
        <v>399</v>
      </c>
      <c r="L577">
        <v>27</v>
      </c>
      <c r="M577" t="s">
        <v>74</v>
      </c>
      <c r="N577" t="s">
        <v>49</v>
      </c>
      <c r="O577" t="s">
        <v>56</v>
      </c>
      <c r="P577">
        <v>12</v>
      </c>
      <c r="Q577">
        <v>4.4000000000000004</v>
      </c>
      <c r="R577" t="b">
        <v>1</v>
      </c>
      <c r="S577" t="s">
        <v>28</v>
      </c>
      <c r="T577">
        <v>1330</v>
      </c>
      <c r="U577" t="s">
        <v>29</v>
      </c>
      <c r="V577" t="s">
        <v>52</v>
      </c>
      <c r="W577" t="s">
        <v>75</v>
      </c>
    </row>
    <row r="578" spans="1:23" x14ac:dyDescent="0.3">
      <c r="A578">
        <v>7235</v>
      </c>
      <c r="B578" t="s">
        <v>116</v>
      </c>
      <c r="C578" s="1">
        <v>44929</v>
      </c>
      <c r="D578" s="1">
        <v>45625</v>
      </c>
      <c r="E578">
        <v>7.99</v>
      </c>
      <c r="F578">
        <v>235</v>
      </c>
      <c r="G578" t="s">
        <v>55</v>
      </c>
      <c r="H578">
        <v>1</v>
      </c>
      <c r="I578">
        <v>2</v>
      </c>
      <c r="J578" t="b">
        <v>0</v>
      </c>
      <c r="K578">
        <v>765</v>
      </c>
      <c r="L578">
        <v>159</v>
      </c>
      <c r="M578" t="s">
        <v>44</v>
      </c>
      <c r="N578" t="s">
        <v>49</v>
      </c>
      <c r="O578" t="s">
        <v>27</v>
      </c>
      <c r="P578">
        <v>77</v>
      </c>
      <c r="Q578">
        <v>4.2</v>
      </c>
      <c r="R578" t="b">
        <v>0</v>
      </c>
      <c r="S578" t="s">
        <v>28</v>
      </c>
      <c r="T578">
        <v>3689</v>
      </c>
      <c r="U578" t="s">
        <v>51</v>
      </c>
      <c r="V578" t="s">
        <v>60</v>
      </c>
      <c r="W578" t="s">
        <v>37</v>
      </c>
    </row>
    <row r="579" spans="1:23" x14ac:dyDescent="0.3">
      <c r="A579">
        <v>3910</v>
      </c>
      <c r="B579" t="s">
        <v>169</v>
      </c>
      <c r="C579" s="1">
        <v>45291</v>
      </c>
      <c r="D579" s="1">
        <v>45634</v>
      </c>
      <c r="E579">
        <v>11.99</v>
      </c>
      <c r="F579">
        <v>331</v>
      </c>
      <c r="G579" t="s">
        <v>79</v>
      </c>
      <c r="H579">
        <v>1</v>
      </c>
      <c r="I579">
        <v>2</v>
      </c>
      <c r="J579" t="b">
        <v>0</v>
      </c>
      <c r="K579">
        <v>667</v>
      </c>
      <c r="L579">
        <v>43</v>
      </c>
      <c r="M579" t="s">
        <v>59</v>
      </c>
      <c r="N579" t="s">
        <v>40</v>
      </c>
      <c r="O579" t="s">
        <v>41</v>
      </c>
      <c r="P579">
        <v>55</v>
      </c>
      <c r="Q579">
        <v>3.5</v>
      </c>
      <c r="R579" t="b">
        <v>0</v>
      </c>
      <c r="S579" t="s">
        <v>28</v>
      </c>
      <c r="T579">
        <v>670</v>
      </c>
      <c r="U579" t="s">
        <v>65</v>
      </c>
      <c r="V579" t="s">
        <v>52</v>
      </c>
      <c r="W579" t="s">
        <v>75</v>
      </c>
    </row>
    <row r="580" spans="1:23" x14ac:dyDescent="0.3">
      <c r="A580">
        <v>8190</v>
      </c>
      <c r="B580" t="s">
        <v>322</v>
      </c>
      <c r="C580" s="1">
        <v>45533</v>
      </c>
      <c r="D580" s="1">
        <v>45635</v>
      </c>
      <c r="E580">
        <v>11.99</v>
      </c>
      <c r="F580">
        <v>148</v>
      </c>
      <c r="G580" t="s">
        <v>46</v>
      </c>
      <c r="H580">
        <v>4</v>
      </c>
      <c r="I580">
        <v>1</v>
      </c>
      <c r="J580" t="b">
        <v>1</v>
      </c>
      <c r="K580">
        <v>409</v>
      </c>
      <c r="L580">
        <v>38</v>
      </c>
      <c r="M580" t="s">
        <v>74</v>
      </c>
      <c r="N580" t="s">
        <v>49</v>
      </c>
      <c r="O580" t="s">
        <v>56</v>
      </c>
      <c r="P580">
        <v>37</v>
      </c>
      <c r="Q580">
        <v>3.1</v>
      </c>
      <c r="R580" t="b">
        <v>1</v>
      </c>
      <c r="S580" t="s">
        <v>28</v>
      </c>
      <c r="T580">
        <v>544</v>
      </c>
      <c r="U580" t="s">
        <v>51</v>
      </c>
      <c r="V580" t="s">
        <v>30</v>
      </c>
      <c r="W580" t="s">
        <v>37</v>
      </c>
    </row>
    <row r="581" spans="1:23" x14ac:dyDescent="0.3">
      <c r="A581">
        <v>5315</v>
      </c>
      <c r="B581" t="s">
        <v>323</v>
      </c>
      <c r="C581" s="1">
        <v>45100</v>
      </c>
      <c r="D581" s="1">
        <v>45615</v>
      </c>
      <c r="E581">
        <v>7.99</v>
      </c>
      <c r="F581">
        <v>198</v>
      </c>
      <c r="G581" t="s">
        <v>55</v>
      </c>
      <c r="H581">
        <v>4</v>
      </c>
      <c r="I581">
        <v>3</v>
      </c>
      <c r="J581" t="b">
        <v>0</v>
      </c>
      <c r="K581">
        <v>202</v>
      </c>
      <c r="L581">
        <v>26</v>
      </c>
      <c r="M581" t="s">
        <v>39</v>
      </c>
      <c r="N581" t="s">
        <v>64</v>
      </c>
      <c r="O581" t="s">
        <v>67</v>
      </c>
      <c r="P581">
        <v>52</v>
      </c>
      <c r="Q581">
        <v>4.8</v>
      </c>
      <c r="R581" t="b">
        <v>0</v>
      </c>
      <c r="S581" t="s">
        <v>28</v>
      </c>
      <c r="T581">
        <v>1392</v>
      </c>
      <c r="U581" t="s">
        <v>57</v>
      </c>
      <c r="V581" t="s">
        <v>36</v>
      </c>
      <c r="W581" t="s">
        <v>75</v>
      </c>
    </row>
    <row r="582" spans="1:23" x14ac:dyDescent="0.3">
      <c r="A582">
        <v>7503</v>
      </c>
      <c r="B582" t="s">
        <v>108</v>
      </c>
      <c r="C582" s="1">
        <v>45065</v>
      </c>
      <c r="D582" s="1">
        <v>45629</v>
      </c>
      <c r="E582">
        <v>15.99</v>
      </c>
      <c r="F582">
        <v>81</v>
      </c>
      <c r="G582" t="s">
        <v>55</v>
      </c>
      <c r="H582">
        <v>3</v>
      </c>
      <c r="I582">
        <v>4</v>
      </c>
      <c r="J582" t="b">
        <v>0</v>
      </c>
      <c r="K582">
        <v>208</v>
      </c>
      <c r="L582">
        <v>144</v>
      </c>
      <c r="M582" t="s">
        <v>74</v>
      </c>
      <c r="N582" t="s">
        <v>40</v>
      </c>
      <c r="O582" t="s">
        <v>56</v>
      </c>
      <c r="P582">
        <v>12</v>
      </c>
      <c r="Q582">
        <v>4.5999999999999996</v>
      </c>
      <c r="R582" t="b">
        <v>0</v>
      </c>
      <c r="S582" t="s">
        <v>28</v>
      </c>
      <c r="T582">
        <v>3199</v>
      </c>
      <c r="U582" t="s">
        <v>65</v>
      </c>
      <c r="V582" t="s">
        <v>36</v>
      </c>
      <c r="W582" t="s">
        <v>53</v>
      </c>
    </row>
    <row r="583" spans="1:23" x14ac:dyDescent="0.3">
      <c r="A583">
        <v>5788</v>
      </c>
      <c r="B583" t="s">
        <v>125</v>
      </c>
      <c r="C583" s="1">
        <v>45051</v>
      </c>
      <c r="D583" s="1">
        <v>45619</v>
      </c>
      <c r="E583">
        <v>11.99</v>
      </c>
      <c r="F583">
        <v>131</v>
      </c>
      <c r="G583" t="s">
        <v>55</v>
      </c>
      <c r="H583">
        <v>3</v>
      </c>
      <c r="I583">
        <v>3</v>
      </c>
      <c r="J583" t="b">
        <v>1</v>
      </c>
      <c r="K583">
        <v>382</v>
      </c>
      <c r="L583">
        <v>50</v>
      </c>
      <c r="M583" t="s">
        <v>63</v>
      </c>
      <c r="N583" t="s">
        <v>49</v>
      </c>
      <c r="O583" t="s">
        <v>50</v>
      </c>
      <c r="P583">
        <v>47</v>
      </c>
      <c r="Q583">
        <v>4.8</v>
      </c>
      <c r="R583" t="b">
        <v>0</v>
      </c>
      <c r="S583" t="s">
        <v>28</v>
      </c>
      <c r="T583">
        <v>4204</v>
      </c>
      <c r="U583" t="s">
        <v>57</v>
      </c>
      <c r="V583" t="s">
        <v>36</v>
      </c>
      <c r="W583" t="s">
        <v>53</v>
      </c>
    </row>
    <row r="584" spans="1:23" x14ac:dyDescent="0.3">
      <c r="A584">
        <v>7030</v>
      </c>
      <c r="B584" t="s">
        <v>324</v>
      </c>
      <c r="C584" s="1">
        <v>45370</v>
      </c>
      <c r="D584" s="1">
        <v>45619</v>
      </c>
      <c r="E584">
        <v>15.99</v>
      </c>
      <c r="F584">
        <v>210</v>
      </c>
      <c r="G584" t="s">
        <v>46</v>
      </c>
      <c r="H584">
        <v>3</v>
      </c>
      <c r="I584">
        <v>4</v>
      </c>
      <c r="J584" t="b">
        <v>0</v>
      </c>
      <c r="K584">
        <v>666</v>
      </c>
      <c r="L584">
        <v>164</v>
      </c>
      <c r="M584" t="s">
        <v>25</v>
      </c>
      <c r="N584" t="s">
        <v>26</v>
      </c>
      <c r="O584" t="s">
        <v>41</v>
      </c>
      <c r="P584">
        <v>38</v>
      </c>
      <c r="Q584">
        <v>4.2</v>
      </c>
      <c r="R584" t="b">
        <v>0</v>
      </c>
      <c r="S584" t="s">
        <v>28</v>
      </c>
      <c r="T584">
        <v>1461</v>
      </c>
      <c r="U584" t="s">
        <v>51</v>
      </c>
      <c r="V584" t="s">
        <v>68</v>
      </c>
      <c r="W584" t="s">
        <v>31</v>
      </c>
    </row>
    <row r="585" spans="1:23" x14ac:dyDescent="0.3">
      <c r="A585">
        <v>6619</v>
      </c>
      <c r="B585" t="s">
        <v>248</v>
      </c>
      <c r="C585" s="1">
        <v>45460</v>
      </c>
      <c r="D585" s="1">
        <v>45642</v>
      </c>
      <c r="E585">
        <v>15.99</v>
      </c>
      <c r="F585">
        <v>301</v>
      </c>
      <c r="G585" t="s">
        <v>46</v>
      </c>
      <c r="H585">
        <v>2</v>
      </c>
      <c r="I585">
        <v>1</v>
      </c>
      <c r="J585" t="b">
        <v>1</v>
      </c>
      <c r="K585">
        <v>855</v>
      </c>
      <c r="L585">
        <v>46</v>
      </c>
      <c r="M585" t="s">
        <v>48</v>
      </c>
      <c r="N585" t="s">
        <v>64</v>
      </c>
      <c r="O585" t="s">
        <v>50</v>
      </c>
      <c r="P585">
        <v>26</v>
      </c>
      <c r="Q585">
        <v>4.4000000000000004</v>
      </c>
      <c r="R585" t="b">
        <v>0</v>
      </c>
      <c r="S585" t="s">
        <v>28</v>
      </c>
      <c r="T585">
        <v>658</v>
      </c>
      <c r="U585" t="s">
        <v>29</v>
      </c>
      <c r="V585" t="s">
        <v>30</v>
      </c>
      <c r="W585" t="s">
        <v>31</v>
      </c>
    </row>
    <row r="586" spans="1:23" x14ac:dyDescent="0.3">
      <c r="A586">
        <v>6319</v>
      </c>
      <c r="B586" t="s">
        <v>325</v>
      </c>
      <c r="C586" s="1">
        <v>44988</v>
      </c>
      <c r="D586" s="1">
        <v>45642</v>
      </c>
      <c r="E586">
        <v>7.99</v>
      </c>
      <c r="F586">
        <v>466</v>
      </c>
      <c r="G586" t="s">
        <v>79</v>
      </c>
      <c r="H586">
        <v>4</v>
      </c>
      <c r="I586">
        <v>1</v>
      </c>
      <c r="J586" t="b">
        <v>1</v>
      </c>
      <c r="K586">
        <v>592</v>
      </c>
      <c r="L586">
        <v>67</v>
      </c>
      <c r="M586" t="s">
        <v>74</v>
      </c>
      <c r="N586" t="s">
        <v>40</v>
      </c>
      <c r="O586" t="s">
        <v>67</v>
      </c>
      <c r="P586">
        <v>81</v>
      </c>
      <c r="Q586">
        <v>4.8</v>
      </c>
      <c r="R586" t="b">
        <v>0</v>
      </c>
      <c r="S586" t="s">
        <v>28</v>
      </c>
      <c r="T586">
        <v>423</v>
      </c>
      <c r="U586" t="s">
        <v>35</v>
      </c>
      <c r="V586" t="s">
        <v>60</v>
      </c>
      <c r="W586" t="s">
        <v>53</v>
      </c>
    </row>
    <row r="587" spans="1:23" x14ac:dyDescent="0.3">
      <c r="A587">
        <v>6268</v>
      </c>
      <c r="B587" t="s">
        <v>198</v>
      </c>
      <c r="C587" s="1">
        <v>45308</v>
      </c>
      <c r="D587" s="1">
        <v>45622</v>
      </c>
      <c r="E587">
        <v>15.99</v>
      </c>
      <c r="F587">
        <v>336</v>
      </c>
      <c r="G587" t="s">
        <v>55</v>
      </c>
      <c r="H587">
        <v>5</v>
      </c>
      <c r="I587">
        <v>2</v>
      </c>
      <c r="J587" t="b">
        <v>0</v>
      </c>
      <c r="K587">
        <v>546</v>
      </c>
      <c r="L587">
        <v>16</v>
      </c>
      <c r="M587" t="s">
        <v>48</v>
      </c>
      <c r="N587" t="s">
        <v>26</v>
      </c>
      <c r="O587" t="s">
        <v>56</v>
      </c>
      <c r="P587">
        <v>31</v>
      </c>
      <c r="Q587">
        <v>3.6</v>
      </c>
      <c r="R587" t="b">
        <v>1</v>
      </c>
      <c r="S587" t="s">
        <v>28</v>
      </c>
      <c r="T587">
        <v>2824</v>
      </c>
      <c r="U587" t="s">
        <v>29</v>
      </c>
      <c r="V587" t="s">
        <v>68</v>
      </c>
      <c r="W587" t="s">
        <v>75</v>
      </c>
    </row>
    <row r="588" spans="1:23" x14ac:dyDescent="0.3">
      <c r="A588">
        <v>5016</v>
      </c>
      <c r="B588" t="s">
        <v>255</v>
      </c>
      <c r="C588" s="1">
        <v>45136</v>
      </c>
      <c r="D588" s="1">
        <v>45637</v>
      </c>
      <c r="E588">
        <v>11.99</v>
      </c>
      <c r="F588">
        <v>280</v>
      </c>
      <c r="G588" t="s">
        <v>62</v>
      </c>
      <c r="H588">
        <v>4</v>
      </c>
      <c r="I588">
        <v>3</v>
      </c>
      <c r="J588" t="b">
        <v>0</v>
      </c>
      <c r="K588">
        <v>633</v>
      </c>
      <c r="L588">
        <v>83</v>
      </c>
      <c r="M588" t="s">
        <v>25</v>
      </c>
      <c r="N588" t="s">
        <v>26</v>
      </c>
      <c r="O588" t="s">
        <v>41</v>
      </c>
      <c r="P588">
        <v>49</v>
      </c>
      <c r="Q588">
        <v>3.3</v>
      </c>
      <c r="R588" t="b">
        <v>0</v>
      </c>
      <c r="S588" t="s">
        <v>28</v>
      </c>
      <c r="T588">
        <v>2657</v>
      </c>
      <c r="U588" t="s">
        <v>51</v>
      </c>
      <c r="V588" t="s">
        <v>68</v>
      </c>
      <c r="W588" t="s">
        <v>75</v>
      </c>
    </row>
    <row r="589" spans="1:23" x14ac:dyDescent="0.3">
      <c r="A589">
        <v>3888</v>
      </c>
      <c r="B589" t="s">
        <v>119</v>
      </c>
      <c r="C589" s="1">
        <v>45064</v>
      </c>
      <c r="D589" s="1">
        <v>45640</v>
      </c>
      <c r="E589">
        <v>15.99</v>
      </c>
      <c r="F589">
        <v>495</v>
      </c>
      <c r="G589" t="s">
        <v>24</v>
      </c>
      <c r="H589">
        <v>3</v>
      </c>
      <c r="I589">
        <v>2</v>
      </c>
      <c r="J589" t="b">
        <v>1</v>
      </c>
      <c r="K589">
        <v>883</v>
      </c>
      <c r="L589">
        <v>60</v>
      </c>
      <c r="M589" t="s">
        <v>59</v>
      </c>
      <c r="N589" t="s">
        <v>64</v>
      </c>
      <c r="O589" t="s">
        <v>56</v>
      </c>
      <c r="P589">
        <v>10</v>
      </c>
      <c r="Q589">
        <v>4.5</v>
      </c>
      <c r="R589" t="b">
        <v>0</v>
      </c>
      <c r="S589" t="s">
        <v>28</v>
      </c>
      <c r="T589">
        <v>2213</v>
      </c>
      <c r="U589" t="s">
        <v>65</v>
      </c>
      <c r="V589" t="s">
        <v>68</v>
      </c>
      <c r="W589" t="s">
        <v>37</v>
      </c>
    </row>
    <row r="590" spans="1:23" x14ac:dyDescent="0.3">
      <c r="A590">
        <v>9918</v>
      </c>
      <c r="B590" t="s">
        <v>153</v>
      </c>
      <c r="C590" s="1">
        <v>45426</v>
      </c>
      <c r="D590" s="1">
        <v>45638</v>
      </c>
      <c r="E590">
        <v>11.99</v>
      </c>
      <c r="F590">
        <v>144</v>
      </c>
      <c r="G590" t="s">
        <v>46</v>
      </c>
      <c r="H590">
        <v>5</v>
      </c>
      <c r="I590">
        <v>6</v>
      </c>
      <c r="J590" t="b">
        <v>0</v>
      </c>
      <c r="K590">
        <v>235</v>
      </c>
      <c r="L590">
        <v>88</v>
      </c>
      <c r="M590" t="s">
        <v>48</v>
      </c>
      <c r="N590" t="s">
        <v>26</v>
      </c>
      <c r="O590" t="s">
        <v>27</v>
      </c>
      <c r="P590">
        <v>18</v>
      </c>
      <c r="Q590">
        <v>3.1</v>
      </c>
      <c r="R590" t="b">
        <v>1</v>
      </c>
      <c r="S590" t="s">
        <v>28</v>
      </c>
      <c r="T590">
        <v>3455</v>
      </c>
      <c r="U590" t="s">
        <v>57</v>
      </c>
      <c r="V590" t="s">
        <v>52</v>
      </c>
      <c r="W590" t="s">
        <v>53</v>
      </c>
    </row>
    <row r="591" spans="1:23" x14ac:dyDescent="0.3">
      <c r="A591">
        <v>7305</v>
      </c>
      <c r="B591" t="s">
        <v>146</v>
      </c>
      <c r="C591" s="1">
        <v>44987</v>
      </c>
      <c r="D591" s="1">
        <v>45628</v>
      </c>
      <c r="E591">
        <v>7.99</v>
      </c>
      <c r="F591">
        <v>165</v>
      </c>
      <c r="G591" t="s">
        <v>79</v>
      </c>
      <c r="H591">
        <v>5</v>
      </c>
      <c r="I591">
        <v>4</v>
      </c>
      <c r="J591" t="b">
        <v>0</v>
      </c>
      <c r="K591">
        <v>267</v>
      </c>
      <c r="L591">
        <v>146</v>
      </c>
      <c r="M591" t="s">
        <v>25</v>
      </c>
      <c r="N591" t="s">
        <v>49</v>
      </c>
      <c r="O591" t="s">
        <v>50</v>
      </c>
      <c r="P591">
        <v>34</v>
      </c>
      <c r="Q591">
        <v>4.2</v>
      </c>
      <c r="R591" t="b">
        <v>1</v>
      </c>
      <c r="S591" t="s">
        <v>28</v>
      </c>
      <c r="T591">
        <v>3334</v>
      </c>
      <c r="U591" t="s">
        <v>65</v>
      </c>
      <c r="V591" t="s">
        <v>36</v>
      </c>
      <c r="W591" t="s">
        <v>37</v>
      </c>
    </row>
    <row r="592" spans="1:23" x14ac:dyDescent="0.3">
      <c r="A592">
        <v>5719</v>
      </c>
      <c r="B592" t="s">
        <v>299</v>
      </c>
      <c r="C592" s="1">
        <v>45161</v>
      </c>
      <c r="D592" s="1">
        <v>45642</v>
      </c>
      <c r="E592">
        <v>11.99</v>
      </c>
      <c r="F592">
        <v>479</v>
      </c>
      <c r="G592" t="s">
        <v>46</v>
      </c>
      <c r="H592">
        <v>5</v>
      </c>
      <c r="I592">
        <v>2</v>
      </c>
      <c r="J592" t="b">
        <v>0</v>
      </c>
      <c r="K592">
        <v>710</v>
      </c>
      <c r="L592">
        <v>68</v>
      </c>
      <c r="M592" t="s">
        <v>63</v>
      </c>
      <c r="N592" t="s">
        <v>64</v>
      </c>
      <c r="O592" t="s">
        <v>67</v>
      </c>
      <c r="P592">
        <v>54</v>
      </c>
      <c r="Q592">
        <v>4.5999999999999996</v>
      </c>
      <c r="R592" t="b">
        <v>0</v>
      </c>
      <c r="S592" t="s">
        <v>28</v>
      </c>
      <c r="T592">
        <v>105</v>
      </c>
      <c r="U592" t="s">
        <v>65</v>
      </c>
      <c r="V592" t="s">
        <v>60</v>
      </c>
      <c r="W592" t="s">
        <v>75</v>
      </c>
    </row>
    <row r="593" spans="1:23" x14ac:dyDescent="0.3">
      <c r="A593">
        <v>2334</v>
      </c>
      <c r="B593" t="s">
        <v>271</v>
      </c>
      <c r="C593" s="1">
        <v>45348</v>
      </c>
      <c r="D593" s="1">
        <v>45620</v>
      </c>
      <c r="E593">
        <v>11.99</v>
      </c>
      <c r="F593">
        <v>285</v>
      </c>
      <c r="G593" t="s">
        <v>62</v>
      </c>
      <c r="H593">
        <v>2</v>
      </c>
      <c r="I593">
        <v>4</v>
      </c>
      <c r="J593" t="b">
        <v>0</v>
      </c>
      <c r="K593">
        <v>805</v>
      </c>
      <c r="L593">
        <v>42</v>
      </c>
      <c r="M593" t="s">
        <v>44</v>
      </c>
      <c r="N593" t="s">
        <v>40</v>
      </c>
      <c r="O593" t="s">
        <v>27</v>
      </c>
      <c r="P593">
        <v>90</v>
      </c>
      <c r="Q593">
        <v>4.5</v>
      </c>
      <c r="R593" t="b">
        <v>0</v>
      </c>
      <c r="S593" t="s">
        <v>28</v>
      </c>
      <c r="T593">
        <v>1404</v>
      </c>
      <c r="U593" t="s">
        <v>29</v>
      </c>
      <c r="V593" t="s">
        <v>60</v>
      </c>
      <c r="W593" t="s">
        <v>53</v>
      </c>
    </row>
    <row r="594" spans="1:23" x14ac:dyDescent="0.3">
      <c r="A594">
        <v>1006</v>
      </c>
      <c r="B594" t="s">
        <v>326</v>
      </c>
      <c r="C594" s="1">
        <v>45169</v>
      </c>
      <c r="D594" s="1">
        <v>45625</v>
      </c>
      <c r="E594">
        <v>11.99</v>
      </c>
      <c r="F594">
        <v>93</v>
      </c>
      <c r="G594" t="s">
        <v>33</v>
      </c>
      <c r="H594">
        <v>4</v>
      </c>
      <c r="I594">
        <v>6</v>
      </c>
      <c r="J594" t="b">
        <v>0</v>
      </c>
      <c r="K594">
        <v>209</v>
      </c>
      <c r="L594">
        <v>151</v>
      </c>
      <c r="M594" t="s">
        <v>48</v>
      </c>
      <c r="N594" t="s">
        <v>49</v>
      </c>
      <c r="O594" t="s">
        <v>56</v>
      </c>
      <c r="P594">
        <v>74</v>
      </c>
      <c r="Q594">
        <v>3</v>
      </c>
      <c r="R594" t="b">
        <v>0</v>
      </c>
      <c r="S594" t="s">
        <v>28</v>
      </c>
      <c r="T594">
        <v>1017</v>
      </c>
      <c r="U594" t="s">
        <v>51</v>
      </c>
      <c r="V594" t="s">
        <v>68</v>
      </c>
      <c r="W594" t="s">
        <v>53</v>
      </c>
    </row>
    <row r="595" spans="1:23" x14ac:dyDescent="0.3">
      <c r="A595">
        <v>6719</v>
      </c>
      <c r="B595" t="s">
        <v>85</v>
      </c>
      <c r="C595" s="1">
        <v>44945</v>
      </c>
      <c r="D595" s="1">
        <v>45621</v>
      </c>
      <c r="E595">
        <v>15.99</v>
      </c>
      <c r="F595">
        <v>299</v>
      </c>
      <c r="G595" t="s">
        <v>55</v>
      </c>
      <c r="H595">
        <v>5</v>
      </c>
      <c r="I595">
        <v>2</v>
      </c>
      <c r="J595" t="b">
        <v>0</v>
      </c>
      <c r="K595">
        <v>803</v>
      </c>
      <c r="L595">
        <v>197</v>
      </c>
      <c r="M595" t="s">
        <v>59</v>
      </c>
      <c r="N595" t="s">
        <v>64</v>
      </c>
      <c r="O595" t="s">
        <v>67</v>
      </c>
      <c r="P595">
        <v>58</v>
      </c>
      <c r="Q595">
        <v>4.8</v>
      </c>
      <c r="R595" t="b">
        <v>0</v>
      </c>
      <c r="S595" t="s">
        <v>28</v>
      </c>
      <c r="T595">
        <v>2812</v>
      </c>
      <c r="U595" t="s">
        <v>35</v>
      </c>
      <c r="V595" t="s">
        <v>36</v>
      </c>
      <c r="W595" t="s">
        <v>37</v>
      </c>
    </row>
    <row r="596" spans="1:23" x14ac:dyDescent="0.3">
      <c r="A596">
        <v>6138</v>
      </c>
      <c r="B596" t="s">
        <v>61</v>
      </c>
      <c r="C596" s="1">
        <v>45300</v>
      </c>
      <c r="D596" s="1">
        <v>45619</v>
      </c>
      <c r="E596">
        <v>15.99</v>
      </c>
      <c r="F596">
        <v>10</v>
      </c>
      <c r="G596" t="s">
        <v>46</v>
      </c>
      <c r="H596">
        <v>4</v>
      </c>
      <c r="I596">
        <v>6</v>
      </c>
      <c r="J596" t="b">
        <v>1</v>
      </c>
      <c r="K596">
        <v>236</v>
      </c>
      <c r="L596">
        <v>183</v>
      </c>
      <c r="M596" t="s">
        <v>48</v>
      </c>
      <c r="N596" t="s">
        <v>49</v>
      </c>
      <c r="O596" t="s">
        <v>56</v>
      </c>
      <c r="P596">
        <v>86</v>
      </c>
      <c r="Q596">
        <v>3.8</v>
      </c>
      <c r="R596" t="b">
        <v>0</v>
      </c>
      <c r="S596" t="s">
        <v>28</v>
      </c>
      <c r="T596">
        <v>959</v>
      </c>
      <c r="U596" t="s">
        <v>29</v>
      </c>
      <c r="V596" t="s">
        <v>60</v>
      </c>
      <c r="W596" t="s">
        <v>31</v>
      </c>
    </row>
    <row r="597" spans="1:23" x14ac:dyDescent="0.3">
      <c r="A597">
        <v>1255</v>
      </c>
      <c r="B597" t="s">
        <v>89</v>
      </c>
      <c r="C597" s="1">
        <v>45053</v>
      </c>
      <c r="D597" s="1">
        <v>45636</v>
      </c>
      <c r="E597">
        <v>11.99</v>
      </c>
      <c r="F597">
        <v>82</v>
      </c>
      <c r="G597" t="s">
        <v>46</v>
      </c>
      <c r="H597">
        <v>4</v>
      </c>
      <c r="I597">
        <v>3</v>
      </c>
      <c r="J597" t="b">
        <v>1</v>
      </c>
      <c r="K597">
        <v>264</v>
      </c>
      <c r="L597">
        <v>115</v>
      </c>
      <c r="M597" t="s">
        <v>48</v>
      </c>
      <c r="N597" t="s">
        <v>64</v>
      </c>
      <c r="O597" t="s">
        <v>67</v>
      </c>
      <c r="P597">
        <v>30</v>
      </c>
      <c r="Q597">
        <v>4.7</v>
      </c>
      <c r="R597" t="b">
        <v>1</v>
      </c>
      <c r="S597" t="s">
        <v>28</v>
      </c>
      <c r="T597">
        <v>1870</v>
      </c>
      <c r="U597" t="s">
        <v>51</v>
      </c>
      <c r="V597" t="s">
        <v>52</v>
      </c>
      <c r="W597" t="s">
        <v>75</v>
      </c>
    </row>
    <row r="598" spans="1:23" x14ac:dyDescent="0.3">
      <c r="A598">
        <v>5528</v>
      </c>
      <c r="B598" t="s">
        <v>121</v>
      </c>
      <c r="C598" s="1">
        <v>45372</v>
      </c>
      <c r="D598" s="1">
        <v>45636</v>
      </c>
      <c r="E598">
        <v>11.99</v>
      </c>
      <c r="F598">
        <v>27</v>
      </c>
      <c r="G598" t="s">
        <v>24</v>
      </c>
      <c r="H598">
        <v>3</v>
      </c>
      <c r="I598">
        <v>6</v>
      </c>
      <c r="J598" t="b">
        <v>1</v>
      </c>
      <c r="K598">
        <v>767</v>
      </c>
      <c r="L598">
        <v>5</v>
      </c>
      <c r="M598" t="s">
        <v>59</v>
      </c>
      <c r="N598" t="s">
        <v>40</v>
      </c>
      <c r="O598" t="s">
        <v>67</v>
      </c>
      <c r="P598">
        <v>69</v>
      </c>
      <c r="Q598">
        <v>3.2</v>
      </c>
      <c r="R598" t="b">
        <v>1</v>
      </c>
      <c r="S598" t="s">
        <v>28</v>
      </c>
      <c r="T598">
        <v>2984</v>
      </c>
      <c r="U598" t="s">
        <v>51</v>
      </c>
      <c r="V598" t="s">
        <v>60</v>
      </c>
      <c r="W598" t="s">
        <v>75</v>
      </c>
    </row>
    <row r="599" spans="1:23" x14ac:dyDescent="0.3">
      <c r="A599">
        <v>2517</v>
      </c>
      <c r="B599" t="s">
        <v>109</v>
      </c>
      <c r="C599" s="1">
        <v>45411</v>
      </c>
      <c r="D599" s="1">
        <v>45627</v>
      </c>
      <c r="E599">
        <v>7.99</v>
      </c>
      <c r="F599">
        <v>105</v>
      </c>
      <c r="G599" t="s">
        <v>43</v>
      </c>
      <c r="H599">
        <v>2</v>
      </c>
      <c r="I599">
        <v>1</v>
      </c>
      <c r="J599" t="b">
        <v>1</v>
      </c>
      <c r="K599">
        <v>247</v>
      </c>
      <c r="L599">
        <v>104</v>
      </c>
      <c r="M599" t="s">
        <v>74</v>
      </c>
      <c r="N599" t="s">
        <v>26</v>
      </c>
      <c r="O599" t="s">
        <v>50</v>
      </c>
      <c r="P599">
        <v>19</v>
      </c>
      <c r="Q599">
        <v>3.2</v>
      </c>
      <c r="R599" t="b">
        <v>1</v>
      </c>
      <c r="S599" t="s">
        <v>28</v>
      </c>
      <c r="T599">
        <v>3379</v>
      </c>
      <c r="U599" t="s">
        <v>29</v>
      </c>
      <c r="V599" t="s">
        <v>30</v>
      </c>
      <c r="W599" t="s">
        <v>75</v>
      </c>
    </row>
    <row r="600" spans="1:23" x14ac:dyDescent="0.3">
      <c r="A600">
        <v>9593</v>
      </c>
      <c r="B600" t="s">
        <v>327</v>
      </c>
      <c r="C600" s="1">
        <v>45211</v>
      </c>
      <c r="D600" s="1">
        <v>45620</v>
      </c>
      <c r="E600">
        <v>15.99</v>
      </c>
      <c r="F600">
        <v>330</v>
      </c>
      <c r="G600" t="s">
        <v>55</v>
      </c>
      <c r="H600">
        <v>3</v>
      </c>
      <c r="I600">
        <v>1</v>
      </c>
      <c r="J600" t="b">
        <v>1</v>
      </c>
      <c r="K600">
        <v>69</v>
      </c>
      <c r="L600">
        <v>101</v>
      </c>
      <c r="M600" t="s">
        <v>44</v>
      </c>
      <c r="N600" t="s">
        <v>26</v>
      </c>
      <c r="O600" t="s">
        <v>56</v>
      </c>
      <c r="P600">
        <v>38</v>
      </c>
      <c r="Q600">
        <v>3</v>
      </c>
      <c r="R600" t="b">
        <v>1</v>
      </c>
      <c r="S600" t="s">
        <v>28</v>
      </c>
      <c r="T600">
        <v>4990</v>
      </c>
      <c r="U600" t="s">
        <v>35</v>
      </c>
      <c r="V600" t="s">
        <v>68</v>
      </c>
      <c r="W600" t="s">
        <v>37</v>
      </c>
    </row>
    <row r="601" spans="1:23" x14ac:dyDescent="0.3">
      <c r="A601">
        <v>7507</v>
      </c>
      <c r="B601" t="s">
        <v>245</v>
      </c>
      <c r="C601" s="1">
        <v>45357</v>
      </c>
      <c r="D601" s="1">
        <v>45636</v>
      </c>
      <c r="E601">
        <v>11.99</v>
      </c>
      <c r="F601">
        <v>462</v>
      </c>
      <c r="G601" t="s">
        <v>46</v>
      </c>
      <c r="H601">
        <v>2</v>
      </c>
      <c r="I601">
        <v>4</v>
      </c>
      <c r="J601" t="b">
        <v>1</v>
      </c>
      <c r="K601">
        <v>958</v>
      </c>
      <c r="L601">
        <v>153</v>
      </c>
      <c r="M601" t="s">
        <v>74</v>
      </c>
      <c r="N601" t="s">
        <v>49</v>
      </c>
      <c r="O601" t="s">
        <v>34</v>
      </c>
      <c r="P601">
        <v>71</v>
      </c>
      <c r="Q601">
        <v>4.8</v>
      </c>
      <c r="R601" t="b">
        <v>0</v>
      </c>
      <c r="S601" t="s">
        <v>28</v>
      </c>
      <c r="T601">
        <v>2554</v>
      </c>
      <c r="U601" t="s">
        <v>51</v>
      </c>
      <c r="V601" t="s">
        <v>30</v>
      </c>
      <c r="W601" t="s">
        <v>37</v>
      </c>
    </row>
    <row r="602" spans="1:23" x14ac:dyDescent="0.3">
      <c r="A602">
        <v>2884</v>
      </c>
      <c r="B602" t="s">
        <v>310</v>
      </c>
      <c r="C602" s="1">
        <v>45260</v>
      </c>
      <c r="D602" s="1">
        <v>45641</v>
      </c>
      <c r="E602">
        <v>15.99</v>
      </c>
      <c r="F602">
        <v>250</v>
      </c>
      <c r="G602" t="s">
        <v>24</v>
      </c>
      <c r="H602">
        <v>4</v>
      </c>
      <c r="I602">
        <v>6</v>
      </c>
      <c r="J602" t="b">
        <v>0</v>
      </c>
      <c r="K602">
        <v>271</v>
      </c>
      <c r="L602">
        <v>50</v>
      </c>
      <c r="M602" t="s">
        <v>63</v>
      </c>
      <c r="N602" t="s">
        <v>64</v>
      </c>
      <c r="O602" t="s">
        <v>27</v>
      </c>
      <c r="P602">
        <v>34</v>
      </c>
      <c r="Q602">
        <v>4.7</v>
      </c>
      <c r="R602" t="b">
        <v>0</v>
      </c>
      <c r="S602" t="s">
        <v>28</v>
      </c>
      <c r="T602">
        <v>4307</v>
      </c>
      <c r="U602" t="s">
        <v>65</v>
      </c>
      <c r="V602" t="s">
        <v>52</v>
      </c>
      <c r="W602" t="s">
        <v>37</v>
      </c>
    </row>
    <row r="603" spans="1:23" x14ac:dyDescent="0.3">
      <c r="A603">
        <v>6374</v>
      </c>
      <c r="B603" t="s">
        <v>281</v>
      </c>
      <c r="C603" s="1">
        <v>45114</v>
      </c>
      <c r="D603" s="1">
        <v>45615</v>
      </c>
      <c r="E603">
        <v>15.99</v>
      </c>
      <c r="F603">
        <v>30</v>
      </c>
      <c r="G603" t="s">
        <v>24</v>
      </c>
      <c r="H603">
        <v>1</v>
      </c>
      <c r="I603">
        <v>1</v>
      </c>
      <c r="J603" t="b">
        <v>0</v>
      </c>
      <c r="K603">
        <v>178</v>
      </c>
      <c r="L603">
        <v>162</v>
      </c>
      <c r="M603" t="s">
        <v>48</v>
      </c>
      <c r="N603" t="s">
        <v>26</v>
      </c>
      <c r="O603" t="s">
        <v>41</v>
      </c>
      <c r="P603">
        <v>20</v>
      </c>
      <c r="Q603">
        <v>4.5999999999999996</v>
      </c>
      <c r="R603" t="b">
        <v>1</v>
      </c>
      <c r="S603" t="s">
        <v>28</v>
      </c>
      <c r="T603">
        <v>3124</v>
      </c>
      <c r="U603" t="s">
        <v>29</v>
      </c>
      <c r="V603" t="s">
        <v>60</v>
      </c>
      <c r="W603" t="s">
        <v>75</v>
      </c>
    </row>
    <row r="604" spans="1:23" x14ac:dyDescent="0.3">
      <c r="A604">
        <v>6888</v>
      </c>
      <c r="B604" t="s">
        <v>131</v>
      </c>
      <c r="C604" s="1">
        <v>45420</v>
      </c>
      <c r="D604" s="1">
        <v>45629</v>
      </c>
      <c r="E604">
        <v>15.99</v>
      </c>
      <c r="F604">
        <v>364</v>
      </c>
      <c r="G604" t="s">
        <v>62</v>
      </c>
      <c r="H604">
        <v>2</v>
      </c>
      <c r="I604">
        <v>5</v>
      </c>
      <c r="J604" t="b">
        <v>0</v>
      </c>
      <c r="K604">
        <v>865</v>
      </c>
      <c r="L604">
        <v>104</v>
      </c>
      <c r="M604" t="s">
        <v>25</v>
      </c>
      <c r="N604" t="s">
        <v>49</v>
      </c>
      <c r="O604" t="s">
        <v>41</v>
      </c>
      <c r="P604">
        <v>31</v>
      </c>
      <c r="Q604">
        <v>3.1</v>
      </c>
      <c r="R604" t="b">
        <v>0</v>
      </c>
      <c r="S604" t="s">
        <v>28</v>
      </c>
      <c r="T604">
        <v>1261</v>
      </c>
      <c r="U604" t="s">
        <v>29</v>
      </c>
      <c r="V604" t="s">
        <v>30</v>
      </c>
      <c r="W604" t="s">
        <v>31</v>
      </c>
    </row>
    <row r="605" spans="1:23" x14ac:dyDescent="0.3">
      <c r="A605">
        <v>2788</v>
      </c>
      <c r="B605" t="s">
        <v>328</v>
      </c>
      <c r="C605" s="1">
        <v>44966</v>
      </c>
      <c r="D605" s="1">
        <v>45632</v>
      </c>
      <c r="E605">
        <v>15.99</v>
      </c>
      <c r="F605">
        <v>404</v>
      </c>
      <c r="G605" t="s">
        <v>62</v>
      </c>
      <c r="H605">
        <v>2</v>
      </c>
      <c r="I605">
        <v>2</v>
      </c>
      <c r="J605" t="b">
        <v>0</v>
      </c>
      <c r="K605">
        <v>257</v>
      </c>
      <c r="L605">
        <v>113</v>
      </c>
      <c r="M605" t="s">
        <v>63</v>
      </c>
      <c r="N605" t="s">
        <v>49</v>
      </c>
      <c r="O605" t="s">
        <v>41</v>
      </c>
      <c r="P605">
        <v>60</v>
      </c>
      <c r="Q605">
        <v>3.8</v>
      </c>
      <c r="R605" t="b">
        <v>0</v>
      </c>
      <c r="S605" t="s">
        <v>28</v>
      </c>
      <c r="T605">
        <v>1290</v>
      </c>
      <c r="U605" t="s">
        <v>51</v>
      </c>
      <c r="V605" t="s">
        <v>30</v>
      </c>
      <c r="W605" t="s">
        <v>31</v>
      </c>
    </row>
    <row r="606" spans="1:23" x14ac:dyDescent="0.3">
      <c r="A606">
        <v>7892</v>
      </c>
      <c r="B606" t="s">
        <v>98</v>
      </c>
      <c r="C606" s="1">
        <v>45414</v>
      </c>
      <c r="D606" s="1">
        <v>45621</v>
      </c>
      <c r="E606">
        <v>7.99</v>
      </c>
      <c r="F606">
        <v>499</v>
      </c>
      <c r="G606" t="s">
        <v>79</v>
      </c>
      <c r="H606">
        <v>4</v>
      </c>
      <c r="I606">
        <v>3</v>
      </c>
      <c r="J606" t="b">
        <v>0</v>
      </c>
      <c r="K606">
        <v>428</v>
      </c>
      <c r="L606">
        <v>168</v>
      </c>
      <c r="M606" t="s">
        <v>74</v>
      </c>
      <c r="N606" t="s">
        <v>49</v>
      </c>
      <c r="O606" t="s">
        <v>67</v>
      </c>
      <c r="P606">
        <v>82</v>
      </c>
      <c r="Q606">
        <v>3.7</v>
      </c>
      <c r="R606" t="b">
        <v>0</v>
      </c>
      <c r="S606" t="s">
        <v>28</v>
      </c>
      <c r="T606">
        <v>874</v>
      </c>
      <c r="U606" t="s">
        <v>29</v>
      </c>
      <c r="V606" t="s">
        <v>68</v>
      </c>
      <c r="W606" t="s">
        <v>53</v>
      </c>
    </row>
    <row r="607" spans="1:23" x14ac:dyDescent="0.3">
      <c r="A607">
        <v>4576</v>
      </c>
      <c r="B607" t="s">
        <v>99</v>
      </c>
      <c r="C607" s="1">
        <v>45492</v>
      </c>
      <c r="D607" s="1">
        <v>45642</v>
      </c>
      <c r="E607">
        <v>15.99</v>
      </c>
      <c r="F607">
        <v>480</v>
      </c>
      <c r="G607" t="s">
        <v>33</v>
      </c>
      <c r="H607">
        <v>2</v>
      </c>
      <c r="I607">
        <v>2</v>
      </c>
      <c r="J607" t="b">
        <v>1</v>
      </c>
      <c r="K607">
        <v>994</v>
      </c>
      <c r="L607">
        <v>78</v>
      </c>
      <c r="M607" t="s">
        <v>63</v>
      </c>
      <c r="N607" t="s">
        <v>49</v>
      </c>
      <c r="O607" t="s">
        <v>41</v>
      </c>
      <c r="P607">
        <v>39</v>
      </c>
      <c r="Q607">
        <v>4.3</v>
      </c>
      <c r="R607" t="b">
        <v>1</v>
      </c>
      <c r="S607" t="s">
        <v>28</v>
      </c>
      <c r="T607">
        <v>1734</v>
      </c>
      <c r="U607" t="s">
        <v>65</v>
      </c>
      <c r="V607" t="s">
        <v>36</v>
      </c>
      <c r="W607" t="s">
        <v>53</v>
      </c>
    </row>
    <row r="608" spans="1:23" x14ac:dyDescent="0.3">
      <c r="A608">
        <v>8901</v>
      </c>
      <c r="B608" t="s">
        <v>329</v>
      </c>
      <c r="C608" s="1">
        <v>45300</v>
      </c>
      <c r="D608" s="1">
        <v>45625</v>
      </c>
      <c r="E608">
        <v>11.99</v>
      </c>
      <c r="F608">
        <v>417</v>
      </c>
      <c r="G608" t="s">
        <v>24</v>
      </c>
      <c r="H608">
        <v>5</v>
      </c>
      <c r="I608">
        <v>6</v>
      </c>
      <c r="J608" t="b">
        <v>0</v>
      </c>
      <c r="K608">
        <v>476</v>
      </c>
      <c r="L608">
        <v>37</v>
      </c>
      <c r="M608" t="s">
        <v>25</v>
      </c>
      <c r="N608" t="s">
        <v>64</v>
      </c>
      <c r="O608" t="s">
        <v>27</v>
      </c>
      <c r="P608">
        <v>12</v>
      </c>
      <c r="Q608">
        <v>4.0999999999999996</v>
      </c>
      <c r="R608" t="b">
        <v>1</v>
      </c>
      <c r="S608" t="s">
        <v>28</v>
      </c>
      <c r="T608">
        <v>2444</v>
      </c>
      <c r="U608" t="s">
        <v>65</v>
      </c>
      <c r="V608" t="s">
        <v>68</v>
      </c>
      <c r="W608" t="s">
        <v>53</v>
      </c>
    </row>
    <row r="609" spans="1:23" x14ac:dyDescent="0.3">
      <c r="A609">
        <v>5147</v>
      </c>
      <c r="B609" t="s">
        <v>100</v>
      </c>
      <c r="C609" s="1">
        <v>45091</v>
      </c>
      <c r="D609" s="1">
        <v>45640</v>
      </c>
      <c r="E609">
        <v>7.99</v>
      </c>
      <c r="F609">
        <v>215</v>
      </c>
      <c r="G609" t="s">
        <v>62</v>
      </c>
      <c r="H609">
        <v>5</v>
      </c>
      <c r="I609">
        <v>4</v>
      </c>
      <c r="J609" t="b">
        <v>1</v>
      </c>
      <c r="K609">
        <v>150</v>
      </c>
      <c r="L609">
        <v>57</v>
      </c>
      <c r="M609" t="s">
        <v>44</v>
      </c>
      <c r="N609" t="s">
        <v>26</v>
      </c>
      <c r="O609" t="s">
        <v>27</v>
      </c>
      <c r="P609">
        <v>76</v>
      </c>
      <c r="Q609">
        <v>4.5</v>
      </c>
      <c r="R609" t="b">
        <v>0</v>
      </c>
      <c r="S609" t="s">
        <v>28</v>
      </c>
      <c r="T609">
        <v>1529</v>
      </c>
      <c r="U609" t="s">
        <v>29</v>
      </c>
      <c r="V609" t="s">
        <v>30</v>
      </c>
      <c r="W609" t="s">
        <v>31</v>
      </c>
    </row>
    <row r="610" spans="1:23" x14ac:dyDescent="0.3">
      <c r="A610">
        <v>8646</v>
      </c>
      <c r="B610" t="s">
        <v>189</v>
      </c>
      <c r="C610" s="1">
        <v>45281</v>
      </c>
      <c r="D610" s="1">
        <v>45632</v>
      </c>
      <c r="E610">
        <v>7.99</v>
      </c>
      <c r="F610">
        <v>234</v>
      </c>
      <c r="G610" t="s">
        <v>24</v>
      </c>
      <c r="H610">
        <v>2</v>
      </c>
      <c r="I610">
        <v>6</v>
      </c>
      <c r="J610" t="b">
        <v>1</v>
      </c>
      <c r="K610">
        <v>580</v>
      </c>
      <c r="L610">
        <v>149</v>
      </c>
      <c r="M610" t="s">
        <v>44</v>
      </c>
      <c r="N610" t="s">
        <v>26</v>
      </c>
      <c r="O610" t="s">
        <v>67</v>
      </c>
      <c r="P610">
        <v>31</v>
      </c>
      <c r="Q610">
        <v>3.8</v>
      </c>
      <c r="R610" t="b">
        <v>1</v>
      </c>
      <c r="S610" t="s">
        <v>28</v>
      </c>
      <c r="T610">
        <v>1976</v>
      </c>
      <c r="U610" t="s">
        <v>57</v>
      </c>
      <c r="V610" t="s">
        <v>68</v>
      </c>
      <c r="W610" t="s">
        <v>31</v>
      </c>
    </row>
    <row r="611" spans="1:23" x14ac:dyDescent="0.3">
      <c r="A611">
        <v>8343</v>
      </c>
      <c r="B611" t="s">
        <v>100</v>
      </c>
      <c r="C611" s="1">
        <v>45598</v>
      </c>
      <c r="D611" s="1">
        <v>45643</v>
      </c>
      <c r="E611">
        <v>7.99</v>
      </c>
      <c r="F611">
        <v>103</v>
      </c>
      <c r="G611" t="s">
        <v>24</v>
      </c>
      <c r="H611">
        <v>2</v>
      </c>
      <c r="I611">
        <v>6</v>
      </c>
      <c r="J611" t="b">
        <v>0</v>
      </c>
      <c r="K611">
        <v>284</v>
      </c>
      <c r="L611">
        <v>84</v>
      </c>
      <c r="M611" t="s">
        <v>74</v>
      </c>
      <c r="N611" t="s">
        <v>26</v>
      </c>
      <c r="O611" t="s">
        <v>56</v>
      </c>
      <c r="P611">
        <v>30</v>
      </c>
      <c r="Q611">
        <v>4</v>
      </c>
      <c r="R611" t="b">
        <v>0</v>
      </c>
      <c r="S611" t="s">
        <v>28</v>
      </c>
      <c r="T611">
        <v>3452</v>
      </c>
      <c r="U611" t="s">
        <v>29</v>
      </c>
      <c r="V611" t="s">
        <v>68</v>
      </c>
      <c r="W611" t="s">
        <v>75</v>
      </c>
    </row>
    <row r="612" spans="1:23" x14ac:dyDescent="0.3">
      <c r="A612">
        <v>9332</v>
      </c>
      <c r="B612" t="s">
        <v>38</v>
      </c>
      <c r="C612" s="1">
        <v>45075</v>
      </c>
      <c r="D612" s="1">
        <v>45644</v>
      </c>
      <c r="E612">
        <v>15.99</v>
      </c>
      <c r="F612">
        <v>191</v>
      </c>
      <c r="G612" t="s">
        <v>46</v>
      </c>
      <c r="H612">
        <v>5</v>
      </c>
      <c r="I612">
        <v>1</v>
      </c>
      <c r="J612" t="b">
        <v>0</v>
      </c>
      <c r="K612">
        <v>688</v>
      </c>
      <c r="L612">
        <v>192</v>
      </c>
      <c r="M612" t="s">
        <v>25</v>
      </c>
      <c r="N612" t="s">
        <v>26</v>
      </c>
      <c r="O612" t="s">
        <v>27</v>
      </c>
      <c r="P612">
        <v>71</v>
      </c>
      <c r="Q612">
        <v>4</v>
      </c>
      <c r="R612" t="b">
        <v>0</v>
      </c>
      <c r="S612" t="s">
        <v>28</v>
      </c>
      <c r="T612">
        <v>2610</v>
      </c>
      <c r="U612" t="s">
        <v>51</v>
      </c>
      <c r="V612" t="s">
        <v>52</v>
      </c>
      <c r="W612" t="s">
        <v>53</v>
      </c>
    </row>
    <row r="613" spans="1:23" x14ac:dyDescent="0.3">
      <c r="A613">
        <v>7398</v>
      </c>
      <c r="B613" t="s">
        <v>216</v>
      </c>
      <c r="C613" s="1">
        <v>45275</v>
      </c>
      <c r="D613" s="1">
        <v>45641</v>
      </c>
      <c r="E613">
        <v>11.99</v>
      </c>
      <c r="F613">
        <v>82</v>
      </c>
      <c r="G613" t="s">
        <v>33</v>
      </c>
      <c r="H613">
        <v>5</v>
      </c>
      <c r="I613">
        <v>1</v>
      </c>
      <c r="J613" t="b">
        <v>1</v>
      </c>
      <c r="K613">
        <v>93</v>
      </c>
      <c r="L613">
        <v>46</v>
      </c>
      <c r="M613" t="s">
        <v>39</v>
      </c>
      <c r="N613" t="s">
        <v>26</v>
      </c>
      <c r="O613" t="s">
        <v>34</v>
      </c>
      <c r="P613">
        <v>41</v>
      </c>
      <c r="Q613">
        <v>4.7</v>
      </c>
      <c r="R613" t="b">
        <v>1</v>
      </c>
      <c r="S613" t="s">
        <v>28</v>
      </c>
      <c r="T613">
        <v>3152</v>
      </c>
      <c r="U613" t="s">
        <v>29</v>
      </c>
      <c r="V613" t="s">
        <v>36</v>
      </c>
      <c r="W613" t="s">
        <v>37</v>
      </c>
    </row>
    <row r="614" spans="1:23" x14ac:dyDescent="0.3">
      <c r="A614">
        <v>3572</v>
      </c>
      <c r="B614" t="s">
        <v>330</v>
      </c>
      <c r="C614" s="1">
        <v>45386</v>
      </c>
      <c r="D614" s="1">
        <v>45641</v>
      </c>
      <c r="E614">
        <v>11.99</v>
      </c>
      <c r="F614">
        <v>468</v>
      </c>
      <c r="G614" t="s">
        <v>46</v>
      </c>
      <c r="H614">
        <v>5</v>
      </c>
      <c r="I614">
        <v>6</v>
      </c>
      <c r="J614" t="b">
        <v>1</v>
      </c>
      <c r="K614">
        <v>799</v>
      </c>
      <c r="L614">
        <v>44</v>
      </c>
      <c r="M614" t="s">
        <v>48</v>
      </c>
      <c r="N614" t="s">
        <v>26</v>
      </c>
      <c r="O614" t="s">
        <v>50</v>
      </c>
      <c r="P614">
        <v>98</v>
      </c>
      <c r="Q614">
        <v>4.9000000000000004</v>
      </c>
      <c r="R614" t="b">
        <v>0</v>
      </c>
      <c r="S614" t="s">
        <v>28</v>
      </c>
      <c r="T614">
        <v>4963</v>
      </c>
      <c r="U614" t="s">
        <v>65</v>
      </c>
      <c r="V614" t="s">
        <v>52</v>
      </c>
      <c r="W614" t="s">
        <v>37</v>
      </c>
    </row>
    <row r="615" spans="1:23" x14ac:dyDescent="0.3">
      <c r="A615">
        <v>4590</v>
      </c>
      <c r="B615" t="s">
        <v>312</v>
      </c>
      <c r="C615" s="1">
        <v>45097</v>
      </c>
      <c r="D615" s="1">
        <v>45629</v>
      </c>
      <c r="E615">
        <v>11.99</v>
      </c>
      <c r="F615">
        <v>366</v>
      </c>
      <c r="G615" t="s">
        <v>79</v>
      </c>
      <c r="H615">
        <v>4</v>
      </c>
      <c r="I615">
        <v>3</v>
      </c>
      <c r="J615" t="b">
        <v>0</v>
      </c>
      <c r="K615">
        <v>327</v>
      </c>
      <c r="L615">
        <v>1</v>
      </c>
      <c r="M615" t="s">
        <v>44</v>
      </c>
      <c r="N615" t="s">
        <v>40</v>
      </c>
      <c r="O615" t="s">
        <v>27</v>
      </c>
      <c r="P615">
        <v>56</v>
      </c>
      <c r="Q615">
        <v>3.6</v>
      </c>
      <c r="R615" t="b">
        <v>1</v>
      </c>
      <c r="S615" t="s">
        <v>28</v>
      </c>
      <c r="T615">
        <v>3290</v>
      </c>
      <c r="U615" t="s">
        <v>35</v>
      </c>
      <c r="V615" t="s">
        <v>68</v>
      </c>
      <c r="W615" t="s">
        <v>31</v>
      </c>
    </row>
    <row r="616" spans="1:23" x14ac:dyDescent="0.3">
      <c r="A616">
        <v>1831</v>
      </c>
      <c r="B616" t="s">
        <v>72</v>
      </c>
      <c r="C616" s="1">
        <v>45577</v>
      </c>
      <c r="D616" s="1">
        <v>45637</v>
      </c>
      <c r="E616">
        <v>7.99</v>
      </c>
      <c r="F616">
        <v>53</v>
      </c>
      <c r="G616" t="s">
        <v>43</v>
      </c>
      <c r="H616">
        <v>1</v>
      </c>
      <c r="I616">
        <v>4</v>
      </c>
      <c r="J616" t="b">
        <v>0</v>
      </c>
      <c r="K616">
        <v>685</v>
      </c>
      <c r="L616">
        <v>127</v>
      </c>
      <c r="M616" t="s">
        <v>63</v>
      </c>
      <c r="N616" t="s">
        <v>49</v>
      </c>
      <c r="O616" t="s">
        <v>56</v>
      </c>
      <c r="P616">
        <v>26</v>
      </c>
      <c r="Q616">
        <v>4.0999999999999996</v>
      </c>
      <c r="R616" t="b">
        <v>1</v>
      </c>
      <c r="S616" t="s">
        <v>28</v>
      </c>
      <c r="T616">
        <v>2596</v>
      </c>
      <c r="U616" t="s">
        <v>51</v>
      </c>
      <c r="V616" t="s">
        <v>60</v>
      </c>
      <c r="W616" t="s">
        <v>31</v>
      </c>
    </row>
    <row r="617" spans="1:23" x14ac:dyDescent="0.3">
      <c r="A617">
        <v>6899</v>
      </c>
      <c r="B617" t="s">
        <v>184</v>
      </c>
      <c r="C617" s="1">
        <v>45021</v>
      </c>
      <c r="D617" s="1">
        <v>45631</v>
      </c>
      <c r="E617">
        <v>15.99</v>
      </c>
      <c r="F617">
        <v>102</v>
      </c>
      <c r="G617" t="s">
        <v>55</v>
      </c>
      <c r="H617">
        <v>1</v>
      </c>
      <c r="I617">
        <v>1</v>
      </c>
      <c r="J617" t="b">
        <v>1</v>
      </c>
      <c r="K617">
        <v>604</v>
      </c>
      <c r="L617">
        <v>107</v>
      </c>
      <c r="M617" t="s">
        <v>74</v>
      </c>
      <c r="N617" t="s">
        <v>64</v>
      </c>
      <c r="O617" t="s">
        <v>67</v>
      </c>
      <c r="P617">
        <v>9</v>
      </c>
      <c r="Q617">
        <v>4.3</v>
      </c>
      <c r="R617" t="b">
        <v>0</v>
      </c>
      <c r="S617" t="s">
        <v>28</v>
      </c>
      <c r="T617">
        <v>745</v>
      </c>
      <c r="U617" t="s">
        <v>65</v>
      </c>
      <c r="V617" t="s">
        <v>36</v>
      </c>
      <c r="W617" t="s">
        <v>31</v>
      </c>
    </row>
    <row r="618" spans="1:23" x14ac:dyDescent="0.3">
      <c r="A618">
        <v>1148</v>
      </c>
      <c r="B618" t="s">
        <v>72</v>
      </c>
      <c r="C618" s="1">
        <v>45442</v>
      </c>
      <c r="D618" s="1">
        <v>45624</v>
      </c>
      <c r="E618">
        <v>15.99</v>
      </c>
      <c r="F618">
        <v>259</v>
      </c>
      <c r="G618" t="s">
        <v>24</v>
      </c>
      <c r="H618">
        <v>1</v>
      </c>
      <c r="I618">
        <v>5</v>
      </c>
      <c r="J618" t="b">
        <v>1</v>
      </c>
      <c r="K618">
        <v>597</v>
      </c>
      <c r="L618">
        <v>165</v>
      </c>
      <c r="M618" t="s">
        <v>63</v>
      </c>
      <c r="N618" t="s">
        <v>64</v>
      </c>
      <c r="O618" t="s">
        <v>34</v>
      </c>
      <c r="P618">
        <v>33</v>
      </c>
      <c r="Q618">
        <v>4.2</v>
      </c>
      <c r="R618" t="b">
        <v>1</v>
      </c>
      <c r="S618" t="s">
        <v>28</v>
      </c>
      <c r="T618">
        <v>668</v>
      </c>
      <c r="U618" t="s">
        <v>65</v>
      </c>
      <c r="V618" t="s">
        <v>36</v>
      </c>
      <c r="W618" t="s">
        <v>53</v>
      </c>
    </row>
    <row r="619" spans="1:23" x14ac:dyDescent="0.3">
      <c r="A619">
        <v>3745</v>
      </c>
      <c r="B619" t="s">
        <v>203</v>
      </c>
      <c r="C619" s="1">
        <v>45547</v>
      </c>
      <c r="D619" s="1">
        <v>45642</v>
      </c>
      <c r="E619">
        <v>11.99</v>
      </c>
      <c r="F619">
        <v>81</v>
      </c>
      <c r="G619" t="s">
        <v>79</v>
      </c>
      <c r="H619">
        <v>2</v>
      </c>
      <c r="I619">
        <v>4</v>
      </c>
      <c r="J619" t="b">
        <v>0</v>
      </c>
      <c r="K619">
        <v>451</v>
      </c>
      <c r="L619">
        <v>49</v>
      </c>
      <c r="M619" t="s">
        <v>39</v>
      </c>
      <c r="N619" t="s">
        <v>40</v>
      </c>
      <c r="O619" t="s">
        <v>56</v>
      </c>
      <c r="P619">
        <v>11</v>
      </c>
      <c r="Q619">
        <v>4.7</v>
      </c>
      <c r="R619" t="b">
        <v>1</v>
      </c>
      <c r="S619" t="s">
        <v>28</v>
      </c>
      <c r="T619">
        <v>3282</v>
      </c>
      <c r="U619" t="s">
        <v>65</v>
      </c>
      <c r="V619" t="s">
        <v>30</v>
      </c>
      <c r="W619" t="s">
        <v>31</v>
      </c>
    </row>
    <row r="620" spans="1:23" x14ac:dyDescent="0.3">
      <c r="A620">
        <v>5084</v>
      </c>
      <c r="B620" t="s">
        <v>331</v>
      </c>
      <c r="C620" s="1">
        <v>45224</v>
      </c>
      <c r="D620" s="1">
        <v>45618</v>
      </c>
      <c r="E620">
        <v>11.99</v>
      </c>
      <c r="F620">
        <v>135</v>
      </c>
      <c r="G620" t="s">
        <v>24</v>
      </c>
      <c r="H620">
        <v>4</v>
      </c>
      <c r="I620">
        <v>6</v>
      </c>
      <c r="J620" t="b">
        <v>0</v>
      </c>
      <c r="K620">
        <v>50</v>
      </c>
      <c r="L620">
        <v>15</v>
      </c>
      <c r="M620" t="s">
        <v>39</v>
      </c>
      <c r="N620" t="s">
        <v>49</v>
      </c>
      <c r="O620" t="s">
        <v>67</v>
      </c>
      <c r="P620">
        <v>91</v>
      </c>
      <c r="Q620">
        <v>4.4000000000000004</v>
      </c>
      <c r="R620" t="b">
        <v>0</v>
      </c>
      <c r="S620" t="s">
        <v>28</v>
      </c>
      <c r="T620">
        <v>1510</v>
      </c>
      <c r="U620" t="s">
        <v>51</v>
      </c>
      <c r="V620" t="s">
        <v>68</v>
      </c>
      <c r="W620" t="s">
        <v>31</v>
      </c>
    </row>
    <row r="621" spans="1:23" x14ac:dyDescent="0.3">
      <c r="A621">
        <v>7179</v>
      </c>
      <c r="B621" t="s">
        <v>109</v>
      </c>
      <c r="C621" s="1">
        <v>45178</v>
      </c>
      <c r="D621" s="1">
        <v>45625</v>
      </c>
      <c r="E621">
        <v>11.99</v>
      </c>
      <c r="F621">
        <v>465</v>
      </c>
      <c r="G621" t="s">
        <v>62</v>
      </c>
      <c r="H621">
        <v>2</v>
      </c>
      <c r="I621">
        <v>3</v>
      </c>
      <c r="J621" t="b">
        <v>1</v>
      </c>
      <c r="K621">
        <v>987</v>
      </c>
      <c r="L621">
        <v>91</v>
      </c>
      <c r="M621" t="s">
        <v>74</v>
      </c>
      <c r="N621" t="s">
        <v>40</v>
      </c>
      <c r="O621" t="s">
        <v>41</v>
      </c>
      <c r="P621">
        <v>8</v>
      </c>
      <c r="Q621">
        <v>4.5999999999999996</v>
      </c>
      <c r="R621" t="b">
        <v>1</v>
      </c>
      <c r="S621" t="s">
        <v>28</v>
      </c>
      <c r="T621">
        <v>1206</v>
      </c>
      <c r="U621" t="s">
        <v>29</v>
      </c>
      <c r="V621" t="s">
        <v>30</v>
      </c>
      <c r="W621" t="s">
        <v>53</v>
      </c>
    </row>
    <row r="622" spans="1:23" x14ac:dyDescent="0.3">
      <c r="A622">
        <v>1005</v>
      </c>
      <c r="B622" t="s">
        <v>195</v>
      </c>
      <c r="C622" s="1">
        <v>44978</v>
      </c>
      <c r="D622" s="1">
        <v>45636</v>
      </c>
      <c r="E622">
        <v>11.99</v>
      </c>
      <c r="F622">
        <v>163</v>
      </c>
      <c r="G622" t="s">
        <v>55</v>
      </c>
      <c r="H622">
        <v>2</v>
      </c>
      <c r="I622">
        <v>1</v>
      </c>
      <c r="J622" t="b">
        <v>0</v>
      </c>
      <c r="K622">
        <v>817</v>
      </c>
      <c r="L622">
        <v>182</v>
      </c>
      <c r="M622" t="s">
        <v>48</v>
      </c>
      <c r="N622" t="s">
        <v>49</v>
      </c>
      <c r="O622" t="s">
        <v>56</v>
      </c>
      <c r="P622">
        <v>43</v>
      </c>
      <c r="Q622">
        <v>4.5999999999999996</v>
      </c>
      <c r="R622" t="b">
        <v>1</v>
      </c>
      <c r="S622" t="s">
        <v>28</v>
      </c>
      <c r="T622">
        <v>168</v>
      </c>
      <c r="U622" t="s">
        <v>57</v>
      </c>
      <c r="V622" t="s">
        <v>68</v>
      </c>
      <c r="W622" t="s">
        <v>75</v>
      </c>
    </row>
    <row r="623" spans="1:23" x14ac:dyDescent="0.3">
      <c r="A623">
        <v>6405</v>
      </c>
      <c r="B623" t="s">
        <v>330</v>
      </c>
      <c r="C623" s="1">
        <v>45030</v>
      </c>
      <c r="D623" s="1">
        <v>45637</v>
      </c>
      <c r="E623">
        <v>11.99</v>
      </c>
      <c r="F623">
        <v>321</v>
      </c>
      <c r="G623" t="s">
        <v>62</v>
      </c>
      <c r="H623">
        <v>1</v>
      </c>
      <c r="I623">
        <v>6</v>
      </c>
      <c r="J623" t="b">
        <v>1</v>
      </c>
      <c r="K623">
        <v>361</v>
      </c>
      <c r="L623">
        <v>12</v>
      </c>
      <c r="M623" t="s">
        <v>48</v>
      </c>
      <c r="N623" t="s">
        <v>64</v>
      </c>
      <c r="O623" t="s">
        <v>34</v>
      </c>
      <c r="P623">
        <v>72</v>
      </c>
      <c r="Q623">
        <v>4.9000000000000004</v>
      </c>
      <c r="R623" t="b">
        <v>1</v>
      </c>
      <c r="S623" t="s">
        <v>28</v>
      </c>
      <c r="T623">
        <v>1303</v>
      </c>
      <c r="U623" t="s">
        <v>65</v>
      </c>
      <c r="V623" t="s">
        <v>52</v>
      </c>
      <c r="W623" t="s">
        <v>31</v>
      </c>
    </row>
    <row r="624" spans="1:23" x14ac:dyDescent="0.3">
      <c r="A624">
        <v>5215</v>
      </c>
      <c r="B624" t="s">
        <v>38</v>
      </c>
      <c r="C624" s="1">
        <v>45033</v>
      </c>
      <c r="D624" s="1">
        <v>45643</v>
      </c>
      <c r="E624">
        <v>7.99</v>
      </c>
      <c r="F624">
        <v>212</v>
      </c>
      <c r="G624" t="s">
        <v>79</v>
      </c>
      <c r="H624">
        <v>5</v>
      </c>
      <c r="I624">
        <v>5</v>
      </c>
      <c r="J624" t="b">
        <v>0</v>
      </c>
      <c r="K624">
        <v>146</v>
      </c>
      <c r="L624">
        <v>147</v>
      </c>
      <c r="M624" t="s">
        <v>44</v>
      </c>
      <c r="N624" t="s">
        <v>40</v>
      </c>
      <c r="O624" t="s">
        <v>67</v>
      </c>
      <c r="P624">
        <v>23</v>
      </c>
      <c r="Q624">
        <v>3.4</v>
      </c>
      <c r="R624" t="b">
        <v>0</v>
      </c>
      <c r="S624" t="s">
        <v>28</v>
      </c>
      <c r="T624">
        <v>1365</v>
      </c>
      <c r="U624" t="s">
        <v>51</v>
      </c>
      <c r="V624" t="s">
        <v>52</v>
      </c>
      <c r="W624" t="s">
        <v>75</v>
      </c>
    </row>
    <row r="625" spans="1:23" x14ac:dyDescent="0.3">
      <c r="A625">
        <v>7525</v>
      </c>
      <c r="B625" t="s">
        <v>200</v>
      </c>
      <c r="C625" s="1">
        <v>45469</v>
      </c>
      <c r="D625" s="1">
        <v>45644</v>
      </c>
      <c r="E625">
        <v>15.99</v>
      </c>
      <c r="F625">
        <v>453</v>
      </c>
      <c r="G625" t="s">
        <v>24</v>
      </c>
      <c r="H625">
        <v>1</v>
      </c>
      <c r="I625">
        <v>4</v>
      </c>
      <c r="J625" t="b">
        <v>0</v>
      </c>
      <c r="K625">
        <v>313</v>
      </c>
      <c r="L625">
        <v>1</v>
      </c>
      <c r="M625" t="s">
        <v>63</v>
      </c>
      <c r="N625" t="s">
        <v>26</v>
      </c>
      <c r="O625" t="s">
        <v>56</v>
      </c>
      <c r="P625">
        <v>7</v>
      </c>
      <c r="Q625">
        <v>3.7</v>
      </c>
      <c r="R625" t="b">
        <v>1</v>
      </c>
      <c r="S625" t="s">
        <v>28</v>
      </c>
      <c r="T625">
        <v>1563</v>
      </c>
      <c r="U625" t="s">
        <v>51</v>
      </c>
      <c r="V625" t="s">
        <v>36</v>
      </c>
      <c r="W625" t="s">
        <v>53</v>
      </c>
    </row>
    <row r="626" spans="1:23" x14ac:dyDescent="0.3">
      <c r="A626">
        <v>9115</v>
      </c>
      <c r="B626" t="s">
        <v>72</v>
      </c>
      <c r="C626" s="1">
        <v>45490</v>
      </c>
      <c r="D626" s="1">
        <v>45643</v>
      </c>
      <c r="E626">
        <v>11.99</v>
      </c>
      <c r="F626">
        <v>34</v>
      </c>
      <c r="G626" t="s">
        <v>62</v>
      </c>
      <c r="H626">
        <v>1</v>
      </c>
      <c r="I626">
        <v>1</v>
      </c>
      <c r="J626" t="b">
        <v>0</v>
      </c>
      <c r="K626">
        <v>80</v>
      </c>
      <c r="L626">
        <v>71</v>
      </c>
      <c r="M626" t="s">
        <v>39</v>
      </c>
      <c r="N626" t="s">
        <v>49</v>
      </c>
      <c r="O626" t="s">
        <v>34</v>
      </c>
      <c r="P626">
        <v>55</v>
      </c>
      <c r="Q626">
        <v>3.6</v>
      </c>
      <c r="R626" t="b">
        <v>0</v>
      </c>
      <c r="S626" t="s">
        <v>28</v>
      </c>
      <c r="T626">
        <v>1172</v>
      </c>
      <c r="U626" t="s">
        <v>57</v>
      </c>
      <c r="V626" t="s">
        <v>60</v>
      </c>
      <c r="W626" t="s">
        <v>31</v>
      </c>
    </row>
    <row r="627" spans="1:23" x14ac:dyDescent="0.3">
      <c r="A627">
        <v>6454</v>
      </c>
      <c r="B627" t="s">
        <v>128</v>
      </c>
      <c r="C627" s="1">
        <v>45390</v>
      </c>
      <c r="D627" s="1">
        <v>45641</v>
      </c>
      <c r="E627">
        <v>15.99</v>
      </c>
      <c r="F627">
        <v>197</v>
      </c>
      <c r="G627" t="s">
        <v>62</v>
      </c>
      <c r="H627">
        <v>1</v>
      </c>
      <c r="I627">
        <v>4</v>
      </c>
      <c r="J627" t="b">
        <v>1</v>
      </c>
      <c r="K627">
        <v>860</v>
      </c>
      <c r="L627">
        <v>42</v>
      </c>
      <c r="M627" t="s">
        <v>25</v>
      </c>
      <c r="N627" t="s">
        <v>49</v>
      </c>
      <c r="O627" t="s">
        <v>67</v>
      </c>
      <c r="P627">
        <v>97</v>
      </c>
      <c r="Q627">
        <v>4</v>
      </c>
      <c r="R627" t="b">
        <v>1</v>
      </c>
      <c r="S627" t="s">
        <v>28</v>
      </c>
      <c r="T627">
        <v>1704</v>
      </c>
      <c r="U627" t="s">
        <v>65</v>
      </c>
      <c r="V627" t="s">
        <v>30</v>
      </c>
      <c r="W627" t="s">
        <v>75</v>
      </c>
    </row>
    <row r="628" spans="1:23" x14ac:dyDescent="0.3">
      <c r="A628">
        <v>4781</v>
      </c>
      <c r="B628" t="s">
        <v>332</v>
      </c>
      <c r="C628" s="1">
        <v>45407</v>
      </c>
      <c r="D628" s="1">
        <v>45627</v>
      </c>
      <c r="E628">
        <v>15.99</v>
      </c>
      <c r="F628">
        <v>361</v>
      </c>
      <c r="G628" t="s">
        <v>62</v>
      </c>
      <c r="H628">
        <v>5</v>
      </c>
      <c r="I628">
        <v>3</v>
      </c>
      <c r="J628" t="b">
        <v>1</v>
      </c>
      <c r="K628">
        <v>67</v>
      </c>
      <c r="L628">
        <v>66</v>
      </c>
      <c r="M628" t="s">
        <v>48</v>
      </c>
      <c r="N628" t="s">
        <v>26</v>
      </c>
      <c r="O628" t="s">
        <v>34</v>
      </c>
      <c r="P628">
        <v>3</v>
      </c>
      <c r="Q628">
        <v>3.7</v>
      </c>
      <c r="R628" t="b">
        <v>1</v>
      </c>
      <c r="S628" t="s">
        <v>28</v>
      </c>
      <c r="T628">
        <v>4421</v>
      </c>
      <c r="U628" t="s">
        <v>65</v>
      </c>
      <c r="V628" t="s">
        <v>68</v>
      </c>
      <c r="W628" t="s">
        <v>37</v>
      </c>
    </row>
    <row r="629" spans="1:23" x14ac:dyDescent="0.3">
      <c r="A629">
        <v>5040</v>
      </c>
      <c r="B629" t="s">
        <v>333</v>
      </c>
      <c r="C629" s="1">
        <v>45264</v>
      </c>
      <c r="D629" s="1">
        <v>45628</v>
      </c>
      <c r="E629">
        <v>11.99</v>
      </c>
      <c r="F629">
        <v>166</v>
      </c>
      <c r="G629" t="s">
        <v>43</v>
      </c>
      <c r="H629">
        <v>5</v>
      </c>
      <c r="I629">
        <v>2</v>
      </c>
      <c r="J629" t="b">
        <v>1</v>
      </c>
      <c r="K629">
        <v>178</v>
      </c>
      <c r="L629">
        <v>61</v>
      </c>
      <c r="M629" t="s">
        <v>74</v>
      </c>
      <c r="N629" t="s">
        <v>40</v>
      </c>
      <c r="O629" t="s">
        <v>67</v>
      </c>
      <c r="P629">
        <v>30</v>
      </c>
      <c r="Q629">
        <v>3.1</v>
      </c>
      <c r="R629" t="b">
        <v>0</v>
      </c>
      <c r="S629" t="s">
        <v>28</v>
      </c>
      <c r="T629">
        <v>2964</v>
      </c>
      <c r="U629" t="s">
        <v>29</v>
      </c>
      <c r="V629" t="s">
        <v>52</v>
      </c>
      <c r="W629" t="s">
        <v>31</v>
      </c>
    </row>
    <row r="630" spans="1:23" x14ac:dyDescent="0.3">
      <c r="A630">
        <v>3209</v>
      </c>
      <c r="B630" t="s">
        <v>215</v>
      </c>
      <c r="C630" s="1">
        <v>45250</v>
      </c>
      <c r="D630" s="1">
        <v>45622</v>
      </c>
      <c r="E630">
        <v>7.99</v>
      </c>
      <c r="F630">
        <v>168</v>
      </c>
      <c r="G630" t="s">
        <v>46</v>
      </c>
      <c r="H630">
        <v>3</v>
      </c>
      <c r="I630">
        <v>1</v>
      </c>
      <c r="J630" t="b">
        <v>0</v>
      </c>
      <c r="K630">
        <v>113</v>
      </c>
      <c r="L630">
        <v>85</v>
      </c>
      <c r="M630" t="s">
        <v>44</v>
      </c>
      <c r="N630" t="s">
        <v>64</v>
      </c>
      <c r="O630" t="s">
        <v>50</v>
      </c>
      <c r="P630">
        <v>52</v>
      </c>
      <c r="Q630">
        <v>4.7</v>
      </c>
      <c r="R630" t="b">
        <v>0</v>
      </c>
      <c r="S630" t="s">
        <v>28</v>
      </c>
      <c r="T630">
        <v>1094</v>
      </c>
      <c r="U630" t="s">
        <v>29</v>
      </c>
      <c r="V630" t="s">
        <v>52</v>
      </c>
      <c r="W630" t="s">
        <v>37</v>
      </c>
    </row>
    <row r="631" spans="1:23" x14ac:dyDescent="0.3">
      <c r="A631">
        <v>8703</v>
      </c>
      <c r="B631" t="s">
        <v>165</v>
      </c>
      <c r="C631" s="1">
        <v>45479</v>
      </c>
      <c r="D631" s="1">
        <v>45618</v>
      </c>
      <c r="E631">
        <v>15.99</v>
      </c>
      <c r="F631">
        <v>336</v>
      </c>
      <c r="G631" t="s">
        <v>33</v>
      </c>
      <c r="H631">
        <v>1</v>
      </c>
      <c r="I631">
        <v>4</v>
      </c>
      <c r="J631" t="b">
        <v>1</v>
      </c>
      <c r="K631">
        <v>855</v>
      </c>
      <c r="L631">
        <v>186</v>
      </c>
      <c r="M631" t="s">
        <v>39</v>
      </c>
      <c r="N631" t="s">
        <v>26</v>
      </c>
      <c r="O631" t="s">
        <v>41</v>
      </c>
      <c r="P631">
        <v>54</v>
      </c>
      <c r="Q631">
        <v>3.6</v>
      </c>
      <c r="R631" t="b">
        <v>0</v>
      </c>
      <c r="S631" t="s">
        <v>28</v>
      </c>
      <c r="T631">
        <v>3674</v>
      </c>
      <c r="U631" t="s">
        <v>65</v>
      </c>
      <c r="V631" t="s">
        <v>36</v>
      </c>
      <c r="W631" t="s">
        <v>31</v>
      </c>
    </row>
    <row r="632" spans="1:23" x14ac:dyDescent="0.3">
      <c r="A632">
        <v>2536</v>
      </c>
      <c r="B632" t="s">
        <v>176</v>
      </c>
      <c r="C632" s="1">
        <v>45348</v>
      </c>
      <c r="D632" s="1">
        <v>45640</v>
      </c>
      <c r="E632">
        <v>15.99</v>
      </c>
      <c r="F632">
        <v>212</v>
      </c>
      <c r="G632" t="s">
        <v>55</v>
      </c>
      <c r="H632">
        <v>2</v>
      </c>
      <c r="I632">
        <v>4</v>
      </c>
      <c r="J632" t="b">
        <v>0</v>
      </c>
      <c r="K632">
        <v>608</v>
      </c>
      <c r="L632">
        <v>96</v>
      </c>
      <c r="M632" t="s">
        <v>74</v>
      </c>
      <c r="N632" t="s">
        <v>64</v>
      </c>
      <c r="O632" t="s">
        <v>41</v>
      </c>
      <c r="P632">
        <v>76</v>
      </c>
      <c r="Q632">
        <v>4</v>
      </c>
      <c r="R632" t="b">
        <v>0</v>
      </c>
      <c r="S632" t="s">
        <v>28</v>
      </c>
      <c r="T632">
        <v>296</v>
      </c>
      <c r="U632" t="s">
        <v>51</v>
      </c>
      <c r="V632" t="s">
        <v>68</v>
      </c>
      <c r="W632" t="s">
        <v>75</v>
      </c>
    </row>
    <row r="633" spans="1:23" x14ac:dyDescent="0.3">
      <c r="A633">
        <v>2057</v>
      </c>
      <c r="B633" t="s">
        <v>334</v>
      </c>
      <c r="C633" s="1">
        <v>45041</v>
      </c>
      <c r="D633" s="1">
        <v>45619</v>
      </c>
      <c r="E633">
        <v>7.99</v>
      </c>
      <c r="F633">
        <v>185</v>
      </c>
      <c r="G633" t="s">
        <v>55</v>
      </c>
      <c r="H633">
        <v>3</v>
      </c>
      <c r="I633">
        <v>6</v>
      </c>
      <c r="J633" t="b">
        <v>1</v>
      </c>
      <c r="K633">
        <v>804</v>
      </c>
      <c r="L633">
        <v>49</v>
      </c>
      <c r="M633" t="s">
        <v>25</v>
      </c>
      <c r="N633" t="s">
        <v>49</v>
      </c>
      <c r="O633" t="s">
        <v>41</v>
      </c>
      <c r="P633">
        <v>32</v>
      </c>
      <c r="Q633">
        <v>4.0999999999999996</v>
      </c>
      <c r="R633" t="b">
        <v>0</v>
      </c>
      <c r="S633" t="s">
        <v>28</v>
      </c>
      <c r="T633">
        <v>4164</v>
      </c>
      <c r="U633" t="s">
        <v>29</v>
      </c>
      <c r="V633" t="s">
        <v>30</v>
      </c>
      <c r="W633" t="s">
        <v>53</v>
      </c>
    </row>
    <row r="634" spans="1:23" x14ac:dyDescent="0.3">
      <c r="A634">
        <v>5627</v>
      </c>
      <c r="B634" t="s">
        <v>335</v>
      </c>
      <c r="C634" s="1">
        <v>45298</v>
      </c>
      <c r="D634" s="1">
        <v>45631</v>
      </c>
      <c r="E634">
        <v>11.99</v>
      </c>
      <c r="F634">
        <v>124</v>
      </c>
      <c r="G634" t="s">
        <v>43</v>
      </c>
      <c r="H634">
        <v>4</v>
      </c>
      <c r="I634">
        <v>2</v>
      </c>
      <c r="J634" t="b">
        <v>1</v>
      </c>
      <c r="K634">
        <v>207</v>
      </c>
      <c r="L634">
        <v>140</v>
      </c>
      <c r="M634" t="s">
        <v>25</v>
      </c>
      <c r="N634" t="s">
        <v>64</v>
      </c>
      <c r="O634" t="s">
        <v>27</v>
      </c>
      <c r="P634">
        <v>44</v>
      </c>
      <c r="Q634">
        <v>4.8</v>
      </c>
      <c r="R634" t="b">
        <v>1</v>
      </c>
      <c r="S634" t="s">
        <v>28</v>
      </c>
      <c r="T634">
        <v>3349</v>
      </c>
      <c r="U634" t="s">
        <v>57</v>
      </c>
      <c r="V634" t="s">
        <v>60</v>
      </c>
      <c r="W634" t="s">
        <v>37</v>
      </c>
    </row>
    <row r="635" spans="1:23" x14ac:dyDescent="0.3">
      <c r="A635">
        <v>4763</v>
      </c>
      <c r="B635" t="s">
        <v>172</v>
      </c>
      <c r="C635" s="1">
        <v>45334</v>
      </c>
      <c r="D635" s="1">
        <v>45631</v>
      </c>
      <c r="E635">
        <v>15.99</v>
      </c>
      <c r="F635">
        <v>256</v>
      </c>
      <c r="G635" t="s">
        <v>24</v>
      </c>
      <c r="H635">
        <v>1</v>
      </c>
      <c r="I635">
        <v>1</v>
      </c>
      <c r="J635" t="b">
        <v>0</v>
      </c>
      <c r="K635">
        <v>118</v>
      </c>
      <c r="L635">
        <v>104</v>
      </c>
      <c r="M635" t="s">
        <v>59</v>
      </c>
      <c r="N635" t="s">
        <v>40</v>
      </c>
      <c r="O635" t="s">
        <v>41</v>
      </c>
      <c r="P635">
        <v>8</v>
      </c>
      <c r="Q635">
        <v>3.5</v>
      </c>
      <c r="R635" t="b">
        <v>0</v>
      </c>
      <c r="S635" t="s">
        <v>28</v>
      </c>
      <c r="T635">
        <v>2830</v>
      </c>
      <c r="U635" t="s">
        <v>35</v>
      </c>
      <c r="V635" t="s">
        <v>60</v>
      </c>
      <c r="W635" t="s">
        <v>37</v>
      </c>
    </row>
    <row r="636" spans="1:23" x14ac:dyDescent="0.3">
      <c r="A636">
        <v>4577</v>
      </c>
      <c r="B636" t="s">
        <v>127</v>
      </c>
      <c r="C636" s="1">
        <v>45465</v>
      </c>
      <c r="D636" s="1">
        <v>45637</v>
      </c>
      <c r="E636">
        <v>11.99</v>
      </c>
      <c r="F636">
        <v>58</v>
      </c>
      <c r="G636" t="s">
        <v>62</v>
      </c>
      <c r="H636">
        <v>1</v>
      </c>
      <c r="I636">
        <v>6</v>
      </c>
      <c r="J636" t="b">
        <v>0</v>
      </c>
      <c r="K636">
        <v>983</v>
      </c>
      <c r="L636">
        <v>8</v>
      </c>
      <c r="M636" t="s">
        <v>44</v>
      </c>
      <c r="N636" t="s">
        <v>49</v>
      </c>
      <c r="O636" t="s">
        <v>56</v>
      </c>
      <c r="P636">
        <v>75</v>
      </c>
      <c r="Q636">
        <v>4.3</v>
      </c>
      <c r="R636" t="b">
        <v>1</v>
      </c>
      <c r="S636" t="s">
        <v>28</v>
      </c>
      <c r="T636">
        <v>2409</v>
      </c>
      <c r="U636" t="s">
        <v>65</v>
      </c>
      <c r="V636" t="s">
        <v>68</v>
      </c>
      <c r="W636" t="s">
        <v>75</v>
      </c>
    </row>
    <row r="637" spans="1:23" x14ac:dyDescent="0.3">
      <c r="A637">
        <v>5216</v>
      </c>
      <c r="B637" t="s">
        <v>227</v>
      </c>
      <c r="C637" s="1">
        <v>45557</v>
      </c>
      <c r="D637" s="1">
        <v>45617</v>
      </c>
      <c r="E637">
        <v>15.99</v>
      </c>
      <c r="F637">
        <v>135</v>
      </c>
      <c r="G637" t="s">
        <v>62</v>
      </c>
      <c r="H637">
        <v>3</v>
      </c>
      <c r="I637">
        <v>2</v>
      </c>
      <c r="J637" t="b">
        <v>0</v>
      </c>
      <c r="K637">
        <v>523</v>
      </c>
      <c r="L637">
        <v>159</v>
      </c>
      <c r="M637" t="s">
        <v>25</v>
      </c>
      <c r="N637" t="s">
        <v>40</v>
      </c>
      <c r="O637" t="s">
        <v>27</v>
      </c>
      <c r="P637">
        <v>11</v>
      </c>
      <c r="Q637">
        <v>4.8</v>
      </c>
      <c r="R637" t="b">
        <v>1</v>
      </c>
      <c r="S637" t="s">
        <v>28</v>
      </c>
      <c r="T637">
        <v>2872</v>
      </c>
      <c r="U637" t="s">
        <v>57</v>
      </c>
      <c r="V637" t="s">
        <v>36</v>
      </c>
      <c r="W637" t="s">
        <v>31</v>
      </c>
    </row>
    <row r="638" spans="1:23" x14ac:dyDescent="0.3">
      <c r="A638">
        <v>3941</v>
      </c>
      <c r="B638" t="s">
        <v>336</v>
      </c>
      <c r="C638" s="1">
        <v>45551</v>
      </c>
      <c r="D638" s="1">
        <v>45625</v>
      </c>
      <c r="E638">
        <v>11.99</v>
      </c>
      <c r="F638">
        <v>163</v>
      </c>
      <c r="G638" t="s">
        <v>79</v>
      </c>
      <c r="H638">
        <v>5</v>
      </c>
      <c r="I638">
        <v>2</v>
      </c>
      <c r="J638" t="b">
        <v>0</v>
      </c>
      <c r="K638">
        <v>786</v>
      </c>
      <c r="L638">
        <v>94</v>
      </c>
      <c r="M638" t="s">
        <v>44</v>
      </c>
      <c r="N638" t="s">
        <v>64</v>
      </c>
      <c r="O638" t="s">
        <v>41</v>
      </c>
      <c r="P638">
        <v>18</v>
      </c>
      <c r="Q638">
        <v>4.5999999999999996</v>
      </c>
      <c r="R638" t="b">
        <v>1</v>
      </c>
      <c r="S638" t="s">
        <v>28</v>
      </c>
      <c r="T638">
        <v>1364</v>
      </c>
      <c r="U638" t="s">
        <v>57</v>
      </c>
      <c r="V638" t="s">
        <v>36</v>
      </c>
      <c r="W638" t="s">
        <v>37</v>
      </c>
    </row>
    <row r="639" spans="1:23" x14ac:dyDescent="0.3">
      <c r="A639">
        <v>4396</v>
      </c>
      <c r="B639" t="s">
        <v>151</v>
      </c>
      <c r="C639" s="1">
        <v>44928</v>
      </c>
      <c r="D639" s="1">
        <v>45643</v>
      </c>
      <c r="E639">
        <v>15.99</v>
      </c>
      <c r="F639">
        <v>120</v>
      </c>
      <c r="G639" t="s">
        <v>33</v>
      </c>
      <c r="H639">
        <v>2</v>
      </c>
      <c r="I639">
        <v>3</v>
      </c>
      <c r="J639" t="b">
        <v>0</v>
      </c>
      <c r="K639">
        <v>781</v>
      </c>
      <c r="L639">
        <v>97</v>
      </c>
      <c r="M639" t="s">
        <v>39</v>
      </c>
      <c r="N639" t="s">
        <v>49</v>
      </c>
      <c r="O639" t="s">
        <v>56</v>
      </c>
      <c r="P639">
        <v>46</v>
      </c>
      <c r="Q639">
        <v>3.3</v>
      </c>
      <c r="R639" t="b">
        <v>1</v>
      </c>
      <c r="S639" t="s">
        <v>28</v>
      </c>
      <c r="T639">
        <v>473</v>
      </c>
      <c r="U639" t="s">
        <v>51</v>
      </c>
      <c r="V639" t="s">
        <v>52</v>
      </c>
      <c r="W639" t="s">
        <v>37</v>
      </c>
    </row>
    <row r="640" spans="1:23" x14ac:dyDescent="0.3">
      <c r="A640">
        <v>4865</v>
      </c>
      <c r="B640" t="s">
        <v>78</v>
      </c>
      <c r="C640" s="1">
        <v>45280</v>
      </c>
      <c r="D640" s="1">
        <v>45624</v>
      </c>
      <c r="E640">
        <v>7.99</v>
      </c>
      <c r="F640">
        <v>439</v>
      </c>
      <c r="G640" t="s">
        <v>43</v>
      </c>
      <c r="H640">
        <v>1</v>
      </c>
      <c r="I640">
        <v>5</v>
      </c>
      <c r="J640" t="b">
        <v>1</v>
      </c>
      <c r="K640">
        <v>434</v>
      </c>
      <c r="L640">
        <v>104</v>
      </c>
      <c r="M640" t="s">
        <v>74</v>
      </c>
      <c r="N640" t="s">
        <v>26</v>
      </c>
      <c r="O640" t="s">
        <v>27</v>
      </c>
      <c r="P640">
        <v>36</v>
      </c>
      <c r="Q640">
        <v>4.5</v>
      </c>
      <c r="R640" t="b">
        <v>1</v>
      </c>
      <c r="S640" t="s">
        <v>28</v>
      </c>
      <c r="T640">
        <v>4883</v>
      </c>
      <c r="U640" t="s">
        <v>29</v>
      </c>
      <c r="V640" t="s">
        <v>68</v>
      </c>
      <c r="W640" t="s">
        <v>53</v>
      </c>
    </row>
    <row r="641" spans="1:23" x14ac:dyDescent="0.3">
      <c r="A641">
        <v>2497</v>
      </c>
      <c r="B641" t="s">
        <v>235</v>
      </c>
      <c r="C641" s="1">
        <v>45135</v>
      </c>
      <c r="D641" s="1">
        <v>45626</v>
      </c>
      <c r="E641">
        <v>7.99</v>
      </c>
      <c r="F641">
        <v>223</v>
      </c>
      <c r="G641" t="s">
        <v>46</v>
      </c>
      <c r="H641">
        <v>1</v>
      </c>
      <c r="I641">
        <v>4</v>
      </c>
      <c r="J641" t="b">
        <v>0</v>
      </c>
      <c r="K641">
        <v>824</v>
      </c>
      <c r="L641">
        <v>125</v>
      </c>
      <c r="M641" t="s">
        <v>44</v>
      </c>
      <c r="N641" t="s">
        <v>49</v>
      </c>
      <c r="O641" t="s">
        <v>27</v>
      </c>
      <c r="P641">
        <v>56</v>
      </c>
      <c r="Q641">
        <v>4.5</v>
      </c>
      <c r="R641" t="b">
        <v>1</v>
      </c>
      <c r="S641" t="s">
        <v>28</v>
      </c>
      <c r="T641">
        <v>99</v>
      </c>
      <c r="U641" t="s">
        <v>51</v>
      </c>
      <c r="V641" t="s">
        <v>52</v>
      </c>
      <c r="W641" t="s">
        <v>37</v>
      </c>
    </row>
    <row r="642" spans="1:23" x14ac:dyDescent="0.3">
      <c r="A642">
        <v>4945</v>
      </c>
      <c r="B642" t="s">
        <v>198</v>
      </c>
      <c r="C642" s="1">
        <v>45416</v>
      </c>
      <c r="D642" s="1">
        <v>45618</v>
      </c>
      <c r="E642">
        <v>11.99</v>
      </c>
      <c r="F642">
        <v>485</v>
      </c>
      <c r="G642" t="s">
        <v>79</v>
      </c>
      <c r="H642">
        <v>1</v>
      </c>
      <c r="I642">
        <v>1</v>
      </c>
      <c r="J642" t="b">
        <v>1</v>
      </c>
      <c r="K642">
        <v>230</v>
      </c>
      <c r="L642">
        <v>21</v>
      </c>
      <c r="M642" t="s">
        <v>39</v>
      </c>
      <c r="N642" t="s">
        <v>26</v>
      </c>
      <c r="O642" t="s">
        <v>50</v>
      </c>
      <c r="P642">
        <v>83</v>
      </c>
      <c r="Q642">
        <v>4.0999999999999996</v>
      </c>
      <c r="R642" t="b">
        <v>0</v>
      </c>
      <c r="S642" t="s">
        <v>28</v>
      </c>
      <c r="T642">
        <v>2284</v>
      </c>
      <c r="U642" t="s">
        <v>29</v>
      </c>
      <c r="V642" t="s">
        <v>60</v>
      </c>
      <c r="W642" t="s">
        <v>75</v>
      </c>
    </row>
    <row r="643" spans="1:23" x14ac:dyDescent="0.3">
      <c r="A643">
        <v>5227</v>
      </c>
      <c r="B643" t="s">
        <v>337</v>
      </c>
      <c r="C643" s="1">
        <v>45337</v>
      </c>
      <c r="D643" s="1">
        <v>45632</v>
      </c>
      <c r="E643">
        <v>7.99</v>
      </c>
      <c r="F643">
        <v>474</v>
      </c>
      <c r="G643" t="s">
        <v>33</v>
      </c>
      <c r="H643">
        <v>3</v>
      </c>
      <c r="I643">
        <v>6</v>
      </c>
      <c r="J643" t="b">
        <v>1</v>
      </c>
      <c r="K643">
        <v>358</v>
      </c>
      <c r="L643">
        <v>147</v>
      </c>
      <c r="M643" t="s">
        <v>25</v>
      </c>
      <c r="N643" t="s">
        <v>64</v>
      </c>
      <c r="O643" t="s">
        <v>27</v>
      </c>
      <c r="P643">
        <v>44</v>
      </c>
      <c r="Q643">
        <v>3.9</v>
      </c>
      <c r="R643" t="b">
        <v>1</v>
      </c>
      <c r="S643" t="s">
        <v>28</v>
      </c>
      <c r="T643">
        <v>3505</v>
      </c>
      <c r="U643" t="s">
        <v>65</v>
      </c>
      <c r="V643" t="s">
        <v>36</v>
      </c>
      <c r="W643" t="s">
        <v>53</v>
      </c>
    </row>
    <row r="644" spans="1:23" x14ac:dyDescent="0.3">
      <c r="A644">
        <v>2150</v>
      </c>
      <c r="B644" t="s">
        <v>197</v>
      </c>
      <c r="C644" s="1">
        <v>45394</v>
      </c>
      <c r="D644" s="1">
        <v>45635</v>
      </c>
      <c r="E644">
        <v>11.99</v>
      </c>
      <c r="F644">
        <v>259</v>
      </c>
      <c r="G644" t="s">
        <v>55</v>
      </c>
      <c r="H644">
        <v>2</v>
      </c>
      <c r="I644">
        <v>1</v>
      </c>
      <c r="J644" t="b">
        <v>0</v>
      </c>
      <c r="K644">
        <v>380</v>
      </c>
      <c r="L644">
        <v>9</v>
      </c>
      <c r="M644" t="s">
        <v>25</v>
      </c>
      <c r="N644" t="s">
        <v>64</v>
      </c>
      <c r="O644" t="s">
        <v>41</v>
      </c>
      <c r="P644">
        <v>49</v>
      </c>
      <c r="Q644">
        <v>3.2</v>
      </c>
      <c r="R644" t="b">
        <v>0</v>
      </c>
      <c r="S644" t="s">
        <v>28</v>
      </c>
      <c r="T644">
        <v>412</v>
      </c>
      <c r="U644" t="s">
        <v>29</v>
      </c>
      <c r="V644" t="s">
        <v>68</v>
      </c>
      <c r="W644" t="s">
        <v>37</v>
      </c>
    </row>
    <row r="645" spans="1:23" x14ac:dyDescent="0.3">
      <c r="A645">
        <v>7145</v>
      </c>
      <c r="B645" t="s">
        <v>338</v>
      </c>
      <c r="C645" s="1">
        <v>45593</v>
      </c>
      <c r="D645" s="1">
        <v>45618</v>
      </c>
      <c r="E645">
        <v>7.99</v>
      </c>
      <c r="F645">
        <v>53</v>
      </c>
      <c r="G645" t="s">
        <v>33</v>
      </c>
      <c r="H645">
        <v>2</v>
      </c>
      <c r="I645">
        <v>1</v>
      </c>
      <c r="J645" t="b">
        <v>0</v>
      </c>
      <c r="K645">
        <v>647</v>
      </c>
      <c r="L645">
        <v>165</v>
      </c>
      <c r="M645" t="s">
        <v>25</v>
      </c>
      <c r="N645" t="s">
        <v>26</v>
      </c>
      <c r="O645" t="s">
        <v>50</v>
      </c>
      <c r="P645">
        <v>88</v>
      </c>
      <c r="Q645">
        <v>4</v>
      </c>
      <c r="R645" t="b">
        <v>0</v>
      </c>
      <c r="S645" t="s">
        <v>28</v>
      </c>
      <c r="T645">
        <v>4867</v>
      </c>
      <c r="U645" t="s">
        <v>65</v>
      </c>
      <c r="V645" t="s">
        <v>60</v>
      </c>
      <c r="W645" t="s">
        <v>31</v>
      </c>
    </row>
    <row r="646" spans="1:23" x14ac:dyDescent="0.3">
      <c r="A646">
        <v>2040</v>
      </c>
      <c r="B646" t="s">
        <v>339</v>
      </c>
      <c r="C646" s="1">
        <v>45576</v>
      </c>
      <c r="D646" s="1">
        <v>45626</v>
      </c>
      <c r="E646">
        <v>7.99</v>
      </c>
      <c r="F646">
        <v>221</v>
      </c>
      <c r="G646" t="s">
        <v>55</v>
      </c>
      <c r="H646">
        <v>1</v>
      </c>
      <c r="I646">
        <v>3</v>
      </c>
      <c r="J646" t="b">
        <v>1</v>
      </c>
      <c r="K646">
        <v>518</v>
      </c>
      <c r="L646">
        <v>157</v>
      </c>
      <c r="M646" t="s">
        <v>59</v>
      </c>
      <c r="N646" t="s">
        <v>64</v>
      </c>
      <c r="O646" t="s">
        <v>56</v>
      </c>
      <c r="P646">
        <v>4</v>
      </c>
      <c r="Q646">
        <v>3.7</v>
      </c>
      <c r="R646" t="b">
        <v>1</v>
      </c>
      <c r="S646" t="s">
        <v>28</v>
      </c>
      <c r="T646">
        <v>2560</v>
      </c>
      <c r="U646" t="s">
        <v>57</v>
      </c>
      <c r="V646" t="s">
        <v>52</v>
      </c>
      <c r="W646" t="s">
        <v>31</v>
      </c>
    </row>
    <row r="647" spans="1:23" x14ac:dyDescent="0.3">
      <c r="A647">
        <v>4191</v>
      </c>
      <c r="B647" t="s">
        <v>174</v>
      </c>
      <c r="C647" s="1">
        <v>45035</v>
      </c>
      <c r="D647" s="1">
        <v>45629</v>
      </c>
      <c r="E647">
        <v>7.99</v>
      </c>
      <c r="F647">
        <v>46</v>
      </c>
      <c r="G647" t="s">
        <v>55</v>
      </c>
      <c r="H647">
        <v>2</v>
      </c>
      <c r="I647">
        <v>4</v>
      </c>
      <c r="J647" t="b">
        <v>0</v>
      </c>
      <c r="K647">
        <v>33</v>
      </c>
      <c r="L647">
        <v>120</v>
      </c>
      <c r="M647" t="s">
        <v>63</v>
      </c>
      <c r="N647" t="s">
        <v>64</v>
      </c>
      <c r="O647" t="s">
        <v>27</v>
      </c>
      <c r="P647">
        <v>77</v>
      </c>
      <c r="Q647">
        <v>3.9</v>
      </c>
      <c r="R647" t="b">
        <v>1</v>
      </c>
      <c r="S647" t="s">
        <v>28</v>
      </c>
      <c r="T647">
        <v>4269</v>
      </c>
      <c r="U647" t="s">
        <v>65</v>
      </c>
      <c r="V647" t="s">
        <v>30</v>
      </c>
      <c r="W647" t="s">
        <v>37</v>
      </c>
    </row>
    <row r="648" spans="1:23" x14ac:dyDescent="0.3">
      <c r="A648">
        <v>4336</v>
      </c>
      <c r="B648" t="s">
        <v>72</v>
      </c>
      <c r="C648" s="1">
        <v>45140</v>
      </c>
      <c r="D648" s="1">
        <v>45637</v>
      </c>
      <c r="E648">
        <v>15.99</v>
      </c>
      <c r="F648">
        <v>253</v>
      </c>
      <c r="G648" t="s">
        <v>46</v>
      </c>
      <c r="H648">
        <v>4</v>
      </c>
      <c r="I648">
        <v>2</v>
      </c>
      <c r="J648" t="b">
        <v>0</v>
      </c>
      <c r="K648">
        <v>660</v>
      </c>
      <c r="L648">
        <v>151</v>
      </c>
      <c r="M648" t="s">
        <v>44</v>
      </c>
      <c r="N648" t="s">
        <v>64</v>
      </c>
      <c r="O648" t="s">
        <v>27</v>
      </c>
      <c r="P648">
        <v>43</v>
      </c>
      <c r="Q648">
        <v>3.4</v>
      </c>
      <c r="R648" t="b">
        <v>1</v>
      </c>
      <c r="S648" t="s">
        <v>28</v>
      </c>
      <c r="T648">
        <v>1317</v>
      </c>
      <c r="U648" t="s">
        <v>29</v>
      </c>
      <c r="V648" t="s">
        <v>52</v>
      </c>
      <c r="W648" t="s">
        <v>31</v>
      </c>
    </row>
    <row r="649" spans="1:23" x14ac:dyDescent="0.3">
      <c r="A649">
        <v>5438</v>
      </c>
      <c r="B649" t="s">
        <v>250</v>
      </c>
      <c r="C649" s="1">
        <v>45205</v>
      </c>
      <c r="D649" s="1">
        <v>45626</v>
      </c>
      <c r="E649">
        <v>11.99</v>
      </c>
      <c r="F649">
        <v>478</v>
      </c>
      <c r="G649" t="s">
        <v>33</v>
      </c>
      <c r="H649">
        <v>1</v>
      </c>
      <c r="I649">
        <v>6</v>
      </c>
      <c r="J649" t="b">
        <v>1</v>
      </c>
      <c r="K649">
        <v>517</v>
      </c>
      <c r="L649">
        <v>200</v>
      </c>
      <c r="M649" t="s">
        <v>74</v>
      </c>
      <c r="N649" t="s">
        <v>40</v>
      </c>
      <c r="O649" t="s">
        <v>27</v>
      </c>
      <c r="P649">
        <v>41</v>
      </c>
      <c r="Q649">
        <v>4.8</v>
      </c>
      <c r="R649" t="b">
        <v>0</v>
      </c>
      <c r="S649" t="s">
        <v>28</v>
      </c>
      <c r="T649">
        <v>2936</v>
      </c>
      <c r="U649" t="s">
        <v>51</v>
      </c>
      <c r="V649" t="s">
        <v>60</v>
      </c>
      <c r="W649" t="s">
        <v>31</v>
      </c>
    </row>
    <row r="650" spans="1:23" x14ac:dyDescent="0.3">
      <c r="A650">
        <v>9857</v>
      </c>
      <c r="B650" t="s">
        <v>159</v>
      </c>
      <c r="C650" s="1">
        <v>45195</v>
      </c>
      <c r="D650" s="1">
        <v>45628</v>
      </c>
      <c r="E650">
        <v>7.99</v>
      </c>
      <c r="F650">
        <v>145</v>
      </c>
      <c r="G650" t="s">
        <v>24</v>
      </c>
      <c r="H650">
        <v>2</v>
      </c>
      <c r="I650">
        <v>5</v>
      </c>
      <c r="J650" t="b">
        <v>0</v>
      </c>
      <c r="K650">
        <v>882</v>
      </c>
      <c r="L650">
        <v>23</v>
      </c>
      <c r="M650" t="s">
        <v>63</v>
      </c>
      <c r="N650" t="s">
        <v>64</v>
      </c>
      <c r="O650" t="s">
        <v>67</v>
      </c>
      <c r="P650">
        <v>79</v>
      </c>
      <c r="Q650">
        <v>5</v>
      </c>
      <c r="R650" t="b">
        <v>1</v>
      </c>
      <c r="S650" t="s">
        <v>28</v>
      </c>
      <c r="T650">
        <v>905</v>
      </c>
      <c r="U650" t="s">
        <v>51</v>
      </c>
      <c r="V650" t="s">
        <v>60</v>
      </c>
      <c r="W650" t="s">
        <v>53</v>
      </c>
    </row>
    <row r="651" spans="1:23" x14ac:dyDescent="0.3">
      <c r="A651">
        <v>4767</v>
      </c>
      <c r="B651" t="s">
        <v>78</v>
      </c>
      <c r="C651" s="1">
        <v>45279</v>
      </c>
      <c r="D651" s="1">
        <v>45620</v>
      </c>
      <c r="E651">
        <v>15.99</v>
      </c>
      <c r="F651">
        <v>366</v>
      </c>
      <c r="G651" t="s">
        <v>46</v>
      </c>
      <c r="H651">
        <v>1</v>
      </c>
      <c r="I651">
        <v>3</v>
      </c>
      <c r="J651" t="b">
        <v>1</v>
      </c>
      <c r="K651">
        <v>349</v>
      </c>
      <c r="L651">
        <v>50</v>
      </c>
      <c r="M651" t="s">
        <v>59</v>
      </c>
      <c r="N651" t="s">
        <v>64</v>
      </c>
      <c r="O651" t="s">
        <v>67</v>
      </c>
      <c r="P651">
        <v>21</v>
      </c>
      <c r="Q651">
        <v>5</v>
      </c>
      <c r="R651" t="b">
        <v>1</v>
      </c>
      <c r="S651" t="s">
        <v>28</v>
      </c>
      <c r="T651">
        <v>4513</v>
      </c>
      <c r="U651" t="s">
        <v>29</v>
      </c>
      <c r="V651" t="s">
        <v>36</v>
      </c>
      <c r="W651" t="s">
        <v>31</v>
      </c>
    </row>
    <row r="652" spans="1:23" x14ac:dyDescent="0.3">
      <c r="A652">
        <v>9374</v>
      </c>
      <c r="B652" t="s">
        <v>146</v>
      </c>
      <c r="C652" s="1">
        <v>45643</v>
      </c>
      <c r="D652" s="1">
        <v>45627</v>
      </c>
      <c r="E652">
        <v>15.99</v>
      </c>
      <c r="F652">
        <v>301</v>
      </c>
      <c r="G652" t="s">
        <v>24</v>
      </c>
      <c r="H652">
        <v>4</v>
      </c>
      <c r="I652">
        <v>6</v>
      </c>
      <c r="J652" t="b">
        <v>0</v>
      </c>
      <c r="K652">
        <v>619</v>
      </c>
      <c r="L652">
        <v>172</v>
      </c>
      <c r="M652" t="s">
        <v>25</v>
      </c>
      <c r="N652" t="s">
        <v>40</v>
      </c>
      <c r="O652" t="s">
        <v>56</v>
      </c>
      <c r="P652">
        <v>37</v>
      </c>
      <c r="Q652">
        <v>4.2</v>
      </c>
      <c r="R652" t="b">
        <v>1</v>
      </c>
      <c r="S652" t="s">
        <v>28</v>
      </c>
      <c r="T652">
        <v>1153</v>
      </c>
      <c r="U652" t="s">
        <v>65</v>
      </c>
      <c r="V652" t="s">
        <v>60</v>
      </c>
      <c r="W652" t="s">
        <v>37</v>
      </c>
    </row>
    <row r="653" spans="1:23" x14ac:dyDescent="0.3">
      <c r="A653">
        <v>3918</v>
      </c>
      <c r="B653" t="s">
        <v>72</v>
      </c>
      <c r="C653" s="1">
        <v>45216</v>
      </c>
      <c r="D653" s="1">
        <v>45624</v>
      </c>
      <c r="E653">
        <v>7.99</v>
      </c>
      <c r="F653">
        <v>26</v>
      </c>
      <c r="G653" t="s">
        <v>24</v>
      </c>
      <c r="H653">
        <v>4</v>
      </c>
      <c r="I653">
        <v>5</v>
      </c>
      <c r="J653" t="b">
        <v>0</v>
      </c>
      <c r="K653">
        <v>416</v>
      </c>
      <c r="L653">
        <v>146</v>
      </c>
      <c r="M653" t="s">
        <v>44</v>
      </c>
      <c r="N653" t="s">
        <v>40</v>
      </c>
      <c r="O653" t="s">
        <v>41</v>
      </c>
      <c r="P653">
        <v>41</v>
      </c>
      <c r="Q653">
        <v>3.5</v>
      </c>
      <c r="R653" t="b">
        <v>1</v>
      </c>
      <c r="S653" t="s">
        <v>28</v>
      </c>
      <c r="T653">
        <v>1506</v>
      </c>
      <c r="U653" t="s">
        <v>51</v>
      </c>
      <c r="V653" t="s">
        <v>30</v>
      </c>
      <c r="W653" t="s">
        <v>37</v>
      </c>
    </row>
    <row r="654" spans="1:23" x14ac:dyDescent="0.3">
      <c r="A654">
        <v>9866</v>
      </c>
      <c r="B654" t="s">
        <v>99</v>
      </c>
      <c r="C654" s="1">
        <v>45485</v>
      </c>
      <c r="D654" s="1">
        <v>45643</v>
      </c>
      <c r="E654">
        <v>11.99</v>
      </c>
      <c r="F654">
        <v>208</v>
      </c>
      <c r="G654" t="s">
        <v>33</v>
      </c>
      <c r="H654">
        <v>1</v>
      </c>
      <c r="I654">
        <v>1</v>
      </c>
      <c r="J654" t="b">
        <v>0</v>
      </c>
      <c r="K654">
        <v>466</v>
      </c>
      <c r="L654">
        <v>174</v>
      </c>
      <c r="M654" t="s">
        <v>25</v>
      </c>
      <c r="N654" t="s">
        <v>49</v>
      </c>
      <c r="O654" t="s">
        <v>56</v>
      </c>
      <c r="P654">
        <v>51</v>
      </c>
      <c r="Q654">
        <v>4</v>
      </c>
      <c r="R654" t="b">
        <v>1</v>
      </c>
      <c r="S654" t="s">
        <v>28</v>
      </c>
      <c r="T654">
        <v>3817</v>
      </c>
      <c r="U654" t="s">
        <v>29</v>
      </c>
      <c r="V654" t="s">
        <v>30</v>
      </c>
      <c r="W654" t="s">
        <v>37</v>
      </c>
    </row>
    <row r="655" spans="1:23" x14ac:dyDescent="0.3">
      <c r="A655">
        <v>6389</v>
      </c>
      <c r="B655" t="s">
        <v>304</v>
      </c>
      <c r="C655" s="1">
        <v>44918</v>
      </c>
      <c r="D655" s="1">
        <v>45644</v>
      </c>
      <c r="E655">
        <v>11.99</v>
      </c>
      <c r="F655">
        <v>109</v>
      </c>
      <c r="G655" t="s">
        <v>46</v>
      </c>
      <c r="H655">
        <v>2</v>
      </c>
      <c r="I655">
        <v>3</v>
      </c>
      <c r="J655" t="b">
        <v>0</v>
      </c>
      <c r="K655">
        <v>701</v>
      </c>
      <c r="L655">
        <v>4</v>
      </c>
      <c r="M655" t="s">
        <v>39</v>
      </c>
      <c r="N655" t="s">
        <v>26</v>
      </c>
      <c r="O655" t="s">
        <v>27</v>
      </c>
      <c r="P655">
        <v>64</v>
      </c>
      <c r="Q655">
        <v>3.5</v>
      </c>
      <c r="R655" t="b">
        <v>0</v>
      </c>
      <c r="S655" t="s">
        <v>28</v>
      </c>
      <c r="T655">
        <v>4662</v>
      </c>
      <c r="U655" t="s">
        <v>57</v>
      </c>
      <c r="V655" t="s">
        <v>30</v>
      </c>
      <c r="W655" t="s">
        <v>75</v>
      </c>
    </row>
    <row r="656" spans="1:23" x14ac:dyDescent="0.3">
      <c r="A656">
        <v>8733</v>
      </c>
      <c r="B656" t="s">
        <v>189</v>
      </c>
      <c r="C656" s="1">
        <v>45449</v>
      </c>
      <c r="D656" s="1">
        <v>45642</v>
      </c>
      <c r="E656">
        <v>15.99</v>
      </c>
      <c r="F656">
        <v>451</v>
      </c>
      <c r="G656" t="s">
        <v>55</v>
      </c>
      <c r="H656">
        <v>4</v>
      </c>
      <c r="I656">
        <v>4</v>
      </c>
      <c r="J656" t="b">
        <v>1</v>
      </c>
      <c r="K656">
        <v>742</v>
      </c>
      <c r="L656">
        <v>140</v>
      </c>
      <c r="M656" t="s">
        <v>59</v>
      </c>
      <c r="N656" t="s">
        <v>40</v>
      </c>
      <c r="O656" t="s">
        <v>56</v>
      </c>
      <c r="P656">
        <v>37</v>
      </c>
      <c r="Q656">
        <v>4.0999999999999996</v>
      </c>
      <c r="R656" t="b">
        <v>1</v>
      </c>
      <c r="S656" t="s">
        <v>28</v>
      </c>
      <c r="T656">
        <v>3708</v>
      </c>
      <c r="U656" t="s">
        <v>51</v>
      </c>
      <c r="V656" t="s">
        <v>30</v>
      </c>
      <c r="W656" t="s">
        <v>75</v>
      </c>
    </row>
    <row r="657" spans="1:23" x14ac:dyDescent="0.3">
      <c r="A657">
        <v>8105</v>
      </c>
      <c r="B657" t="s">
        <v>47</v>
      </c>
      <c r="C657" s="1">
        <v>45192</v>
      </c>
      <c r="D657" s="1">
        <v>45622</v>
      </c>
      <c r="E657">
        <v>15.99</v>
      </c>
      <c r="F657">
        <v>33</v>
      </c>
      <c r="G657" t="s">
        <v>33</v>
      </c>
      <c r="H657">
        <v>4</v>
      </c>
      <c r="I657">
        <v>5</v>
      </c>
      <c r="J657" t="b">
        <v>1</v>
      </c>
      <c r="K657">
        <v>228</v>
      </c>
      <c r="L657">
        <v>42</v>
      </c>
      <c r="M657" t="s">
        <v>48</v>
      </c>
      <c r="N657" t="s">
        <v>49</v>
      </c>
      <c r="O657" t="s">
        <v>27</v>
      </c>
      <c r="P657">
        <v>21</v>
      </c>
      <c r="Q657">
        <v>4</v>
      </c>
      <c r="R657" t="b">
        <v>1</v>
      </c>
      <c r="S657" t="s">
        <v>28</v>
      </c>
      <c r="T657">
        <v>1256</v>
      </c>
      <c r="U657" t="s">
        <v>29</v>
      </c>
      <c r="V657" t="s">
        <v>30</v>
      </c>
      <c r="W657" t="s">
        <v>31</v>
      </c>
    </row>
    <row r="658" spans="1:23" x14ac:dyDescent="0.3">
      <c r="A658">
        <v>3443</v>
      </c>
      <c r="B658" t="s">
        <v>127</v>
      </c>
      <c r="C658" s="1">
        <v>45352</v>
      </c>
      <c r="D658" s="1">
        <v>45631</v>
      </c>
      <c r="E658">
        <v>15.99</v>
      </c>
      <c r="F658">
        <v>467</v>
      </c>
      <c r="G658" t="s">
        <v>46</v>
      </c>
      <c r="H658">
        <v>4</v>
      </c>
      <c r="I658">
        <v>2</v>
      </c>
      <c r="J658" t="b">
        <v>0</v>
      </c>
      <c r="K658">
        <v>18</v>
      </c>
      <c r="L658">
        <v>34</v>
      </c>
      <c r="M658" t="s">
        <v>59</v>
      </c>
      <c r="N658" t="s">
        <v>64</v>
      </c>
      <c r="O658" t="s">
        <v>67</v>
      </c>
      <c r="P658">
        <v>100</v>
      </c>
      <c r="Q658">
        <v>4.0999999999999996</v>
      </c>
      <c r="R658" t="b">
        <v>1</v>
      </c>
      <c r="S658" t="s">
        <v>28</v>
      </c>
      <c r="T658">
        <v>1792</v>
      </c>
      <c r="U658" t="s">
        <v>29</v>
      </c>
      <c r="V658" t="s">
        <v>52</v>
      </c>
      <c r="W658" t="s">
        <v>75</v>
      </c>
    </row>
    <row r="659" spans="1:23" x14ac:dyDescent="0.3">
      <c r="A659">
        <v>2664</v>
      </c>
      <c r="B659" t="s">
        <v>78</v>
      </c>
      <c r="C659" s="1">
        <v>45214</v>
      </c>
      <c r="D659" s="1">
        <v>45623</v>
      </c>
      <c r="E659">
        <v>7.99</v>
      </c>
      <c r="F659">
        <v>123</v>
      </c>
      <c r="G659" t="s">
        <v>62</v>
      </c>
      <c r="H659">
        <v>2</v>
      </c>
      <c r="I659">
        <v>3</v>
      </c>
      <c r="J659" t="b">
        <v>1</v>
      </c>
      <c r="K659">
        <v>826</v>
      </c>
      <c r="L659">
        <v>79</v>
      </c>
      <c r="M659" t="s">
        <v>63</v>
      </c>
      <c r="N659" t="s">
        <v>49</v>
      </c>
      <c r="O659" t="s">
        <v>34</v>
      </c>
      <c r="P659">
        <v>34</v>
      </c>
      <c r="Q659">
        <v>3.5</v>
      </c>
      <c r="R659" t="b">
        <v>0</v>
      </c>
      <c r="S659" t="s">
        <v>28</v>
      </c>
      <c r="T659">
        <v>402</v>
      </c>
      <c r="U659" t="s">
        <v>35</v>
      </c>
      <c r="V659" t="s">
        <v>52</v>
      </c>
      <c r="W659" t="s">
        <v>37</v>
      </c>
    </row>
    <row r="660" spans="1:23" x14ac:dyDescent="0.3">
      <c r="A660">
        <v>1782</v>
      </c>
      <c r="B660" t="s">
        <v>340</v>
      </c>
      <c r="C660" s="1">
        <v>45047</v>
      </c>
      <c r="D660" s="1">
        <v>45625</v>
      </c>
      <c r="E660">
        <v>15.99</v>
      </c>
      <c r="F660">
        <v>139</v>
      </c>
      <c r="G660" t="s">
        <v>79</v>
      </c>
      <c r="H660">
        <v>1</v>
      </c>
      <c r="I660">
        <v>4</v>
      </c>
      <c r="J660" t="b">
        <v>1</v>
      </c>
      <c r="K660">
        <v>357</v>
      </c>
      <c r="L660">
        <v>44</v>
      </c>
      <c r="M660" t="s">
        <v>48</v>
      </c>
      <c r="N660" t="s">
        <v>40</v>
      </c>
      <c r="O660" t="s">
        <v>50</v>
      </c>
      <c r="P660">
        <v>67</v>
      </c>
      <c r="Q660">
        <v>4.0999999999999996</v>
      </c>
      <c r="R660" t="b">
        <v>0</v>
      </c>
      <c r="S660" t="s">
        <v>28</v>
      </c>
      <c r="T660">
        <v>1271</v>
      </c>
      <c r="U660" t="s">
        <v>35</v>
      </c>
      <c r="V660" t="s">
        <v>60</v>
      </c>
      <c r="W660" t="s">
        <v>37</v>
      </c>
    </row>
    <row r="661" spans="1:23" x14ac:dyDescent="0.3">
      <c r="A661">
        <v>1337</v>
      </c>
      <c r="B661" t="s">
        <v>341</v>
      </c>
      <c r="C661" s="1">
        <v>45036</v>
      </c>
      <c r="D661" s="1">
        <v>45642</v>
      </c>
      <c r="E661">
        <v>7.99</v>
      </c>
      <c r="F661">
        <v>103</v>
      </c>
      <c r="G661" t="s">
        <v>79</v>
      </c>
      <c r="H661">
        <v>2</v>
      </c>
      <c r="I661">
        <v>1</v>
      </c>
      <c r="J661" t="b">
        <v>0</v>
      </c>
      <c r="K661">
        <v>474</v>
      </c>
      <c r="L661">
        <v>2</v>
      </c>
      <c r="M661" t="s">
        <v>63</v>
      </c>
      <c r="N661" t="s">
        <v>26</v>
      </c>
      <c r="O661" t="s">
        <v>34</v>
      </c>
      <c r="P661">
        <v>31</v>
      </c>
      <c r="Q661">
        <v>3.5</v>
      </c>
      <c r="R661" t="b">
        <v>0</v>
      </c>
      <c r="S661" t="s">
        <v>28</v>
      </c>
      <c r="T661">
        <v>4537</v>
      </c>
      <c r="U661" t="s">
        <v>51</v>
      </c>
      <c r="V661" t="s">
        <v>52</v>
      </c>
      <c r="W661" t="s">
        <v>75</v>
      </c>
    </row>
    <row r="662" spans="1:23" x14ac:dyDescent="0.3">
      <c r="A662">
        <v>5901</v>
      </c>
      <c r="B662" t="s">
        <v>38</v>
      </c>
      <c r="C662" s="1">
        <v>45022</v>
      </c>
      <c r="D662" s="1">
        <v>45644</v>
      </c>
      <c r="E662">
        <v>7.99</v>
      </c>
      <c r="F662">
        <v>207</v>
      </c>
      <c r="G662" t="s">
        <v>55</v>
      </c>
      <c r="H662">
        <v>5</v>
      </c>
      <c r="I662">
        <v>5</v>
      </c>
      <c r="J662" t="b">
        <v>1</v>
      </c>
      <c r="K662">
        <v>946</v>
      </c>
      <c r="L662">
        <v>166</v>
      </c>
      <c r="M662" t="s">
        <v>74</v>
      </c>
      <c r="N662" t="s">
        <v>64</v>
      </c>
      <c r="O662" t="s">
        <v>27</v>
      </c>
      <c r="P662">
        <v>96</v>
      </c>
      <c r="Q662">
        <v>4.5999999999999996</v>
      </c>
      <c r="R662" t="b">
        <v>0</v>
      </c>
      <c r="S662" t="s">
        <v>28</v>
      </c>
      <c r="T662">
        <v>4815</v>
      </c>
      <c r="U662" t="s">
        <v>65</v>
      </c>
      <c r="V662" t="s">
        <v>68</v>
      </c>
      <c r="W662" t="s">
        <v>37</v>
      </c>
    </row>
    <row r="663" spans="1:23" x14ac:dyDescent="0.3">
      <c r="A663">
        <v>2731</v>
      </c>
      <c r="B663" t="s">
        <v>342</v>
      </c>
      <c r="C663" s="1">
        <v>45454</v>
      </c>
      <c r="D663" s="1">
        <v>45639</v>
      </c>
      <c r="E663">
        <v>15.99</v>
      </c>
      <c r="F663">
        <v>267</v>
      </c>
      <c r="G663" t="s">
        <v>79</v>
      </c>
      <c r="H663">
        <v>5</v>
      </c>
      <c r="I663">
        <v>5</v>
      </c>
      <c r="J663" t="b">
        <v>1</v>
      </c>
      <c r="K663">
        <v>890</v>
      </c>
      <c r="L663">
        <v>187</v>
      </c>
      <c r="M663" t="s">
        <v>44</v>
      </c>
      <c r="N663" t="s">
        <v>26</v>
      </c>
      <c r="O663" t="s">
        <v>67</v>
      </c>
      <c r="P663">
        <v>98</v>
      </c>
      <c r="Q663">
        <v>3</v>
      </c>
      <c r="R663" t="b">
        <v>1</v>
      </c>
      <c r="S663" t="s">
        <v>28</v>
      </c>
      <c r="T663">
        <v>3510</v>
      </c>
      <c r="U663" t="s">
        <v>57</v>
      </c>
      <c r="V663" t="s">
        <v>60</v>
      </c>
      <c r="W663" t="s">
        <v>53</v>
      </c>
    </row>
    <row r="664" spans="1:23" x14ac:dyDescent="0.3">
      <c r="A664">
        <v>8307</v>
      </c>
      <c r="B664" t="s">
        <v>158</v>
      </c>
      <c r="C664" s="1">
        <v>45295</v>
      </c>
      <c r="D664" s="1">
        <v>45632</v>
      </c>
      <c r="E664">
        <v>7.99</v>
      </c>
      <c r="F664">
        <v>266</v>
      </c>
      <c r="G664" t="s">
        <v>55</v>
      </c>
      <c r="H664">
        <v>5</v>
      </c>
      <c r="I664">
        <v>3</v>
      </c>
      <c r="J664" t="b">
        <v>1</v>
      </c>
      <c r="K664">
        <v>583</v>
      </c>
      <c r="L664">
        <v>131</v>
      </c>
      <c r="M664" t="s">
        <v>39</v>
      </c>
      <c r="N664" t="s">
        <v>40</v>
      </c>
      <c r="O664" t="s">
        <v>41</v>
      </c>
      <c r="P664">
        <v>0</v>
      </c>
      <c r="Q664">
        <v>4</v>
      </c>
      <c r="R664" t="b">
        <v>0</v>
      </c>
      <c r="S664" t="s">
        <v>28</v>
      </c>
      <c r="T664">
        <v>4789</v>
      </c>
      <c r="U664" t="s">
        <v>65</v>
      </c>
      <c r="V664" t="s">
        <v>30</v>
      </c>
      <c r="W664" t="s">
        <v>53</v>
      </c>
    </row>
    <row r="665" spans="1:23" x14ac:dyDescent="0.3">
      <c r="A665">
        <v>8019</v>
      </c>
      <c r="B665" t="s">
        <v>343</v>
      </c>
      <c r="C665" s="1">
        <v>44976</v>
      </c>
      <c r="D665" s="1">
        <v>45615</v>
      </c>
      <c r="E665">
        <v>11.99</v>
      </c>
      <c r="F665">
        <v>240</v>
      </c>
      <c r="G665" t="s">
        <v>62</v>
      </c>
      <c r="H665">
        <v>4</v>
      </c>
      <c r="I665">
        <v>1</v>
      </c>
      <c r="J665" t="b">
        <v>0</v>
      </c>
      <c r="K665">
        <v>304</v>
      </c>
      <c r="L665">
        <v>25</v>
      </c>
      <c r="M665" t="s">
        <v>39</v>
      </c>
      <c r="N665" t="s">
        <v>26</v>
      </c>
      <c r="O665" t="s">
        <v>34</v>
      </c>
      <c r="P665">
        <v>66</v>
      </c>
      <c r="Q665">
        <v>4.5999999999999996</v>
      </c>
      <c r="R665" t="b">
        <v>0</v>
      </c>
      <c r="S665" t="s">
        <v>28</v>
      </c>
      <c r="T665">
        <v>863</v>
      </c>
      <c r="U665" t="s">
        <v>51</v>
      </c>
      <c r="V665" t="s">
        <v>52</v>
      </c>
      <c r="W665" t="s">
        <v>37</v>
      </c>
    </row>
    <row r="666" spans="1:23" x14ac:dyDescent="0.3">
      <c r="A666">
        <v>4847</v>
      </c>
      <c r="B666" t="s">
        <v>153</v>
      </c>
      <c r="C666" s="1">
        <v>45627</v>
      </c>
      <c r="D666" s="1">
        <v>45626</v>
      </c>
      <c r="E666">
        <v>15.99</v>
      </c>
      <c r="F666">
        <v>315</v>
      </c>
      <c r="G666" t="s">
        <v>55</v>
      </c>
      <c r="H666">
        <v>1</v>
      </c>
      <c r="I666">
        <v>6</v>
      </c>
      <c r="J666" t="b">
        <v>0</v>
      </c>
      <c r="K666">
        <v>205</v>
      </c>
      <c r="L666">
        <v>92</v>
      </c>
      <c r="M666" t="s">
        <v>48</v>
      </c>
      <c r="N666" t="s">
        <v>26</v>
      </c>
      <c r="O666" t="s">
        <v>56</v>
      </c>
      <c r="P666">
        <v>67</v>
      </c>
      <c r="Q666">
        <v>3.5</v>
      </c>
      <c r="R666" t="b">
        <v>0</v>
      </c>
      <c r="S666" t="s">
        <v>28</v>
      </c>
      <c r="T666">
        <v>1584</v>
      </c>
      <c r="U666" t="s">
        <v>65</v>
      </c>
      <c r="V666" t="s">
        <v>68</v>
      </c>
      <c r="W666" t="s">
        <v>31</v>
      </c>
    </row>
    <row r="667" spans="1:23" x14ac:dyDescent="0.3">
      <c r="A667">
        <v>9822</v>
      </c>
      <c r="B667" t="s">
        <v>140</v>
      </c>
      <c r="C667" s="1">
        <v>45100</v>
      </c>
      <c r="D667" s="1">
        <v>45639</v>
      </c>
      <c r="E667">
        <v>7.99</v>
      </c>
      <c r="F667">
        <v>276</v>
      </c>
      <c r="G667" t="s">
        <v>62</v>
      </c>
      <c r="H667">
        <v>4</v>
      </c>
      <c r="I667">
        <v>1</v>
      </c>
      <c r="J667" t="b">
        <v>1</v>
      </c>
      <c r="K667">
        <v>348</v>
      </c>
      <c r="L667">
        <v>13</v>
      </c>
      <c r="M667" t="s">
        <v>48</v>
      </c>
      <c r="N667" t="s">
        <v>64</v>
      </c>
      <c r="O667" t="s">
        <v>34</v>
      </c>
      <c r="P667">
        <v>34</v>
      </c>
      <c r="Q667">
        <v>4.7</v>
      </c>
      <c r="R667" t="b">
        <v>0</v>
      </c>
      <c r="S667" t="s">
        <v>28</v>
      </c>
      <c r="T667">
        <v>3178</v>
      </c>
      <c r="U667" t="s">
        <v>51</v>
      </c>
      <c r="V667" t="s">
        <v>68</v>
      </c>
      <c r="W667" t="s">
        <v>75</v>
      </c>
    </row>
    <row r="668" spans="1:23" x14ac:dyDescent="0.3">
      <c r="A668">
        <v>9141</v>
      </c>
      <c r="B668" t="s">
        <v>344</v>
      </c>
      <c r="C668" s="1">
        <v>45229</v>
      </c>
      <c r="D668" s="1">
        <v>45621</v>
      </c>
      <c r="E668">
        <v>7.99</v>
      </c>
      <c r="F668">
        <v>308</v>
      </c>
      <c r="G668" t="s">
        <v>33</v>
      </c>
      <c r="H668">
        <v>1</v>
      </c>
      <c r="I668">
        <v>5</v>
      </c>
      <c r="J668" t="b">
        <v>0</v>
      </c>
      <c r="K668">
        <v>107</v>
      </c>
      <c r="L668">
        <v>87</v>
      </c>
      <c r="M668" t="s">
        <v>39</v>
      </c>
      <c r="N668" t="s">
        <v>64</v>
      </c>
      <c r="O668" t="s">
        <v>67</v>
      </c>
      <c r="P668">
        <v>17</v>
      </c>
      <c r="Q668">
        <v>3.4</v>
      </c>
      <c r="R668" t="b">
        <v>0</v>
      </c>
      <c r="S668" t="s">
        <v>28</v>
      </c>
      <c r="T668">
        <v>4108</v>
      </c>
      <c r="U668" t="s">
        <v>35</v>
      </c>
      <c r="V668" t="s">
        <v>52</v>
      </c>
      <c r="W668" t="s">
        <v>31</v>
      </c>
    </row>
    <row r="669" spans="1:23" x14ac:dyDescent="0.3">
      <c r="A669">
        <v>7539</v>
      </c>
      <c r="B669" t="s">
        <v>335</v>
      </c>
      <c r="C669" s="1">
        <v>45170</v>
      </c>
      <c r="D669" s="1">
        <v>45634</v>
      </c>
      <c r="E669">
        <v>7.99</v>
      </c>
      <c r="F669">
        <v>297</v>
      </c>
      <c r="G669" t="s">
        <v>55</v>
      </c>
      <c r="H669">
        <v>1</v>
      </c>
      <c r="I669">
        <v>6</v>
      </c>
      <c r="J669" t="b">
        <v>1</v>
      </c>
      <c r="K669">
        <v>959</v>
      </c>
      <c r="L669">
        <v>71</v>
      </c>
      <c r="M669" t="s">
        <v>63</v>
      </c>
      <c r="N669" t="s">
        <v>64</v>
      </c>
      <c r="O669" t="s">
        <v>67</v>
      </c>
      <c r="P669">
        <v>82</v>
      </c>
      <c r="Q669">
        <v>3.3</v>
      </c>
      <c r="R669" t="b">
        <v>1</v>
      </c>
      <c r="S669" t="s">
        <v>28</v>
      </c>
      <c r="T669">
        <v>2562</v>
      </c>
      <c r="U669" t="s">
        <v>65</v>
      </c>
      <c r="V669" t="s">
        <v>36</v>
      </c>
      <c r="W669" t="s">
        <v>75</v>
      </c>
    </row>
    <row r="670" spans="1:23" x14ac:dyDescent="0.3">
      <c r="A670">
        <v>1390</v>
      </c>
      <c r="B670" t="s">
        <v>345</v>
      </c>
      <c r="C670" s="1">
        <v>45501</v>
      </c>
      <c r="D670" s="1">
        <v>45625</v>
      </c>
      <c r="E670">
        <v>11.99</v>
      </c>
      <c r="F670">
        <v>326</v>
      </c>
      <c r="G670" t="s">
        <v>55</v>
      </c>
      <c r="H670">
        <v>4</v>
      </c>
      <c r="I670">
        <v>1</v>
      </c>
      <c r="J670" t="b">
        <v>0</v>
      </c>
      <c r="K670">
        <v>439</v>
      </c>
      <c r="L670">
        <v>88</v>
      </c>
      <c r="M670" t="s">
        <v>74</v>
      </c>
      <c r="N670" t="s">
        <v>40</v>
      </c>
      <c r="O670" t="s">
        <v>56</v>
      </c>
      <c r="P670">
        <v>3</v>
      </c>
      <c r="Q670">
        <v>3.3</v>
      </c>
      <c r="R670" t="b">
        <v>1</v>
      </c>
      <c r="S670" t="s">
        <v>28</v>
      </c>
      <c r="T670">
        <v>3499</v>
      </c>
      <c r="U670" t="s">
        <v>51</v>
      </c>
      <c r="V670" t="s">
        <v>36</v>
      </c>
      <c r="W670" t="s">
        <v>75</v>
      </c>
    </row>
    <row r="671" spans="1:23" x14ac:dyDescent="0.3">
      <c r="A671">
        <v>9505</v>
      </c>
      <c r="B671" t="s">
        <v>184</v>
      </c>
      <c r="C671" s="1">
        <v>45469</v>
      </c>
      <c r="D671" s="1">
        <v>45630</v>
      </c>
      <c r="E671">
        <v>15.99</v>
      </c>
      <c r="F671">
        <v>352</v>
      </c>
      <c r="G671" t="s">
        <v>62</v>
      </c>
      <c r="H671">
        <v>4</v>
      </c>
      <c r="I671">
        <v>6</v>
      </c>
      <c r="J671" t="b">
        <v>0</v>
      </c>
      <c r="K671">
        <v>757</v>
      </c>
      <c r="L671">
        <v>13</v>
      </c>
      <c r="M671" t="s">
        <v>74</v>
      </c>
      <c r="N671" t="s">
        <v>40</v>
      </c>
      <c r="O671" t="s">
        <v>27</v>
      </c>
      <c r="P671">
        <v>67</v>
      </c>
      <c r="Q671">
        <v>4.3</v>
      </c>
      <c r="R671" t="b">
        <v>1</v>
      </c>
      <c r="S671" t="s">
        <v>28</v>
      </c>
      <c r="T671">
        <v>3645</v>
      </c>
      <c r="U671" t="s">
        <v>65</v>
      </c>
      <c r="V671" t="s">
        <v>30</v>
      </c>
      <c r="W671" t="s">
        <v>75</v>
      </c>
    </row>
    <row r="672" spans="1:23" x14ac:dyDescent="0.3">
      <c r="A672">
        <v>6741</v>
      </c>
      <c r="B672" t="s">
        <v>168</v>
      </c>
      <c r="C672" s="1">
        <v>45227</v>
      </c>
      <c r="D672" s="1">
        <v>45616</v>
      </c>
      <c r="E672">
        <v>7.99</v>
      </c>
      <c r="F672">
        <v>180</v>
      </c>
      <c r="G672" t="s">
        <v>43</v>
      </c>
      <c r="H672">
        <v>5</v>
      </c>
      <c r="I672">
        <v>2</v>
      </c>
      <c r="J672" t="b">
        <v>1</v>
      </c>
      <c r="K672">
        <v>647</v>
      </c>
      <c r="L672">
        <v>2</v>
      </c>
      <c r="M672" t="s">
        <v>39</v>
      </c>
      <c r="N672" t="s">
        <v>64</v>
      </c>
      <c r="O672" t="s">
        <v>67</v>
      </c>
      <c r="P672">
        <v>9</v>
      </c>
      <c r="Q672">
        <v>3.5</v>
      </c>
      <c r="R672" t="b">
        <v>0</v>
      </c>
      <c r="S672" t="s">
        <v>28</v>
      </c>
      <c r="T672">
        <v>2989</v>
      </c>
      <c r="U672" t="s">
        <v>29</v>
      </c>
      <c r="V672" t="s">
        <v>68</v>
      </c>
      <c r="W672" t="s">
        <v>75</v>
      </c>
    </row>
    <row r="673" spans="1:23" x14ac:dyDescent="0.3">
      <c r="A673">
        <v>1790</v>
      </c>
      <c r="B673" t="s">
        <v>346</v>
      </c>
      <c r="C673" s="1">
        <v>45362</v>
      </c>
      <c r="D673" s="1">
        <v>45627</v>
      </c>
      <c r="E673">
        <v>11.99</v>
      </c>
      <c r="F673">
        <v>362</v>
      </c>
      <c r="G673" t="s">
        <v>43</v>
      </c>
      <c r="H673">
        <v>2</v>
      </c>
      <c r="I673">
        <v>2</v>
      </c>
      <c r="J673" t="b">
        <v>0</v>
      </c>
      <c r="K673">
        <v>535</v>
      </c>
      <c r="L673">
        <v>200</v>
      </c>
      <c r="M673" t="s">
        <v>63</v>
      </c>
      <c r="N673" t="s">
        <v>40</v>
      </c>
      <c r="O673" t="s">
        <v>27</v>
      </c>
      <c r="P673">
        <v>60</v>
      </c>
      <c r="Q673">
        <v>4.9000000000000004</v>
      </c>
      <c r="R673" t="b">
        <v>1</v>
      </c>
      <c r="S673" t="s">
        <v>28</v>
      </c>
      <c r="T673">
        <v>55</v>
      </c>
      <c r="U673" t="s">
        <v>65</v>
      </c>
      <c r="V673" t="s">
        <v>52</v>
      </c>
      <c r="W673" t="s">
        <v>31</v>
      </c>
    </row>
    <row r="674" spans="1:23" x14ac:dyDescent="0.3">
      <c r="A674">
        <v>6491</v>
      </c>
      <c r="B674" t="s">
        <v>347</v>
      </c>
      <c r="C674" s="1">
        <v>44941</v>
      </c>
      <c r="D674" s="1">
        <v>45624</v>
      </c>
      <c r="E674">
        <v>7.99</v>
      </c>
      <c r="F674">
        <v>154</v>
      </c>
      <c r="G674" t="s">
        <v>24</v>
      </c>
      <c r="H674">
        <v>5</v>
      </c>
      <c r="I674">
        <v>4</v>
      </c>
      <c r="J674" t="b">
        <v>1</v>
      </c>
      <c r="K674">
        <v>340</v>
      </c>
      <c r="L674">
        <v>53</v>
      </c>
      <c r="M674" t="s">
        <v>63</v>
      </c>
      <c r="N674" t="s">
        <v>49</v>
      </c>
      <c r="O674" t="s">
        <v>56</v>
      </c>
      <c r="P674">
        <v>31</v>
      </c>
      <c r="Q674">
        <v>4.4000000000000004</v>
      </c>
      <c r="R674" t="b">
        <v>0</v>
      </c>
      <c r="S674" t="s">
        <v>28</v>
      </c>
      <c r="T674">
        <v>1850</v>
      </c>
      <c r="U674" t="s">
        <v>35</v>
      </c>
      <c r="V674" t="s">
        <v>68</v>
      </c>
      <c r="W674" t="s">
        <v>31</v>
      </c>
    </row>
    <row r="675" spans="1:23" x14ac:dyDescent="0.3">
      <c r="A675">
        <v>3102</v>
      </c>
      <c r="B675" t="s">
        <v>169</v>
      </c>
      <c r="C675" s="1">
        <v>45538</v>
      </c>
      <c r="D675" s="1">
        <v>45623</v>
      </c>
      <c r="E675">
        <v>7.99</v>
      </c>
      <c r="F675">
        <v>287</v>
      </c>
      <c r="G675" t="s">
        <v>33</v>
      </c>
      <c r="H675">
        <v>1</v>
      </c>
      <c r="I675">
        <v>2</v>
      </c>
      <c r="J675" t="b">
        <v>0</v>
      </c>
      <c r="K675">
        <v>670</v>
      </c>
      <c r="L675">
        <v>147</v>
      </c>
      <c r="M675" t="s">
        <v>25</v>
      </c>
      <c r="N675" t="s">
        <v>40</v>
      </c>
      <c r="O675" t="s">
        <v>27</v>
      </c>
      <c r="P675">
        <v>42</v>
      </c>
      <c r="Q675">
        <v>4.3</v>
      </c>
      <c r="R675" t="b">
        <v>1</v>
      </c>
      <c r="S675" t="s">
        <v>28</v>
      </c>
      <c r="T675">
        <v>4672</v>
      </c>
      <c r="U675" t="s">
        <v>29</v>
      </c>
      <c r="V675" t="s">
        <v>52</v>
      </c>
      <c r="W675" t="s">
        <v>37</v>
      </c>
    </row>
    <row r="676" spans="1:23" x14ac:dyDescent="0.3">
      <c r="A676">
        <v>1300</v>
      </c>
      <c r="B676" t="s">
        <v>348</v>
      </c>
      <c r="C676" s="1">
        <v>45104</v>
      </c>
      <c r="D676" s="1">
        <v>45642</v>
      </c>
      <c r="E676">
        <v>11.99</v>
      </c>
      <c r="F676">
        <v>303</v>
      </c>
      <c r="G676" t="s">
        <v>79</v>
      </c>
      <c r="H676">
        <v>3</v>
      </c>
      <c r="I676">
        <v>6</v>
      </c>
      <c r="J676" t="b">
        <v>1</v>
      </c>
      <c r="K676">
        <v>780</v>
      </c>
      <c r="L676">
        <v>128</v>
      </c>
      <c r="M676" t="s">
        <v>74</v>
      </c>
      <c r="N676" t="s">
        <v>40</v>
      </c>
      <c r="O676" t="s">
        <v>56</v>
      </c>
      <c r="P676">
        <v>12</v>
      </c>
      <c r="Q676">
        <v>4.5999999999999996</v>
      </c>
      <c r="R676" t="b">
        <v>1</v>
      </c>
      <c r="S676" t="s">
        <v>28</v>
      </c>
      <c r="T676">
        <v>2615</v>
      </c>
      <c r="U676" t="s">
        <v>35</v>
      </c>
      <c r="V676" t="s">
        <v>30</v>
      </c>
      <c r="W676" t="s">
        <v>53</v>
      </c>
    </row>
    <row r="677" spans="1:23" x14ac:dyDescent="0.3">
      <c r="A677">
        <v>5410</v>
      </c>
      <c r="B677" t="s">
        <v>349</v>
      </c>
      <c r="C677" s="1">
        <v>45113</v>
      </c>
      <c r="D677" s="1">
        <v>45627</v>
      </c>
      <c r="E677">
        <v>15.99</v>
      </c>
      <c r="F677">
        <v>447</v>
      </c>
      <c r="G677" t="s">
        <v>55</v>
      </c>
      <c r="H677">
        <v>1</v>
      </c>
      <c r="I677">
        <v>5</v>
      </c>
      <c r="J677" t="b">
        <v>0</v>
      </c>
      <c r="K677">
        <v>615</v>
      </c>
      <c r="L677">
        <v>132</v>
      </c>
      <c r="M677" t="s">
        <v>59</v>
      </c>
      <c r="N677" t="s">
        <v>64</v>
      </c>
      <c r="O677" t="s">
        <v>41</v>
      </c>
      <c r="P677">
        <v>88</v>
      </c>
      <c r="Q677">
        <v>3.9</v>
      </c>
      <c r="R677" t="b">
        <v>0</v>
      </c>
      <c r="S677" t="s">
        <v>28</v>
      </c>
      <c r="T677">
        <v>4927</v>
      </c>
      <c r="U677" t="s">
        <v>57</v>
      </c>
      <c r="V677" t="s">
        <v>60</v>
      </c>
      <c r="W677" t="s">
        <v>53</v>
      </c>
    </row>
    <row r="678" spans="1:23" x14ac:dyDescent="0.3">
      <c r="A678">
        <v>2714</v>
      </c>
      <c r="B678" t="s">
        <v>350</v>
      </c>
      <c r="C678" s="1">
        <v>45635</v>
      </c>
      <c r="D678" s="1">
        <v>45624</v>
      </c>
      <c r="E678">
        <v>11.99</v>
      </c>
      <c r="F678">
        <v>480</v>
      </c>
      <c r="G678" t="s">
        <v>43</v>
      </c>
      <c r="H678">
        <v>4</v>
      </c>
      <c r="I678">
        <v>6</v>
      </c>
      <c r="J678" t="b">
        <v>1</v>
      </c>
      <c r="K678">
        <v>277</v>
      </c>
      <c r="L678">
        <v>25</v>
      </c>
      <c r="M678" t="s">
        <v>63</v>
      </c>
      <c r="N678" t="s">
        <v>49</v>
      </c>
      <c r="O678" t="s">
        <v>67</v>
      </c>
      <c r="P678">
        <v>41</v>
      </c>
      <c r="Q678">
        <v>4.8</v>
      </c>
      <c r="R678" t="b">
        <v>0</v>
      </c>
      <c r="S678" t="s">
        <v>28</v>
      </c>
      <c r="T678">
        <v>3069</v>
      </c>
      <c r="U678" t="s">
        <v>65</v>
      </c>
      <c r="V678" t="s">
        <v>30</v>
      </c>
      <c r="W678" t="s">
        <v>75</v>
      </c>
    </row>
    <row r="679" spans="1:23" x14ac:dyDescent="0.3">
      <c r="A679">
        <v>4700</v>
      </c>
      <c r="B679" t="s">
        <v>121</v>
      </c>
      <c r="C679" s="1">
        <v>45612</v>
      </c>
      <c r="D679" s="1">
        <v>45630</v>
      </c>
      <c r="E679">
        <v>7.99</v>
      </c>
      <c r="F679">
        <v>438</v>
      </c>
      <c r="G679" t="s">
        <v>24</v>
      </c>
      <c r="H679">
        <v>4</v>
      </c>
      <c r="I679">
        <v>4</v>
      </c>
      <c r="J679" t="b">
        <v>1</v>
      </c>
      <c r="K679">
        <v>546</v>
      </c>
      <c r="L679">
        <v>88</v>
      </c>
      <c r="M679" t="s">
        <v>44</v>
      </c>
      <c r="N679" t="s">
        <v>64</v>
      </c>
      <c r="O679" t="s">
        <v>67</v>
      </c>
      <c r="P679">
        <v>36</v>
      </c>
      <c r="Q679">
        <v>3.5</v>
      </c>
      <c r="R679" t="b">
        <v>0</v>
      </c>
      <c r="S679" t="s">
        <v>28</v>
      </c>
      <c r="T679">
        <v>1906</v>
      </c>
      <c r="U679" t="s">
        <v>57</v>
      </c>
      <c r="V679" t="s">
        <v>68</v>
      </c>
      <c r="W679" t="s">
        <v>75</v>
      </c>
    </row>
    <row r="680" spans="1:23" x14ac:dyDescent="0.3">
      <c r="A680">
        <v>7589</v>
      </c>
      <c r="B680" t="s">
        <v>181</v>
      </c>
      <c r="C680" s="1">
        <v>45145</v>
      </c>
      <c r="D680" s="1">
        <v>45628</v>
      </c>
      <c r="E680">
        <v>15.99</v>
      </c>
      <c r="F680">
        <v>295</v>
      </c>
      <c r="G680" t="s">
        <v>55</v>
      </c>
      <c r="H680">
        <v>2</v>
      </c>
      <c r="I680">
        <v>5</v>
      </c>
      <c r="J680" t="b">
        <v>0</v>
      </c>
      <c r="K680">
        <v>514</v>
      </c>
      <c r="L680">
        <v>102</v>
      </c>
      <c r="M680" t="s">
        <v>63</v>
      </c>
      <c r="N680" t="s">
        <v>26</v>
      </c>
      <c r="O680" t="s">
        <v>34</v>
      </c>
      <c r="P680">
        <v>3</v>
      </c>
      <c r="Q680">
        <v>4.8</v>
      </c>
      <c r="R680" t="b">
        <v>0</v>
      </c>
      <c r="S680" t="s">
        <v>28</v>
      </c>
      <c r="T680">
        <v>105</v>
      </c>
      <c r="U680" t="s">
        <v>29</v>
      </c>
      <c r="V680" t="s">
        <v>60</v>
      </c>
      <c r="W680" t="s">
        <v>75</v>
      </c>
    </row>
    <row r="681" spans="1:23" x14ac:dyDescent="0.3">
      <c r="A681">
        <v>6866</v>
      </c>
      <c r="B681" t="s">
        <v>133</v>
      </c>
      <c r="C681" s="1">
        <v>45430</v>
      </c>
      <c r="D681" s="1">
        <v>45620</v>
      </c>
      <c r="E681">
        <v>11.99</v>
      </c>
      <c r="F681">
        <v>479</v>
      </c>
      <c r="G681" t="s">
        <v>55</v>
      </c>
      <c r="H681">
        <v>1</v>
      </c>
      <c r="I681">
        <v>3</v>
      </c>
      <c r="J681" t="b">
        <v>1</v>
      </c>
      <c r="K681">
        <v>952</v>
      </c>
      <c r="L681">
        <v>48</v>
      </c>
      <c r="M681" t="s">
        <v>25</v>
      </c>
      <c r="N681" t="s">
        <v>49</v>
      </c>
      <c r="O681" t="s">
        <v>56</v>
      </c>
      <c r="P681">
        <v>54</v>
      </c>
      <c r="Q681">
        <v>4.5999999999999996</v>
      </c>
      <c r="R681" t="b">
        <v>1</v>
      </c>
      <c r="S681" t="s">
        <v>28</v>
      </c>
      <c r="T681">
        <v>4</v>
      </c>
      <c r="U681" t="s">
        <v>35</v>
      </c>
      <c r="V681" t="s">
        <v>68</v>
      </c>
      <c r="W681" t="s">
        <v>37</v>
      </c>
    </row>
    <row r="682" spans="1:23" x14ac:dyDescent="0.3">
      <c r="A682">
        <v>6960</v>
      </c>
      <c r="B682" t="s">
        <v>351</v>
      </c>
      <c r="C682" s="1">
        <v>45242</v>
      </c>
      <c r="D682" s="1">
        <v>45622</v>
      </c>
      <c r="E682">
        <v>15.99</v>
      </c>
      <c r="F682">
        <v>214</v>
      </c>
      <c r="G682" t="s">
        <v>46</v>
      </c>
      <c r="H682">
        <v>5</v>
      </c>
      <c r="I682">
        <v>6</v>
      </c>
      <c r="J682" t="b">
        <v>1</v>
      </c>
      <c r="K682">
        <v>780</v>
      </c>
      <c r="L682">
        <v>16</v>
      </c>
      <c r="M682" t="s">
        <v>74</v>
      </c>
      <c r="N682" t="s">
        <v>26</v>
      </c>
      <c r="O682" t="s">
        <v>67</v>
      </c>
      <c r="P682">
        <v>1</v>
      </c>
      <c r="Q682">
        <v>3.3</v>
      </c>
      <c r="R682" t="b">
        <v>1</v>
      </c>
      <c r="S682" t="s">
        <v>28</v>
      </c>
      <c r="T682">
        <v>1651</v>
      </c>
      <c r="U682" t="s">
        <v>51</v>
      </c>
      <c r="V682" t="s">
        <v>68</v>
      </c>
      <c r="W682" t="s">
        <v>37</v>
      </c>
    </row>
    <row r="683" spans="1:23" x14ac:dyDescent="0.3">
      <c r="A683">
        <v>5808</v>
      </c>
      <c r="B683" t="s">
        <v>278</v>
      </c>
      <c r="C683" s="1">
        <v>45373</v>
      </c>
      <c r="D683" s="1">
        <v>45615</v>
      </c>
      <c r="E683">
        <v>15.99</v>
      </c>
      <c r="F683">
        <v>69</v>
      </c>
      <c r="G683" t="s">
        <v>24</v>
      </c>
      <c r="H683">
        <v>4</v>
      </c>
      <c r="I683">
        <v>5</v>
      </c>
      <c r="J683" t="b">
        <v>0</v>
      </c>
      <c r="K683">
        <v>976</v>
      </c>
      <c r="L683">
        <v>105</v>
      </c>
      <c r="M683" t="s">
        <v>25</v>
      </c>
      <c r="N683" t="s">
        <v>64</v>
      </c>
      <c r="O683" t="s">
        <v>41</v>
      </c>
      <c r="P683">
        <v>50</v>
      </c>
      <c r="Q683">
        <v>4.7</v>
      </c>
      <c r="R683" t="b">
        <v>1</v>
      </c>
      <c r="S683" t="s">
        <v>28</v>
      </c>
      <c r="T683">
        <v>1828</v>
      </c>
      <c r="U683" t="s">
        <v>65</v>
      </c>
      <c r="V683" t="s">
        <v>60</v>
      </c>
      <c r="W683" t="s">
        <v>37</v>
      </c>
    </row>
    <row r="684" spans="1:23" x14ac:dyDescent="0.3">
      <c r="A684">
        <v>5525</v>
      </c>
      <c r="B684" t="s">
        <v>146</v>
      </c>
      <c r="C684" s="1">
        <v>45204</v>
      </c>
      <c r="D684" s="1">
        <v>45632</v>
      </c>
      <c r="E684">
        <v>15.99</v>
      </c>
      <c r="F684">
        <v>344</v>
      </c>
      <c r="G684" t="s">
        <v>24</v>
      </c>
      <c r="H684">
        <v>5</v>
      </c>
      <c r="I684">
        <v>2</v>
      </c>
      <c r="J684" t="b">
        <v>0</v>
      </c>
      <c r="K684">
        <v>91</v>
      </c>
      <c r="L684">
        <v>137</v>
      </c>
      <c r="M684" t="s">
        <v>63</v>
      </c>
      <c r="N684" t="s">
        <v>64</v>
      </c>
      <c r="O684" t="s">
        <v>34</v>
      </c>
      <c r="P684">
        <v>37</v>
      </c>
      <c r="Q684">
        <v>3.4</v>
      </c>
      <c r="R684" t="b">
        <v>1</v>
      </c>
      <c r="S684" t="s">
        <v>28</v>
      </c>
      <c r="T684">
        <v>396</v>
      </c>
      <c r="U684" t="s">
        <v>51</v>
      </c>
      <c r="V684" t="s">
        <v>30</v>
      </c>
      <c r="W684" t="s">
        <v>31</v>
      </c>
    </row>
    <row r="685" spans="1:23" x14ac:dyDescent="0.3">
      <c r="A685">
        <v>1272</v>
      </c>
      <c r="B685" t="s">
        <v>176</v>
      </c>
      <c r="C685" s="1">
        <v>45490</v>
      </c>
      <c r="D685" s="1">
        <v>45616</v>
      </c>
      <c r="E685">
        <v>15.99</v>
      </c>
      <c r="F685">
        <v>163</v>
      </c>
      <c r="G685" t="s">
        <v>62</v>
      </c>
      <c r="H685">
        <v>5</v>
      </c>
      <c r="I685">
        <v>1</v>
      </c>
      <c r="J685" t="b">
        <v>0</v>
      </c>
      <c r="K685">
        <v>683</v>
      </c>
      <c r="L685">
        <v>108</v>
      </c>
      <c r="M685" t="s">
        <v>44</v>
      </c>
      <c r="N685" t="s">
        <v>64</v>
      </c>
      <c r="O685" t="s">
        <v>41</v>
      </c>
      <c r="P685">
        <v>10</v>
      </c>
      <c r="Q685">
        <v>4.2</v>
      </c>
      <c r="R685" t="b">
        <v>0</v>
      </c>
      <c r="S685" t="s">
        <v>28</v>
      </c>
      <c r="T685">
        <v>809</v>
      </c>
      <c r="U685" t="s">
        <v>29</v>
      </c>
      <c r="V685" t="s">
        <v>68</v>
      </c>
      <c r="W685" t="s">
        <v>37</v>
      </c>
    </row>
    <row r="686" spans="1:23" x14ac:dyDescent="0.3">
      <c r="A686">
        <v>8063</v>
      </c>
      <c r="B686" t="s">
        <v>195</v>
      </c>
      <c r="C686" s="1">
        <v>45104</v>
      </c>
      <c r="D686" s="1">
        <v>45638</v>
      </c>
      <c r="E686">
        <v>7.99</v>
      </c>
      <c r="F686">
        <v>217</v>
      </c>
      <c r="G686" t="s">
        <v>62</v>
      </c>
      <c r="H686">
        <v>1</v>
      </c>
      <c r="I686">
        <v>6</v>
      </c>
      <c r="J686" t="b">
        <v>0</v>
      </c>
      <c r="K686">
        <v>53</v>
      </c>
      <c r="L686">
        <v>153</v>
      </c>
      <c r="M686" t="s">
        <v>39</v>
      </c>
      <c r="N686" t="s">
        <v>26</v>
      </c>
      <c r="O686" t="s">
        <v>50</v>
      </c>
      <c r="P686">
        <v>2</v>
      </c>
      <c r="Q686">
        <v>3.1</v>
      </c>
      <c r="R686" t="b">
        <v>1</v>
      </c>
      <c r="S686" t="s">
        <v>28</v>
      </c>
      <c r="T686">
        <v>1431</v>
      </c>
      <c r="U686" t="s">
        <v>57</v>
      </c>
      <c r="V686" t="s">
        <v>68</v>
      </c>
      <c r="W686" t="s">
        <v>37</v>
      </c>
    </row>
    <row r="687" spans="1:23" x14ac:dyDescent="0.3">
      <c r="A687">
        <v>1856</v>
      </c>
      <c r="B687" t="s">
        <v>352</v>
      </c>
      <c r="C687" s="1">
        <v>45192</v>
      </c>
      <c r="D687" s="1">
        <v>45637</v>
      </c>
      <c r="E687">
        <v>15.99</v>
      </c>
      <c r="F687">
        <v>177</v>
      </c>
      <c r="G687" t="s">
        <v>55</v>
      </c>
      <c r="H687">
        <v>3</v>
      </c>
      <c r="I687">
        <v>2</v>
      </c>
      <c r="J687" t="b">
        <v>1</v>
      </c>
      <c r="K687">
        <v>246</v>
      </c>
      <c r="L687">
        <v>182</v>
      </c>
      <c r="M687" t="s">
        <v>63</v>
      </c>
      <c r="N687" t="s">
        <v>40</v>
      </c>
      <c r="O687" t="s">
        <v>50</v>
      </c>
      <c r="P687">
        <v>89</v>
      </c>
      <c r="Q687">
        <v>3.1</v>
      </c>
      <c r="R687" t="b">
        <v>0</v>
      </c>
      <c r="S687" t="s">
        <v>28</v>
      </c>
      <c r="T687">
        <v>2394</v>
      </c>
      <c r="U687" t="s">
        <v>65</v>
      </c>
      <c r="V687" t="s">
        <v>52</v>
      </c>
      <c r="W687" t="s">
        <v>75</v>
      </c>
    </row>
    <row r="688" spans="1:23" x14ac:dyDescent="0.3">
      <c r="A688">
        <v>2830</v>
      </c>
      <c r="B688" t="s">
        <v>322</v>
      </c>
      <c r="C688" s="1">
        <v>45049</v>
      </c>
      <c r="D688" s="1">
        <v>45634</v>
      </c>
      <c r="E688">
        <v>11.99</v>
      </c>
      <c r="F688">
        <v>304</v>
      </c>
      <c r="G688" t="s">
        <v>62</v>
      </c>
      <c r="H688">
        <v>1</v>
      </c>
      <c r="I688">
        <v>1</v>
      </c>
      <c r="J688" t="b">
        <v>1</v>
      </c>
      <c r="K688">
        <v>389</v>
      </c>
      <c r="L688">
        <v>137</v>
      </c>
      <c r="M688" t="s">
        <v>48</v>
      </c>
      <c r="N688" t="s">
        <v>64</v>
      </c>
      <c r="O688" t="s">
        <v>67</v>
      </c>
      <c r="P688">
        <v>2</v>
      </c>
      <c r="Q688">
        <v>4.8</v>
      </c>
      <c r="R688" t="b">
        <v>1</v>
      </c>
      <c r="S688" t="s">
        <v>28</v>
      </c>
      <c r="T688">
        <v>4685</v>
      </c>
      <c r="U688" t="s">
        <v>35</v>
      </c>
      <c r="V688" t="s">
        <v>68</v>
      </c>
      <c r="W688" t="s">
        <v>53</v>
      </c>
    </row>
    <row r="689" spans="1:23" x14ac:dyDescent="0.3">
      <c r="A689">
        <v>3287</v>
      </c>
      <c r="B689" t="s">
        <v>289</v>
      </c>
      <c r="C689" s="1">
        <v>45280</v>
      </c>
      <c r="D689" s="1">
        <v>45617</v>
      </c>
      <c r="E689">
        <v>15.99</v>
      </c>
      <c r="F689">
        <v>90</v>
      </c>
      <c r="G689" t="s">
        <v>55</v>
      </c>
      <c r="H689">
        <v>3</v>
      </c>
      <c r="I689">
        <v>2</v>
      </c>
      <c r="J689" t="b">
        <v>0</v>
      </c>
      <c r="K689">
        <v>399</v>
      </c>
      <c r="L689">
        <v>9</v>
      </c>
      <c r="M689" t="s">
        <v>74</v>
      </c>
      <c r="N689" t="s">
        <v>26</v>
      </c>
      <c r="O689" t="s">
        <v>41</v>
      </c>
      <c r="P689">
        <v>73</v>
      </c>
      <c r="Q689">
        <v>4.4000000000000004</v>
      </c>
      <c r="R689" t="b">
        <v>1</v>
      </c>
      <c r="S689" t="s">
        <v>28</v>
      </c>
      <c r="T689">
        <v>4332</v>
      </c>
      <c r="U689" t="s">
        <v>29</v>
      </c>
      <c r="V689" t="s">
        <v>68</v>
      </c>
      <c r="W689" t="s">
        <v>75</v>
      </c>
    </row>
    <row r="690" spans="1:23" x14ac:dyDescent="0.3">
      <c r="A690">
        <v>5679</v>
      </c>
      <c r="B690" t="s">
        <v>262</v>
      </c>
      <c r="C690" s="1">
        <v>45230</v>
      </c>
      <c r="D690" s="1">
        <v>45632</v>
      </c>
      <c r="E690">
        <v>15.99</v>
      </c>
      <c r="F690">
        <v>108</v>
      </c>
      <c r="G690" t="s">
        <v>24</v>
      </c>
      <c r="H690">
        <v>4</v>
      </c>
      <c r="I690">
        <v>2</v>
      </c>
      <c r="J690" t="b">
        <v>0</v>
      </c>
      <c r="K690">
        <v>694</v>
      </c>
      <c r="L690">
        <v>199</v>
      </c>
      <c r="M690" t="s">
        <v>44</v>
      </c>
      <c r="N690" t="s">
        <v>64</v>
      </c>
      <c r="O690" t="s">
        <v>41</v>
      </c>
      <c r="P690">
        <v>81</v>
      </c>
      <c r="Q690">
        <v>5</v>
      </c>
      <c r="R690" t="b">
        <v>0</v>
      </c>
      <c r="S690" t="s">
        <v>28</v>
      </c>
      <c r="T690">
        <v>851</v>
      </c>
      <c r="U690" t="s">
        <v>57</v>
      </c>
      <c r="V690" t="s">
        <v>60</v>
      </c>
      <c r="W690" t="s">
        <v>75</v>
      </c>
    </row>
    <row r="691" spans="1:23" x14ac:dyDescent="0.3">
      <c r="A691">
        <v>6399</v>
      </c>
      <c r="B691" t="s">
        <v>109</v>
      </c>
      <c r="C691" s="1">
        <v>44927</v>
      </c>
      <c r="D691" s="1">
        <v>45631</v>
      </c>
      <c r="E691">
        <v>11.99</v>
      </c>
      <c r="F691">
        <v>96</v>
      </c>
      <c r="G691" t="s">
        <v>46</v>
      </c>
      <c r="H691">
        <v>3</v>
      </c>
      <c r="I691">
        <v>2</v>
      </c>
      <c r="J691" t="b">
        <v>0</v>
      </c>
      <c r="K691">
        <v>434</v>
      </c>
      <c r="L691">
        <v>11</v>
      </c>
      <c r="M691" t="s">
        <v>25</v>
      </c>
      <c r="N691" t="s">
        <v>49</v>
      </c>
      <c r="O691" t="s">
        <v>67</v>
      </c>
      <c r="P691">
        <v>80</v>
      </c>
      <c r="Q691">
        <v>4.5999999999999996</v>
      </c>
      <c r="R691" t="b">
        <v>0</v>
      </c>
      <c r="S691" t="s">
        <v>28</v>
      </c>
      <c r="T691">
        <v>2261</v>
      </c>
      <c r="U691" t="s">
        <v>57</v>
      </c>
      <c r="V691" t="s">
        <v>52</v>
      </c>
      <c r="W691" t="s">
        <v>75</v>
      </c>
    </row>
    <row r="692" spans="1:23" x14ac:dyDescent="0.3">
      <c r="A692">
        <v>8753</v>
      </c>
      <c r="B692" t="s">
        <v>167</v>
      </c>
      <c r="C692" s="1">
        <v>45339</v>
      </c>
      <c r="D692" s="1">
        <v>45626</v>
      </c>
      <c r="E692">
        <v>11.99</v>
      </c>
      <c r="F692">
        <v>247</v>
      </c>
      <c r="G692" t="s">
        <v>24</v>
      </c>
      <c r="H692">
        <v>2</v>
      </c>
      <c r="I692">
        <v>3</v>
      </c>
      <c r="J692" t="b">
        <v>0</v>
      </c>
      <c r="K692">
        <v>696</v>
      </c>
      <c r="L692">
        <v>28</v>
      </c>
      <c r="M692" t="s">
        <v>63</v>
      </c>
      <c r="N692" t="s">
        <v>40</v>
      </c>
      <c r="O692" t="s">
        <v>67</v>
      </c>
      <c r="P692">
        <v>79</v>
      </c>
      <c r="Q692">
        <v>4.8</v>
      </c>
      <c r="R692" t="b">
        <v>0</v>
      </c>
      <c r="S692" t="s">
        <v>28</v>
      </c>
      <c r="T692">
        <v>1500</v>
      </c>
      <c r="U692" t="s">
        <v>29</v>
      </c>
      <c r="V692" t="s">
        <v>68</v>
      </c>
      <c r="W692" t="s">
        <v>31</v>
      </c>
    </row>
    <row r="693" spans="1:23" x14ac:dyDescent="0.3">
      <c r="A693">
        <v>9267</v>
      </c>
      <c r="B693" t="s">
        <v>184</v>
      </c>
      <c r="C693" s="1">
        <v>45419</v>
      </c>
      <c r="D693" s="1">
        <v>45620</v>
      </c>
      <c r="E693">
        <v>15.99</v>
      </c>
      <c r="F693">
        <v>245</v>
      </c>
      <c r="G693" t="s">
        <v>79</v>
      </c>
      <c r="H693">
        <v>3</v>
      </c>
      <c r="I693">
        <v>5</v>
      </c>
      <c r="J693" t="b">
        <v>1</v>
      </c>
      <c r="K693">
        <v>862</v>
      </c>
      <c r="L693">
        <v>129</v>
      </c>
      <c r="M693" t="s">
        <v>48</v>
      </c>
      <c r="N693" t="s">
        <v>40</v>
      </c>
      <c r="O693" t="s">
        <v>41</v>
      </c>
      <c r="P693">
        <v>6</v>
      </c>
      <c r="Q693">
        <v>3.7</v>
      </c>
      <c r="R693" t="b">
        <v>1</v>
      </c>
      <c r="S693" t="s">
        <v>28</v>
      </c>
      <c r="T693">
        <v>2130</v>
      </c>
      <c r="U693" t="s">
        <v>65</v>
      </c>
      <c r="V693" t="s">
        <v>36</v>
      </c>
      <c r="W693" t="s">
        <v>37</v>
      </c>
    </row>
    <row r="694" spans="1:23" x14ac:dyDescent="0.3">
      <c r="A694">
        <v>9846</v>
      </c>
      <c r="B694" t="s">
        <v>93</v>
      </c>
      <c r="C694" s="1">
        <v>44970</v>
      </c>
      <c r="D694" s="1">
        <v>45639</v>
      </c>
      <c r="E694">
        <v>7.99</v>
      </c>
      <c r="F694">
        <v>366</v>
      </c>
      <c r="G694" t="s">
        <v>33</v>
      </c>
      <c r="H694">
        <v>4</v>
      </c>
      <c r="I694">
        <v>5</v>
      </c>
      <c r="J694" t="b">
        <v>0</v>
      </c>
      <c r="K694">
        <v>631</v>
      </c>
      <c r="L694">
        <v>56</v>
      </c>
      <c r="M694" t="s">
        <v>74</v>
      </c>
      <c r="N694" t="s">
        <v>26</v>
      </c>
      <c r="O694" t="s">
        <v>50</v>
      </c>
      <c r="P694">
        <v>35</v>
      </c>
      <c r="Q694">
        <v>4.0999999999999996</v>
      </c>
      <c r="R694" t="b">
        <v>0</v>
      </c>
      <c r="S694" t="s">
        <v>28</v>
      </c>
      <c r="T694">
        <v>4308</v>
      </c>
      <c r="U694" t="s">
        <v>35</v>
      </c>
      <c r="V694" t="s">
        <v>30</v>
      </c>
      <c r="W694" t="s">
        <v>31</v>
      </c>
    </row>
    <row r="695" spans="1:23" x14ac:dyDescent="0.3">
      <c r="A695">
        <v>2382</v>
      </c>
      <c r="B695" t="s">
        <v>325</v>
      </c>
      <c r="C695" s="1">
        <v>45453</v>
      </c>
      <c r="D695" s="1">
        <v>45635</v>
      </c>
      <c r="E695">
        <v>15.99</v>
      </c>
      <c r="F695">
        <v>170</v>
      </c>
      <c r="G695" t="s">
        <v>43</v>
      </c>
      <c r="H695">
        <v>1</v>
      </c>
      <c r="I695">
        <v>3</v>
      </c>
      <c r="J695" t="b">
        <v>0</v>
      </c>
      <c r="K695">
        <v>144</v>
      </c>
      <c r="L695">
        <v>142</v>
      </c>
      <c r="M695" t="s">
        <v>48</v>
      </c>
      <c r="N695" t="s">
        <v>64</v>
      </c>
      <c r="O695" t="s">
        <v>27</v>
      </c>
      <c r="P695">
        <v>81</v>
      </c>
      <c r="Q695">
        <v>4.7</v>
      </c>
      <c r="R695" t="b">
        <v>1</v>
      </c>
      <c r="S695" t="s">
        <v>28</v>
      </c>
      <c r="T695">
        <v>421</v>
      </c>
      <c r="U695" t="s">
        <v>57</v>
      </c>
      <c r="V695" t="s">
        <v>36</v>
      </c>
      <c r="W695" t="s">
        <v>75</v>
      </c>
    </row>
    <row r="696" spans="1:23" x14ac:dyDescent="0.3">
      <c r="A696">
        <v>3593</v>
      </c>
      <c r="B696" t="s">
        <v>209</v>
      </c>
      <c r="C696" s="1">
        <v>45185</v>
      </c>
      <c r="D696" s="1">
        <v>45620</v>
      </c>
      <c r="E696">
        <v>7.99</v>
      </c>
      <c r="F696">
        <v>447</v>
      </c>
      <c r="G696" t="s">
        <v>46</v>
      </c>
      <c r="H696">
        <v>3</v>
      </c>
      <c r="I696">
        <v>1</v>
      </c>
      <c r="J696" t="b">
        <v>1</v>
      </c>
      <c r="K696">
        <v>466</v>
      </c>
      <c r="L696">
        <v>198</v>
      </c>
      <c r="M696" t="s">
        <v>48</v>
      </c>
      <c r="N696" t="s">
        <v>64</v>
      </c>
      <c r="O696" t="s">
        <v>27</v>
      </c>
      <c r="P696">
        <v>3</v>
      </c>
      <c r="Q696">
        <v>4.5</v>
      </c>
      <c r="R696" t="b">
        <v>0</v>
      </c>
      <c r="S696" t="s">
        <v>28</v>
      </c>
      <c r="T696">
        <v>2163</v>
      </c>
      <c r="U696" t="s">
        <v>57</v>
      </c>
      <c r="V696" t="s">
        <v>30</v>
      </c>
      <c r="W696" t="s">
        <v>31</v>
      </c>
    </row>
    <row r="697" spans="1:23" x14ac:dyDescent="0.3">
      <c r="A697">
        <v>4097</v>
      </c>
      <c r="B697" t="s">
        <v>181</v>
      </c>
      <c r="C697" s="1">
        <v>45033</v>
      </c>
      <c r="D697" s="1">
        <v>45642</v>
      </c>
      <c r="E697">
        <v>7.99</v>
      </c>
      <c r="F697">
        <v>369</v>
      </c>
      <c r="G697" t="s">
        <v>55</v>
      </c>
      <c r="H697">
        <v>3</v>
      </c>
      <c r="I697">
        <v>1</v>
      </c>
      <c r="J697" t="b">
        <v>0</v>
      </c>
      <c r="K697">
        <v>759</v>
      </c>
      <c r="L697">
        <v>56</v>
      </c>
      <c r="M697" t="s">
        <v>59</v>
      </c>
      <c r="N697" t="s">
        <v>26</v>
      </c>
      <c r="O697" t="s">
        <v>27</v>
      </c>
      <c r="P697">
        <v>30</v>
      </c>
      <c r="Q697">
        <v>4</v>
      </c>
      <c r="R697" t="b">
        <v>0</v>
      </c>
      <c r="S697" t="s">
        <v>28</v>
      </c>
      <c r="T697">
        <v>3354</v>
      </c>
      <c r="U697" t="s">
        <v>65</v>
      </c>
      <c r="V697" t="s">
        <v>52</v>
      </c>
      <c r="W697" t="s">
        <v>31</v>
      </c>
    </row>
    <row r="698" spans="1:23" x14ac:dyDescent="0.3">
      <c r="A698">
        <v>2886</v>
      </c>
      <c r="B698" t="s">
        <v>82</v>
      </c>
      <c r="C698" s="1">
        <v>45101</v>
      </c>
      <c r="D698" s="1">
        <v>45622</v>
      </c>
      <c r="E698">
        <v>15.99</v>
      </c>
      <c r="F698">
        <v>62</v>
      </c>
      <c r="G698" t="s">
        <v>62</v>
      </c>
      <c r="H698">
        <v>5</v>
      </c>
      <c r="I698">
        <v>1</v>
      </c>
      <c r="J698" t="b">
        <v>0</v>
      </c>
      <c r="K698">
        <v>811</v>
      </c>
      <c r="L698">
        <v>109</v>
      </c>
      <c r="M698" t="s">
        <v>63</v>
      </c>
      <c r="N698" t="s">
        <v>64</v>
      </c>
      <c r="O698" t="s">
        <v>34</v>
      </c>
      <c r="P698">
        <v>14</v>
      </c>
      <c r="Q698">
        <v>3.1</v>
      </c>
      <c r="R698" t="b">
        <v>0</v>
      </c>
      <c r="S698" t="s">
        <v>28</v>
      </c>
      <c r="T698">
        <v>3702</v>
      </c>
      <c r="U698" t="s">
        <v>57</v>
      </c>
      <c r="V698" t="s">
        <v>68</v>
      </c>
      <c r="W698" t="s">
        <v>53</v>
      </c>
    </row>
    <row r="699" spans="1:23" x14ac:dyDescent="0.3">
      <c r="A699">
        <v>3255</v>
      </c>
      <c r="B699" t="s">
        <v>309</v>
      </c>
      <c r="C699" s="1">
        <v>45297</v>
      </c>
      <c r="D699" s="1">
        <v>45623</v>
      </c>
      <c r="E699">
        <v>7.99</v>
      </c>
      <c r="F699">
        <v>294</v>
      </c>
      <c r="G699" t="s">
        <v>55</v>
      </c>
      <c r="H699">
        <v>1</v>
      </c>
      <c r="I699">
        <v>3</v>
      </c>
      <c r="J699" t="b">
        <v>1</v>
      </c>
      <c r="K699">
        <v>936</v>
      </c>
      <c r="L699">
        <v>120</v>
      </c>
      <c r="M699" t="s">
        <v>74</v>
      </c>
      <c r="N699" t="s">
        <v>40</v>
      </c>
      <c r="O699" t="s">
        <v>50</v>
      </c>
      <c r="P699">
        <v>49</v>
      </c>
      <c r="Q699">
        <v>3.2</v>
      </c>
      <c r="R699" t="b">
        <v>1</v>
      </c>
      <c r="S699" t="s">
        <v>28</v>
      </c>
      <c r="T699">
        <v>3758</v>
      </c>
      <c r="U699" t="s">
        <v>65</v>
      </c>
      <c r="V699" t="s">
        <v>30</v>
      </c>
      <c r="W699" t="s">
        <v>75</v>
      </c>
    </row>
    <row r="700" spans="1:23" x14ac:dyDescent="0.3">
      <c r="A700">
        <v>6752</v>
      </c>
      <c r="B700" t="s">
        <v>130</v>
      </c>
      <c r="C700" s="1">
        <v>45406</v>
      </c>
      <c r="D700" s="1">
        <v>45635</v>
      </c>
      <c r="E700">
        <v>11.99</v>
      </c>
      <c r="F700">
        <v>10</v>
      </c>
      <c r="G700" t="s">
        <v>46</v>
      </c>
      <c r="H700">
        <v>2</v>
      </c>
      <c r="I700">
        <v>4</v>
      </c>
      <c r="J700" t="b">
        <v>0</v>
      </c>
      <c r="K700">
        <v>146</v>
      </c>
      <c r="L700">
        <v>95</v>
      </c>
      <c r="M700" t="s">
        <v>59</v>
      </c>
      <c r="N700" t="s">
        <v>49</v>
      </c>
      <c r="O700" t="s">
        <v>50</v>
      </c>
      <c r="P700">
        <v>99</v>
      </c>
      <c r="Q700">
        <v>3.8</v>
      </c>
      <c r="R700" t="b">
        <v>1</v>
      </c>
      <c r="S700" t="s">
        <v>28</v>
      </c>
      <c r="T700">
        <v>3942</v>
      </c>
      <c r="U700" t="s">
        <v>65</v>
      </c>
      <c r="V700" t="s">
        <v>30</v>
      </c>
      <c r="W700" t="s">
        <v>75</v>
      </c>
    </row>
    <row r="701" spans="1:23" x14ac:dyDescent="0.3">
      <c r="A701">
        <v>7945</v>
      </c>
      <c r="B701" t="s">
        <v>352</v>
      </c>
      <c r="C701" s="1">
        <v>45031</v>
      </c>
      <c r="D701" s="1">
        <v>45625</v>
      </c>
      <c r="E701">
        <v>11.99</v>
      </c>
      <c r="F701">
        <v>389</v>
      </c>
      <c r="G701" t="s">
        <v>55</v>
      </c>
      <c r="H701">
        <v>2</v>
      </c>
      <c r="I701">
        <v>2</v>
      </c>
      <c r="J701" t="b">
        <v>1</v>
      </c>
      <c r="K701">
        <v>631</v>
      </c>
      <c r="L701">
        <v>85</v>
      </c>
      <c r="M701" t="s">
        <v>59</v>
      </c>
      <c r="N701" t="s">
        <v>40</v>
      </c>
      <c r="O701" t="s">
        <v>50</v>
      </c>
      <c r="P701">
        <v>53</v>
      </c>
      <c r="Q701">
        <v>3.3</v>
      </c>
      <c r="R701" t="b">
        <v>1</v>
      </c>
      <c r="S701" t="s">
        <v>28</v>
      </c>
      <c r="T701">
        <v>2242</v>
      </c>
      <c r="U701" t="s">
        <v>35</v>
      </c>
      <c r="V701" t="s">
        <v>68</v>
      </c>
      <c r="W701" t="s">
        <v>75</v>
      </c>
    </row>
    <row r="702" spans="1:23" x14ac:dyDescent="0.3">
      <c r="A702">
        <v>6658</v>
      </c>
      <c r="B702" t="s">
        <v>109</v>
      </c>
      <c r="C702" s="1">
        <v>45383</v>
      </c>
      <c r="D702" s="1">
        <v>45631</v>
      </c>
      <c r="E702">
        <v>7.99</v>
      </c>
      <c r="F702">
        <v>55</v>
      </c>
      <c r="G702" t="s">
        <v>43</v>
      </c>
      <c r="H702">
        <v>5</v>
      </c>
      <c r="I702">
        <v>6</v>
      </c>
      <c r="J702" t="b">
        <v>0</v>
      </c>
      <c r="K702">
        <v>682</v>
      </c>
      <c r="L702">
        <v>141</v>
      </c>
      <c r="M702" t="s">
        <v>25</v>
      </c>
      <c r="N702" t="s">
        <v>40</v>
      </c>
      <c r="O702" t="s">
        <v>27</v>
      </c>
      <c r="P702">
        <v>42</v>
      </c>
      <c r="Q702">
        <v>3.6</v>
      </c>
      <c r="R702" t="b">
        <v>1</v>
      </c>
      <c r="S702" t="s">
        <v>28</v>
      </c>
      <c r="T702">
        <v>2561</v>
      </c>
      <c r="U702" t="s">
        <v>35</v>
      </c>
      <c r="V702" t="s">
        <v>60</v>
      </c>
      <c r="W702" t="s">
        <v>31</v>
      </c>
    </row>
    <row r="703" spans="1:23" x14ac:dyDescent="0.3">
      <c r="A703">
        <v>5468</v>
      </c>
      <c r="B703" t="s">
        <v>353</v>
      </c>
      <c r="C703" s="1">
        <v>45384</v>
      </c>
      <c r="D703" s="1">
        <v>45616</v>
      </c>
      <c r="E703">
        <v>11.99</v>
      </c>
      <c r="F703">
        <v>208</v>
      </c>
      <c r="G703" t="s">
        <v>79</v>
      </c>
      <c r="H703">
        <v>4</v>
      </c>
      <c r="I703">
        <v>6</v>
      </c>
      <c r="J703" t="b">
        <v>1</v>
      </c>
      <c r="K703">
        <v>135</v>
      </c>
      <c r="L703">
        <v>9</v>
      </c>
      <c r="M703" t="s">
        <v>25</v>
      </c>
      <c r="N703" t="s">
        <v>26</v>
      </c>
      <c r="O703" t="s">
        <v>27</v>
      </c>
      <c r="P703">
        <v>41</v>
      </c>
      <c r="Q703">
        <v>3</v>
      </c>
      <c r="R703" t="b">
        <v>1</v>
      </c>
      <c r="S703" t="s">
        <v>28</v>
      </c>
      <c r="T703">
        <v>2465</v>
      </c>
      <c r="U703" t="s">
        <v>65</v>
      </c>
      <c r="V703" t="s">
        <v>30</v>
      </c>
      <c r="W703" t="s">
        <v>31</v>
      </c>
    </row>
    <row r="704" spans="1:23" x14ac:dyDescent="0.3">
      <c r="A704">
        <v>7451</v>
      </c>
      <c r="B704" t="s">
        <v>157</v>
      </c>
      <c r="C704" s="1">
        <v>45497</v>
      </c>
      <c r="D704" s="1">
        <v>45635</v>
      </c>
      <c r="E704">
        <v>15.99</v>
      </c>
      <c r="F704">
        <v>198</v>
      </c>
      <c r="G704" t="s">
        <v>43</v>
      </c>
      <c r="H704">
        <v>5</v>
      </c>
      <c r="I704">
        <v>5</v>
      </c>
      <c r="J704" t="b">
        <v>1</v>
      </c>
      <c r="K704">
        <v>255</v>
      </c>
      <c r="L704">
        <v>183</v>
      </c>
      <c r="M704" t="s">
        <v>39</v>
      </c>
      <c r="N704" t="s">
        <v>40</v>
      </c>
      <c r="O704" t="s">
        <v>67</v>
      </c>
      <c r="P704">
        <v>92</v>
      </c>
      <c r="Q704">
        <v>4.9000000000000004</v>
      </c>
      <c r="R704" t="b">
        <v>0</v>
      </c>
      <c r="S704" t="s">
        <v>28</v>
      </c>
      <c r="T704">
        <v>4435</v>
      </c>
      <c r="U704" t="s">
        <v>65</v>
      </c>
      <c r="V704" t="s">
        <v>52</v>
      </c>
      <c r="W704" t="s">
        <v>53</v>
      </c>
    </row>
    <row r="705" spans="1:23" x14ac:dyDescent="0.3">
      <c r="A705">
        <v>1253</v>
      </c>
      <c r="B705" t="s">
        <v>109</v>
      </c>
      <c r="C705" s="1">
        <v>45482</v>
      </c>
      <c r="D705" s="1">
        <v>45631</v>
      </c>
      <c r="E705">
        <v>11.99</v>
      </c>
      <c r="F705">
        <v>280</v>
      </c>
      <c r="G705" t="s">
        <v>55</v>
      </c>
      <c r="H705">
        <v>1</v>
      </c>
      <c r="I705">
        <v>1</v>
      </c>
      <c r="J705" t="b">
        <v>1</v>
      </c>
      <c r="K705">
        <v>702</v>
      </c>
      <c r="L705">
        <v>58</v>
      </c>
      <c r="M705" t="s">
        <v>74</v>
      </c>
      <c r="N705" t="s">
        <v>26</v>
      </c>
      <c r="O705" t="s">
        <v>67</v>
      </c>
      <c r="P705">
        <v>13</v>
      </c>
      <c r="Q705">
        <v>3.2</v>
      </c>
      <c r="R705" t="b">
        <v>0</v>
      </c>
      <c r="S705" t="s">
        <v>28</v>
      </c>
      <c r="T705">
        <v>4116</v>
      </c>
      <c r="U705" t="s">
        <v>29</v>
      </c>
      <c r="V705" t="s">
        <v>60</v>
      </c>
      <c r="W705" t="s">
        <v>75</v>
      </c>
    </row>
    <row r="706" spans="1:23" x14ac:dyDescent="0.3">
      <c r="A706">
        <v>6746</v>
      </c>
      <c r="B706" t="s">
        <v>314</v>
      </c>
      <c r="C706" s="1">
        <v>45598</v>
      </c>
      <c r="D706" s="1">
        <v>45624</v>
      </c>
      <c r="E706">
        <v>7.99</v>
      </c>
      <c r="F706">
        <v>161</v>
      </c>
      <c r="G706" t="s">
        <v>62</v>
      </c>
      <c r="H706">
        <v>2</v>
      </c>
      <c r="I706">
        <v>5</v>
      </c>
      <c r="J706" t="b">
        <v>0</v>
      </c>
      <c r="K706">
        <v>151</v>
      </c>
      <c r="L706">
        <v>109</v>
      </c>
      <c r="M706" t="s">
        <v>44</v>
      </c>
      <c r="N706" t="s">
        <v>64</v>
      </c>
      <c r="O706" t="s">
        <v>56</v>
      </c>
      <c r="P706">
        <v>27</v>
      </c>
      <c r="Q706">
        <v>3.3</v>
      </c>
      <c r="R706" t="b">
        <v>0</v>
      </c>
      <c r="S706" t="s">
        <v>28</v>
      </c>
      <c r="T706">
        <v>944</v>
      </c>
      <c r="U706" t="s">
        <v>51</v>
      </c>
      <c r="V706" t="s">
        <v>30</v>
      </c>
      <c r="W706" t="s">
        <v>75</v>
      </c>
    </row>
    <row r="707" spans="1:23" x14ac:dyDescent="0.3">
      <c r="A707">
        <v>8089</v>
      </c>
      <c r="B707" t="s">
        <v>150</v>
      </c>
      <c r="C707" s="1">
        <v>45451</v>
      </c>
      <c r="D707" s="1">
        <v>45623</v>
      </c>
      <c r="E707">
        <v>7.99</v>
      </c>
      <c r="F707">
        <v>439</v>
      </c>
      <c r="G707" t="s">
        <v>24</v>
      </c>
      <c r="H707">
        <v>2</v>
      </c>
      <c r="I707">
        <v>2</v>
      </c>
      <c r="J707" t="b">
        <v>1</v>
      </c>
      <c r="K707">
        <v>421</v>
      </c>
      <c r="L707">
        <v>138</v>
      </c>
      <c r="M707" t="s">
        <v>48</v>
      </c>
      <c r="N707" t="s">
        <v>40</v>
      </c>
      <c r="O707" t="s">
        <v>50</v>
      </c>
      <c r="P707">
        <v>14</v>
      </c>
      <c r="Q707">
        <v>4.0999999999999996</v>
      </c>
      <c r="R707" t="b">
        <v>0</v>
      </c>
      <c r="S707" t="s">
        <v>28</v>
      </c>
      <c r="T707">
        <v>4219</v>
      </c>
      <c r="U707" t="s">
        <v>51</v>
      </c>
      <c r="V707" t="s">
        <v>30</v>
      </c>
      <c r="W707" t="s">
        <v>53</v>
      </c>
    </row>
    <row r="708" spans="1:23" x14ac:dyDescent="0.3">
      <c r="A708">
        <v>8045</v>
      </c>
      <c r="B708" t="s">
        <v>195</v>
      </c>
      <c r="C708" s="1">
        <v>45233</v>
      </c>
      <c r="D708" s="1">
        <v>45628</v>
      </c>
      <c r="E708">
        <v>7.99</v>
      </c>
      <c r="F708">
        <v>339</v>
      </c>
      <c r="G708" t="s">
        <v>79</v>
      </c>
      <c r="H708">
        <v>5</v>
      </c>
      <c r="I708">
        <v>5</v>
      </c>
      <c r="J708" t="b">
        <v>1</v>
      </c>
      <c r="K708">
        <v>354</v>
      </c>
      <c r="L708">
        <v>129</v>
      </c>
      <c r="M708" t="s">
        <v>74</v>
      </c>
      <c r="N708" t="s">
        <v>64</v>
      </c>
      <c r="O708" t="s">
        <v>67</v>
      </c>
      <c r="P708">
        <v>14</v>
      </c>
      <c r="Q708">
        <v>3.9</v>
      </c>
      <c r="R708" t="b">
        <v>0</v>
      </c>
      <c r="S708" t="s">
        <v>28</v>
      </c>
      <c r="T708">
        <v>4311</v>
      </c>
      <c r="U708" t="s">
        <v>35</v>
      </c>
      <c r="V708" t="s">
        <v>60</v>
      </c>
      <c r="W708" t="s">
        <v>31</v>
      </c>
    </row>
    <row r="709" spans="1:23" x14ac:dyDescent="0.3">
      <c r="A709">
        <v>9417</v>
      </c>
      <c r="B709" t="s">
        <v>92</v>
      </c>
      <c r="C709" s="1">
        <v>45580</v>
      </c>
      <c r="D709" s="1">
        <v>45624</v>
      </c>
      <c r="E709">
        <v>11.99</v>
      </c>
      <c r="F709">
        <v>52</v>
      </c>
      <c r="G709" t="s">
        <v>24</v>
      </c>
      <c r="H709">
        <v>4</v>
      </c>
      <c r="I709">
        <v>4</v>
      </c>
      <c r="J709" t="b">
        <v>0</v>
      </c>
      <c r="K709">
        <v>377</v>
      </c>
      <c r="L709">
        <v>135</v>
      </c>
      <c r="M709" t="s">
        <v>44</v>
      </c>
      <c r="N709" t="s">
        <v>49</v>
      </c>
      <c r="O709" t="s">
        <v>50</v>
      </c>
      <c r="P709">
        <v>90</v>
      </c>
      <c r="Q709">
        <v>4.0999999999999996</v>
      </c>
      <c r="R709" t="b">
        <v>1</v>
      </c>
      <c r="S709" t="s">
        <v>28</v>
      </c>
      <c r="T709">
        <v>1972</v>
      </c>
      <c r="U709" t="s">
        <v>51</v>
      </c>
      <c r="V709" t="s">
        <v>36</v>
      </c>
      <c r="W709" t="s">
        <v>37</v>
      </c>
    </row>
    <row r="710" spans="1:23" x14ac:dyDescent="0.3">
      <c r="A710">
        <v>3217</v>
      </c>
      <c r="B710" t="s">
        <v>100</v>
      </c>
      <c r="C710" s="1">
        <v>45420</v>
      </c>
      <c r="D710" s="1">
        <v>45642</v>
      </c>
      <c r="E710">
        <v>15.99</v>
      </c>
      <c r="F710">
        <v>297</v>
      </c>
      <c r="G710" t="s">
        <v>62</v>
      </c>
      <c r="H710">
        <v>5</v>
      </c>
      <c r="I710">
        <v>3</v>
      </c>
      <c r="J710" t="b">
        <v>0</v>
      </c>
      <c r="K710">
        <v>796</v>
      </c>
      <c r="L710">
        <v>200</v>
      </c>
      <c r="M710" t="s">
        <v>74</v>
      </c>
      <c r="N710" t="s">
        <v>64</v>
      </c>
      <c r="O710" t="s">
        <v>67</v>
      </c>
      <c r="P710">
        <v>36</v>
      </c>
      <c r="Q710">
        <v>3.1</v>
      </c>
      <c r="R710" t="b">
        <v>1</v>
      </c>
      <c r="S710" t="s">
        <v>28</v>
      </c>
      <c r="T710">
        <v>2132</v>
      </c>
      <c r="U710" t="s">
        <v>29</v>
      </c>
      <c r="V710" t="s">
        <v>68</v>
      </c>
      <c r="W710" t="s">
        <v>37</v>
      </c>
    </row>
    <row r="711" spans="1:23" x14ac:dyDescent="0.3">
      <c r="A711">
        <v>4234</v>
      </c>
      <c r="B711" t="s">
        <v>109</v>
      </c>
      <c r="C711" s="1">
        <v>44934</v>
      </c>
      <c r="D711" s="1">
        <v>45615</v>
      </c>
      <c r="E711">
        <v>15.99</v>
      </c>
      <c r="F711">
        <v>40</v>
      </c>
      <c r="G711" t="s">
        <v>46</v>
      </c>
      <c r="H711">
        <v>5</v>
      </c>
      <c r="I711">
        <v>1</v>
      </c>
      <c r="J711" t="b">
        <v>1</v>
      </c>
      <c r="K711">
        <v>841</v>
      </c>
      <c r="L711">
        <v>179</v>
      </c>
      <c r="M711" t="s">
        <v>59</v>
      </c>
      <c r="N711" t="s">
        <v>26</v>
      </c>
      <c r="O711" t="s">
        <v>34</v>
      </c>
      <c r="P711">
        <v>59</v>
      </c>
      <c r="Q711">
        <v>3.5</v>
      </c>
      <c r="R711" t="b">
        <v>1</v>
      </c>
      <c r="S711" t="s">
        <v>28</v>
      </c>
      <c r="T711">
        <v>2370</v>
      </c>
      <c r="U711" t="s">
        <v>51</v>
      </c>
      <c r="V711" t="s">
        <v>68</v>
      </c>
      <c r="W711" t="s">
        <v>75</v>
      </c>
    </row>
    <row r="712" spans="1:23" x14ac:dyDescent="0.3">
      <c r="A712">
        <v>1118</v>
      </c>
      <c r="B712" t="s">
        <v>154</v>
      </c>
      <c r="C712" s="1">
        <v>45329</v>
      </c>
      <c r="D712" s="1">
        <v>45637</v>
      </c>
      <c r="E712">
        <v>15.99</v>
      </c>
      <c r="F712">
        <v>379</v>
      </c>
      <c r="G712" t="s">
        <v>24</v>
      </c>
      <c r="H712">
        <v>2</v>
      </c>
      <c r="I712">
        <v>1</v>
      </c>
      <c r="J712" t="b">
        <v>1</v>
      </c>
      <c r="K712">
        <v>885</v>
      </c>
      <c r="L712">
        <v>110</v>
      </c>
      <c r="M712" t="s">
        <v>44</v>
      </c>
      <c r="N712" t="s">
        <v>40</v>
      </c>
      <c r="O712" t="s">
        <v>50</v>
      </c>
      <c r="P712">
        <v>43</v>
      </c>
      <c r="Q712">
        <v>4.2</v>
      </c>
      <c r="R712" t="b">
        <v>1</v>
      </c>
      <c r="S712" t="s">
        <v>28</v>
      </c>
      <c r="T712">
        <v>1312</v>
      </c>
      <c r="U712" t="s">
        <v>51</v>
      </c>
      <c r="V712" t="s">
        <v>68</v>
      </c>
      <c r="W712" t="s">
        <v>37</v>
      </c>
    </row>
    <row r="713" spans="1:23" x14ac:dyDescent="0.3">
      <c r="A713">
        <v>4027</v>
      </c>
      <c r="B713" t="s">
        <v>352</v>
      </c>
      <c r="C713" s="1">
        <v>45395</v>
      </c>
      <c r="D713" s="1">
        <v>45620</v>
      </c>
      <c r="E713">
        <v>15.99</v>
      </c>
      <c r="F713">
        <v>82</v>
      </c>
      <c r="G713" t="s">
        <v>55</v>
      </c>
      <c r="H713">
        <v>2</v>
      </c>
      <c r="I713">
        <v>3</v>
      </c>
      <c r="J713" t="b">
        <v>0</v>
      </c>
      <c r="K713">
        <v>999</v>
      </c>
      <c r="L713">
        <v>190</v>
      </c>
      <c r="M713" t="s">
        <v>74</v>
      </c>
      <c r="N713" t="s">
        <v>26</v>
      </c>
      <c r="O713" t="s">
        <v>50</v>
      </c>
      <c r="P713">
        <v>57</v>
      </c>
      <c r="Q713">
        <v>3.1</v>
      </c>
      <c r="R713" t="b">
        <v>1</v>
      </c>
      <c r="S713" t="s">
        <v>28</v>
      </c>
      <c r="T713">
        <v>4920</v>
      </c>
      <c r="U713" t="s">
        <v>65</v>
      </c>
      <c r="V713" t="s">
        <v>30</v>
      </c>
      <c r="W713" t="s">
        <v>75</v>
      </c>
    </row>
    <row r="714" spans="1:23" x14ac:dyDescent="0.3">
      <c r="A714">
        <v>8451</v>
      </c>
      <c r="B714" t="s">
        <v>354</v>
      </c>
      <c r="C714" s="1">
        <v>44987</v>
      </c>
      <c r="D714" s="1">
        <v>45619</v>
      </c>
      <c r="E714">
        <v>11.99</v>
      </c>
      <c r="F714">
        <v>192</v>
      </c>
      <c r="G714" t="s">
        <v>24</v>
      </c>
      <c r="H714">
        <v>3</v>
      </c>
      <c r="I714">
        <v>3</v>
      </c>
      <c r="J714" t="b">
        <v>0</v>
      </c>
      <c r="K714">
        <v>585</v>
      </c>
      <c r="L714">
        <v>82</v>
      </c>
      <c r="M714" t="s">
        <v>63</v>
      </c>
      <c r="N714" t="s">
        <v>64</v>
      </c>
      <c r="O714" t="s">
        <v>27</v>
      </c>
      <c r="P714">
        <v>59</v>
      </c>
      <c r="Q714">
        <v>4.0999999999999996</v>
      </c>
      <c r="R714" t="b">
        <v>1</v>
      </c>
      <c r="S714" t="s">
        <v>28</v>
      </c>
      <c r="T714">
        <v>2897</v>
      </c>
      <c r="U714" t="s">
        <v>51</v>
      </c>
      <c r="V714" t="s">
        <v>60</v>
      </c>
      <c r="W714" t="s">
        <v>53</v>
      </c>
    </row>
    <row r="715" spans="1:23" x14ac:dyDescent="0.3">
      <c r="A715">
        <v>6647</v>
      </c>
      <c r="B715" t="s">
        <v>72</v>
      </c>
      <c r="C715" s="1">
        <v>45584</v>
      </c>
      <c r="D715" s="1">
        <v>45625</v>
      </c>
      <c r="E715">
        <v>15.99</v>
      </c>
      <c r="F715">
        <v>286</v>
      </c>
      <c r="G715" t="s">
        <v>33</v>
      </c>
      <c r="H715">
        <v>5</v>
      </c>
      <c r="I715">
        <v>2</v>
      </c>
      <c r="J715" t="b">
        <v>0</v>
      </c>
      <c r="K715">
        <v>617</v>
      </c>
      <c r="L715">
        <v>89</v>
      </c>
      <c r="M715" t="s">
        <v>39</v>
      </c>
      <c r="N715" t="s">
        <v>26</v>
      </c>
      <c r="O715" t="s">
        <v>34</v>
      </c>
      <c r="P715">
        <v>64</v>
      </c>
      <c r="Q715">
        <v>3.2</v>
      </c>
      <c r="R715" t="b">
        <v>1</v>
      </c>
      <c r="S715" t="s">
        <v>28</v>
      </c>
      <c r="T715">
        <v>1275</v>
      </c>
      <c r="U715" t="s">
        <v>29</v>
      </c>
      <c r="V715" t="s">
        <v>60</v>
      </c>
      <c r="W715" t="s">
        <v>75</v>
      </c>
    </row>
    <row r="716" spans="1:23" x14ac:dyDescent="0.3">
      <c r="A716">
        <v>4002</v>
      </c>
      <c r="B716" t="s">
        <v>261</v>
      </c>
      <c r="C716" s="1">
        <v>45389</v>
      </c>
      <c r="D716" s="1">
        <v>45637</v>
      </c>
      <c r="E716">
        <v>11.99</v>
      </c>
      <c r="F716">
        <v>452</v>
      </c>
      <c r="G716" t="s">
        <v>55</v>
      </c>
      <c r="H716">
        <v>2</v>
      </c>
      <c r="I716">
        <v>6</v>
      </c>
      <c r="J716" t="b">
        <v>0</v>
      </c>
      <c r="K716">
        <v>196</v>
      </c>
      <c r="L716">
        <v>132</v>
      </c>
      <c r="M716" t="s">
        <v>74</v>
      </c>
      <c r="N716" t="s">
        <v>64</v>
      </c>
      <c r="O716" t="s">
        <v>50</v>
      </c>
      <c r="P716">
        <v>84</v>
      </c>
      <c r="Q716">
        <v>3.7</v>
      </c>
      <c r="R716" t="b">
        <v>1</v>
      </c>
      <c r="S716" t="s">
        <v>28</v>
      </c>
      <c r="T716">
        <v>340</v>
      </c>
      <c r="U716" t="s">
        <v>65</v>
      </c>
      <c r="V716" t="s">
        <v>52</v>
      </c>
      <c r="W716" t="s">
        <v>37</v>
      </c>
    </row>
    <row r="717" spans="1:23" x14ac:dyDescent="0.3">
      <c r="A717">
        <v>6910</v>
      </c>
      <c r="B717" t="s">
        <v>215</v>
      </c>
      <c r="C717" s="1">
        <v>44988</v>
      </c>
      <c r="D717" s="1">
        <v>45623</v>
      </c>
      <c r="E717">
        <v>7.99</v>
      </c>
      <c r="F717">
        <v>417</v>
      </c>
      <c r="G717" t="s">
        <v>55</v>
      </c>
      <c r="H717">
        <v>4</v>
      </c>
      <c r="I717">
        <v>5</v>
      </c>
      <c r="J717" t="b">
        <v>0</v>
      </c>
      <c r="K717">
        <v>792</v>
      </c>
      <c r="L717">
        <v>187</v>
      </c>
      <c r="M717" t="s">
        <v>74</v>
      </c>
      <c r="N717" t="s">
        <v>64</v>
      </c>
      <c r="O717" t="s">
        <v>56</v>
      </c>
      <c r="P717">
        <v>5</v>
      </c>
      <c r="Q717">
        <v>4.5999999999999996</v>
      </c>
      <c r="R717" t="b">
        <v>1</v>
      </c>
      <c r="S717" t="s">
        <v>28</v>
      </c>
      <c r="T717">
        <v>444</v>
      </c>
      <c r="U717" t="s">
        <v>51</v>
      </c>
      <c r="V717" t="s">
        <v>36</v>
      </c>
      <c r="W717" t="s">
        <v>75</v>
      </c>
    </row>
    <row r="718" spans="1:23" x14ac:dyDescent="0.3">
      <c r="A718">
        <v>3164</v>
      </c>
      <c r="B718" t="s">
        <v>203</v>
      </c>
      <c r="C718" s="1">
        <v>45191</v>
      </c>
      <c r="D718" s="1">
        <v>45639</v>
      </c>
      <c r="E718">
        <v>15.99</v>
      </c>
      <c r="F718">
        <v>371</v>
      </c>
      <c r="G718" t="s">
        <v>62</v>
      </c>
      <c r="H718">
        <v>1</v>
      </c>
      <c r="I718">
        <v>5</v>
      </c>
      <c r="J718" t="b">
        <v>1</v>
      </c>
      <c r="K718">
        <v>466</v>
      </c>
      <c r="L718">
        <v>176</v>
      </c>
      <c r="M718" t="s">
        <v>39</v>
      </c>
      <c r="N718" t="s">
        <v>64</v>
      </c>
      <c r="O718" t="s">
        <v>27</v>
      </c>
      <c r="P718">
        <v>73</v>
      </c>
      <c r="Q718">
        <v>4.9000000000000004</v>
      </c>
      <c r="R718" t="b">
        <v>0</v>
      </c>
      <c r="S718" t="s">
        <v>28</v>
      </c>
      <c r="T718">
        <v>292</v>
      </c>
      <c r="U718" t="s">
        <v>35</v>
      </c>
      <c r="V718" t="s">
        <v>36</v>
      </c>
      <c r="W718" t="s">
        <v>53</v>
      </c>
    </row>
    <row r="719" spans="1:23" x14ac:dyDescent="0.3">
      <c r="A719">
        <v>2400</v>
      </c>
      <c r="B719" t="s">
        <v>99</v>
      </c>
      <c r="C719" s="1">
        <v>45239</v>
      </c>
      <c r="D719" s="1">
        <v>45638</v>
      </c>
      <c r="E719">
        <v>15.99</v>
      </c>
      <c r="F719">
        <v>110</v>
      </c>
      <c r="G719" t="s">
        <v>55</v>
      </c>
      <c r="H719">
        <v>2</v>
      </c>
      <c r="I719">
        <v>5</v>
      </c>
      <c r="J719" t="b">
        <v>1</v>
      </c>
      <c r="K719">
        <v>684</v>
      </c>
      <c r="L719">
        <v>32</v>
      </c>
      <c r="M719" t="s">
        <v>44</v>
      </c>
      <c r="N719" t="s">
        <v>26</v>
      </c>
      <c r="O719" t="s">
        <v>67</v>
      </c>
      <c r="P719">
        <v>68</v>
      </c>
      <c r="Q719">
        <v>4</v>
      </c>
      <c r="R719" t="b">
        <v>0</v>
      </c>
      <c r="S719" t="s">
        <v>28</v>
      </c>
      <c r="T719">
        <v>53</v>
      </c>
      <c r="U719" t="s">
        <v>57</v>
      </c>
      <c r="V719" t="s">
        <v>36</v>
      </c>
      <c r="W719" t="s">
        <v>31</v>
      </c>
    </row>
    <row r="720" spans="1:23" x14ac:dyDescent="0.3">
      <c r="A720">
        <v>5499</v>
      </c>
      <c r="B720" t="s">
        <v>245</v>
      </c>
      <c r="C720" s="1">
        <v>45101</v>
      </c>
      <c r="D720" s="1">
        <v>45628</v>
      </c>
      <c r="E720">
        <v>15.99</v>
      </c>
      <c r="F720">
        <v>274</v>
      </c>
      <c r="G720" t="s">
        <v>55</v>
      </c>
      <c r="H720">
        <v>2</v>
      </c>
      <c r="I720">
        <v>1</v>
      </c>
      <c r="J720" t="b">
        <v>1</v>
      </c>
      <c r="K720">
        <v>155</v>
      </c>
      <c r="L720">
        <v>94</v>
      </c>
      <c r="M720" t="s">
        <v>44</v>
      </c>
      <c r="N720" t="s">
        <v>40</v>
      </c>
      <c r="O720" t="s">
        <v>34</v>
      </c>
      <c r="P720">
        <v>96</v>
      </c>
      <c r="Q720">
        <v>3.5</v>
      </c>
      <c r="R720" t="b">
        <v>0</v>
      </c>
      <c r="S720" t="s">
        <v>28</v>
      </c>
      <c r="T720">
        <v>1638</v>
      </c>
      <c r="U720" t="s">
        <v>35</v>
      </c>
      <c r="V720" t="s">
        <v>30</v>
      </c>
      <c r="W720" t="s">
        <v>37</v>
      </c>
    </row>
    <row r="721" spans="1:23" x14ac:dyDescent="0.3">
      <c r="A721">
        <v>7221</v>
      </c>
      <c r="B721" t="s">
        <v>227</v>
      </c>
      <c r="C721" s="1">
        <v>45366</v>
      </c>
      <c r="D721" s="1">
        <v>45621</v>
      </c>
      <c r="E721">
        <v>15.99</v>
      </c>
      <c r="F721">
        <v>412</v>
      </c>
      <c r="G721" t="s">
        <v>43</v>
      </c>
      <c r="H721">
        <v>2</v>
      </c>
      <c r="I721">
        <v>5</v>
      </c>
      <c r="J721" t="b">
        <v>1</v>
      </c>
      <c r="K721">
        <v>450</v>
      </c>
      <c r="L721">
        <v>147</v>
      </c>
      <c r="M721" t="s">
        <v>59</v>
      </c>
      <c r="N721" t="s">
        <v>40</v>
      </c>
      <c r="O721" t="s">
        <v>27</v>
      </c>
      <c r="P721">
        <v>11</v>
      </c>
      <c r="Q721">
        <v>4.4000000000000004</v>
      </c>
      <c r="R721" t="b">
        <v>1</v>
      </c>
      <c r="S721" t="s">
        <v>28</v>
      </c>
      <c r="T721">
        <v>3542</v>
      </c>
      <c r="U721" t="s">
        <v>65</v>
      </c>
      <c r="V721" t="s">
        <v>36</v>
      </c>
      <c r="W721" t="s">
        <v>31</v>
      </c>
    </row>
    <row r="722" spans="1:23" x14ac:dyDescent="0.3">
      <c r="A722">
        <v>4556</v>
      </c>
      <c r="B722" t="s">
        <v>88</v>
      </c>
      <c r="C722" s="1">
        <v>44967</v>
      </c>
      <c r="D722" s="1">
        <v>45625</v>
      </c>
      <c r="E722">
        <v>11.99</v>
      </c>
      <c r="F722">
        <v>341</v>
      </c>
      <c r="G722" t="s">
        <v>79</v>
      </c>
      <c r="H722">
        <v>4</v>
      </c>
      <c r="I722">
        <v>1</v>
      </c>
      <c r="J722" t="b">
        <v>1</v>
      </c>
      <c r="K722">
        <v>744</v>
      </c>
      <c r="L722">
        <v>146</v>
      </c>
      <c r="M722" t="s">
        <v>59</v>
      </c>
      <c r="N722" t="s">
        <v>26</v>
      </c>
      <c r="O722" t="s">
        <v>56</v>
      </c>
      <c r="P722">
        <v>75</v>
      </c>
      <c r="Q722">
        <v>4.4000000000000004</v>
      </c>
      <c r="R722" t="b">
        <v>0</v>
      </c>
      <c r="S722" t="s">
        <v>28</v>
      </c>
      <c r="T722">
        <v>4935</v>
      </c>
      <c r="U722" t="s">
        <v>51</v>
      </c>
      <c r="V722" t="s">
        <v>30</v>
      </c>
      <c r="W722" t="s">
        <v>53</v>
      </c>
    </row>
    <row r="723" spans="1:23" x14ac:dyDescent="0.3">
      <c r="A723">
        <v>7175</v>
      </c>
      <c r="B723" t="s">
        <v>294</v>
      </c>
      <c r="C723" s="1">
        <v>45609</v>
      </c>
      <c r="D723" s="1">
        <v>45641</v>
      </c>
      <c r="E723">
        <v>11.99</v>
      </c>
      <c r="F723">
        <v>388</v>
      </c>
      <c r="G723" t="s">
        <v>79</v>
      </c>
      <c r="H723">
        <v>3</v>
      </c>
      <c r="I723">
        <v>6</v>
      </c>
      <c r="J723" t="b">
        <v>0</v>
      </c>
      <c r="K723">
        <v>51</v>
      </c>
      <c r="L723">
        <v>27</v>
      </c>
      <c r="M723" t="s">
        <v>39</v>
      </c>
      <c r="N723" t="s">
        <v>40</v>
      </c>
      <c r="O723" t="s">
        <v>34</v>
      </c>
      <c r="P723">
        <v>66</v>
      </c>
      <c r="Q723">
        <v>3.2</v>
      </c>
      <c r="R723" t="b">
        <v>1</v>
      </c>
      <c r="S723" t="s">
        <v>28</v>
      </c>
      <c r="T723">
        <v>1216</v>
      </c>
      <c r="U723" t="s">
        <v>57</v>
      </c>
      <c r="V723" t="s">
        <v>68</v>
      </c>
      <c r="W723" t="s">
        <v>75</v>
      </c>
    </row>
    <row r="724" spans="1:23" x14ac:dyDescent="0.3">
      <c r="A724">
        <v>7072</v>
      </c>
      <c r="B724" t="s">
        <v>327</v>
      </c>
      <c r="C724" s="1">
        <v>44964</v>
      </c>
      <c r="D724" s="1">
        <v>45615</v>
      </c>
      <c r="E724">
        <v>15.99</v>
      </c>
      <c r="F724">
        <v>446</v>
      </c>
      <c r="G724" t="s">
        <v>43</v>
      </c>
      <c r="H724">
        <v>1</v>
      </c>
      <c r="I724">
        <v>4</v>
      </c>
      <c r="J724" t="b">
        <v>1</v>
      </c>
      <c r="K724">
        <v>897</v>
      </c>
      <c r="L724">
        <v>19</v>
      </c>
      <c r="M724" t="s">
        <v>63</v>
      </c>
      <c r="N724" t="s">
        <v>26</v>
      </c>
      <c r="O724" t="s">
        <v>56</v>
      </c>
      <c r="P724">
        <v>14</v>
      </c>
      <c r="Q724">
        <v>3.5</v>
      </c>
      <c r="R724" t="b">
        <v>1</v>
      </c>
      <c r="S724" t="s">
        <v>28</v>
      </c>
      <c r="T724">
        <v>4409</v>
      </c>
      <c r="U724" t="s">
        <v>35</v>
      </c>
      <c r="V724" t="s">
        <v>36</v>
      </c>
      <c r="W724" t="s">
        <v>31</v>
      </c>
    </row>
    <row r="725" spans="1:23" x14ac:dyDescent="0.3">
      <c r="A725">
        <v>4320</v>
      </c>
      <c r="B725" t="s">
        <v>196</v>
      </c>
      <c r="C725" s="1">
        <v>45292</v>
      </c>
      <c r="D725" s="1">
        <v>45643</v>
      </c>
      <c r="E725">
        <v>15.99</v>
      </c>
      <c r="F725">
        <v>223</v>
      </c>
      <c r="G725" t="s">
        <v>24</v>
      </c>
      <c r="H725">
        <v>5</v>
      </c>
      <c r="I725">
        <v>3</v>
      </c>
      <c r="J725" t="b">
        <v>1</v>
      </c>
      <c r="K725">
        <v>499</v>
      </c>
      <c r="L725">
        <v>124</v>
      </c>
      <c r="M725" t="s">
        <v>39</v>
      </c>
      <c r="N725" t="s">
        <v>26</v>
      </c>
      <c r="O725" t="s">
        <v>34</v>
      </c>
      <c r="P725">
        <v>78</v>
      </c>
      <c r="Q725">
        <v>4.7</v>
      </c>
      <c r="R725" t="b">
        <v>1</v>
      </c>
      <c r="S725" t="s">
        <v>28</v>
      </c>
      <c r="T725">
        <v>2853</v>
      </c>
      <c r="U725" t="s">
        <v>57</v>
      </c>
      <c r="V725" t="s">
        <v>60</v>
      </c>
      <c r="W725" t="s">
        <v>53</v>
      </c>
    </row>
    <row r="726" spans="1:23" x14ac:dyDescent="0.3">
      <c r="A726">
        <v>3558</v>
      </c>
      <c r="B726" t="s">
        <v>355</v>
      </c>
      <c r="C726" s="1">
        <v>45292</v>
      </c>
      <c r="D726" s="1">
        <v>45642</v>
      </c>
      <c r="E726">
        <v>15.99</v>
      </c>
      <c r="F726">
        <v>417</v>
      </c>
      <c r="G726" t="s">
        <v>43</v>
      </c>
      <c r="H726">
        <v>5</v>
      </c>
      <c r="I726">
        <v>4</v>
      </c>
      <c r="J726" t="b">
        <v>0</v>
      </c>
      <c r="K726">
        <v>179</v>
      </c>
      <c r="L726">
        <v>29</v>
      </c>
      <c r="M726" t="s">
        <v>39</v>
      </c>
      <c r="N726" t="s">
        <v>49</v>
      </c>
      <c r="O726" t="s">
        <v>41</v>
      </c>
      <c r="P726">
        <v>84</v>
      </c>
      <c r="Q726">
        <v>4.5</v>
      </c>
      <c r="R726" t="b">
        <v>0</v>
      </c>
      <c r="S726" t="s">
        <v>28</v>
      </c>
      <c r="T726">
        <v>1252</v>
      </c>
      <c r="U726" t="s">
        <v>51</v>
      </c>
      <c r="V726" t="s">
        <v>30</v>
      </c>
      <c r="W726" t="s">
        <v>37</v>
      </c>
    </row>
    <row r="727" spans="1:23" x14ac:dyDescent="0.3">
      <c r="A727">
        <v>8581</v>
      </c>
      <c r="B727" t="s">
        <v>131</v>
      </c>
      <c r="C727" s="1">
        <v>45276</v>
      </c>
      <c r="D727" s="1">
        <v>45616</v>
      </c>
      <c r="E727">
        <v>11.99</v>
      </c>
      <c r="F727">
        <v>390</v>
      </c>
      <c r="G727" t="s">
        <v>79</v>
      </c>
      <c r="H727">
        <v>5</v>
      </c>
      <c r="I727">
        <v>1</v>
      </c>
      <c r="J727" t="b">
        <v>1</v>
      </c>
      <c r="K727">
        <v>889</v>
      </c>
      <c r="L727">
        <v>145</v>
      </c>
      <c r="M727" t="s">
        <v>25</v>
      </c>
      <c r="N727" t="s">
        <v>26</v>
      </c>
      <c r="O727" t="s">
        <v>27</v>
      </c>
      <c r="P727">
        <v>60</v>
      </c>
      <c r="Q727">
        <v>4.5</v>
      </c>
      <c r="R727" t="b">
        <v>1</v>
      </c>
      <c r="S727" t="s">
        <v>28</v>
      </c>
      <c r="T727">
        <v>3027</v>
      </c>
      <c r="U727" t="s">
        <v>51</v>
      </c>
      <c r="V727" t="s">
        <v>68</v>
      </c>
      <c r="W727" t="s">
        <v>31</v>
      </c>
    </row>
    <row r="728" spans="1:23" x14ac:dyDescent="0.3">
      <c r="A728">
        <v>5827</v>
      </c>
      <c r="B728" t="s">
        <v>146</v>
      </c>
      <c r="C728" s="1">
        <v>45007</v>
      </c>
      <c r="D728" s="1">
        <v>45628</v>
      </c>
      <c r="E728">
        <v>15.99</v>
      </c>
      <c r="F728">
        <v>33</v>
      </c>
      <c r="G728" t="s">
        <v>62</v>
      </c>
      <c r="H728">
        <v>4</v>
      </c>
      <c r="I728">
        <v>2</v>
      </c>
      <c r="J728" t="b">
        <v>0</v>
      </c>
      <c r="K728">
        <v>191</v>
      </c>
      <c r="L728">
        <v>25</v>
      </c>
      <c r="M728" t="s">
        <v>44</v>
      </c>
      <c r="N728" t="s">
        <v>49</v>
      </c>
      <c r="O728" t="s">
        <v>34</v>
      </c>
      <c r="P728">
        <v>44</v>
      </c>
      <c r="Q728">
        <v>4.5</v>
      </c>
      <c r="R728" t="b">
        <v>1</v>
      </c>
      <c r="S728" t="s">
        <v>28</v>
      </c>
      <c r="T728">
        <v>1228</v>
      </c>
      <c r="U728" t="s">
        <v>57</v>
      </c>
      <c r="V728" t="s">
        <v>60</v>
      </c>
      <c r="W728" t="s">
        <v>37</v>
      </c>
    </row>
    <row r="729" spans="1:23" x14ac:dyDescent="0.3">
      <c r="A729">
        <v>6929</v>
      </c>
      <c r="B729" t="s">
        <v>85</v>
      </c>
      <c r="C729" s="1">
        <v>45594</v>
      </c>
      <c r="D729" s="1">
        <v>45631</v>
      </c>
      <c r="E729">
        <v>11.99</v>
      </c>
      <c r="F729">
        <v>302</v>
      </c>
      <c r="G729" t="s">
        <v>24</v>
      </c>
      <c r="H729">
        <v>5</v>
      </c>
      <c r="I729">
        <v>5</v>
      </c>
      <c r="J729" t="b">
        <v>1</v>
      </c>
      <c r="K729">
        <v>42</v>
      </c>
      <c r="L729">
        <v>196</v>
      </c>
      <c r="M729" t="s">
        <v>48</v>
      </c>
      <c r="N729" t="s">
        <v>49</v>
      </c>
      <c r="O729" t="s">
        <v>27</v>
      </c>
      <c r="P729">
        <v>74</v>
      </c>
      <c r="Q729">
        <v>4.5999999999999996</v>
      </c>
      <c r="R729" t="b">
        <v>0</v>
      </c>
      <c r="S729" t="s">
        <v>28</v>
      </c>
      <c r="T729">
        <v>3616</v>
      </c>
      <c r="U729" t="s">
        <v>35</v>
      </c>
      <c r="V729" t="s">
        <v>52</v>
      </c>
      <c r="W729" t="s">
        <v>37</v>
      </c>
    </row>
    <row r="730" spans="1:23" x14ac:dyDescent="0.3">
      <c r="A730">
        <v>9179</v>
      </c>
      <c r="B730" t="s">
        <v>356</v>
      </c>
      <c r="C730" s="1">
        <v>45637</v>
      </c>
      <c r="D730" s="1">
        <v>45623</v>
      </c>
      <c r="E730">
        <v>15.99</v>
      </c>
      <c r="F730">
        <v>121</v>
      </c>
      <c r="G730" t="s">
        <v>55</v>
      </c>
      <c r="H730">
        <v>4</v>
      </c>
      <c r="I730">
        <v>5</v>
      </c>
      <c r="J730" t="b">
        <v>1</v>
      </c>
      <c r="K730">
        <v>53</v>
      </c>
      <c r="L730">
        <v>77</v>
      </c>
      <c r="M730" t="s">
        <v>59</v>
      </c>
      <c r="N730" t="s">
        <v>26</v>
      </c>
      <c r="O730" t="s">
        <v>27</v>
      </c>
      <c r="P730">
        <v>54</v>
      </c>
      <c r="Q730">
        <v>3.1</v>
      </c>
      <c r="R730" t="b">
        <v>1</v>
      </c>
      <c r="S730" t="s">
        <v>28</v>
      </c>
      <c r="T730">
        <v>3913</v>
      </c>
      <c r="U730" t="s">
        <v>57</v>
      </c>
      <c r="V730" t="s">
        <v>30</v>
      </c>
      <c r="W730" t="s">
        <v>53</v>
      </c>
    </row>
    <row r="731" spans="1:23" x14ac:dyDescent="0.3">
      <c r="A731">
        <v>7580</v>
      </c>
      <c r="B731" t="s">
        <v>47</v>
      </c>
      <c r="C731" s="1">
        <v>44965</v>
      </c>
      <c r="D731" s="1">
        <v>45617</v>
      </c>
      <c r="E731">
        <v>7.99</v>
      </c>
      <c r="F731">
        <v>112</v>
      </c>
      <c r="G731" t="s">
        <v>55</v>
      </c>
      <c r="H731">
        <v>5</v>
      </c>
      <c r="I731">
        <v>6</v>
      </c>
      <c r="J731" t="b">
        <v>0</v>
      </c>
      <c r="K731">
        <v>535</v>
      </c>
      <c r="L731">
        <v>43</v>
      </c>
      <c r="M731" t="s">
        <v>44</v>
      </c>
      <c r="N731" t="s">
        <v>64</v>
      </c>
      <c r="O731" t="s">
        <v>56</v>
      </c>
      <c r="P731">
        <v>89</v>
      </c>
      <c r="Q731">
        <v>3.1</v>
      </c>
      <c r="R731" t="b">
        <v>1</v>
      </c>
      <c r="S731" t="s">
        <v>28</v>
      </c>
      <c r="T731">
        <v>775</v>
      </c>
      <c r="U731" t="s">
        <v>35</v>
      </c>
      <c r="V731" t="s">
        <v>52</v>
      </c>
      <c r="W731" t="s">
        <v>37</v>
      </c>
    </row>
    <row r="732" spans="1:23" x14ac:dyDescent="0.3">
      <c r="A732">
        <v>3858</v>
      </c>
      <c r="B732" t="s">
        <v>121</v>
      </c>
      <c r="C732" s="1">
        <v>45107</v>
      </c>
      <c r="D732" s="1">
        <v>45631</v>
      </c>
      <c r="E732">
        <v>15.99</v>
      </c>
      <c r="F732">
        <v>375</v>
      </c>
      <c r="G732" t="s">
        <v>79</v>
      </c>
      <c r="H732">
        <v>3</v>
      </c>
      <c r="I732">
        <v>6</v>
      </c>
      <c r="J732" t="b">
        <v>0</v>
      </c>
      <c r="K732">
        <v>416</v>
      </c>
      <c r="L732">
        <v>79</v>
      </c>
      <c r="M732" t="s">
        <v>74</v>
      </c>
      <c r="N732" t="s">
        <v>26</v>
      </c>
      <c r="O732" t="s">
        <v>27</v>
      </c>
      <c r="P732">
        <v>33</v>
      </c>
      <c r="Q732">
        <v>3.2</v>
      </c>
      <c r="R732" t="b">
        <v>1</v>
      </c>
      <c r="S732" t="s">
        <v>28</v>
      </c>
      <c r="T732">
        <v>2536</v>
      </c>
      <c r="U732" t="s">
        <v>35</v>
      </c>
      <c r="V732" t="s">
        <v>68</v>
      </c>
      <c r="W732" t="s">
        <v>37</v>
      </c>
    </row>
    <row r="733" spans="1:23" x14ac:dyDescent="0.3">
      <c r="A733">
        <v>8627</v>
      </c>
      <c r="B733" t="s">
        <v>153</v>
      </c>
      <c r="C733" s="1">
        <v>45552</v>
      </c>
      <c r="D733" s="1">
        <v>45627</v>
      </c>
      <c r="E733">
        <v>11.99</v>
      </c>
      <c r="F733">
        <v>97</v>
      </c>
      <c r="G733" t="s">
        <v>62</v>
      </c>
      <c r="H733">
        <v>3</v>
      </c>
      <c r="I733">
        <v>2</v>
      </c>
      <c r="J733" t="b">
        <v>0</v>
      </c>
      <c r="K733">
        <v>287</v>
      </c>
      <c r="L733">
        <v>39</v>
      </c>
      <c r="M733" t="s">
        <v>74</v>
      </c>
      <c r="N733" t="s">
        <v>26</v>
      </c>
      <c r="O733" t="s">
        <v>56</v>
      </c>
      <c r="P733">
        <v>9</v>
      </c>
      <c r="Q733">
        <v>4.9000000000000004</v>
      </c>
      <c r="R733" t="b">
        <v>0</v>
      </c>
      <c r="S733" t="s">
        <v>28</v>
      </c>
      <c r="T733">
        <v>2331</v>
      </c>
      <c r="U733" t="s">
        <v>57</v>
      </c>
      <c r="V733" t="s">
        <v>36</v>
      </c>
      <c r="W733" t="s">
        <v>37</v>
      </c>
    </row>
    <row r="734" spans="1:23" x14ac:dyDescent="0.3">
      <c r="A734">
        <v>7552</v>
      </c>
      <c r="B734" t="s">
        <v>357</v>
      </c>
      <c r="C734" s="1">
        <v>45451</v>
      </c>
      <c r="D734" s="1">
        <v>45630</v>
      </c>
      <c r="E734">
        <v>15.99</v>
      </c>
      <c r="F734">
        <v>306</v>
      </c>
      <c r="G734" t="s">
        <v>46</v>
      </c>
      <c r="H734">
        <v>4</v>
      </c>
      <c r="I734">
        <v>5</v>
      </c>
      <c r="J734" t="b">
        <v>0</v>
      </c>
      <c r="K734">
        <v>651</v>
      </c>
      <c r="L734">
        <v>60</v>
      </c>
      <c r="M734" t="s">
        <v>63</v>
      </c>
      <c r="N734" t="s">
        <v>64</v>
      </c>
      <c r="O734" t="s">
        <v>41</v>
      </c>
      <c r="P734">
        <v>86</v>
      </c>
      <c r="Q734">
        <v>3.1</v>
      </c>
      <c r="R734" t="b">
        <v>0</v>
      </c>
      <c r="S734" t="s">
        <v>28</v>
      </c>
      <c r="T734">
        <v>2953</v>
      </c>
      <c r="U734" t="s">
        <v>35</v>
      </c>
      <c r="V734" t="s">
        <v>68</v>
      </c>
      <c r="W734" t="s">
        <v>75</v>
      </c>
    </row>
    <row r="735" spans="1:23" x14ac:dyDescent="0.3">
      <c r="A735">
        <v>6020</v>
      </c>
      <c r="B735" t="s">
        <v>355</v>
      </c>
      <c r="C735" s="1">
        <v>45498</v>
      </c>
      <c r="D735" s="1">
        <v>45617</v>
      </c>
      <c r="E735">
        <v>11.99</v>
      </c>
      <c r="F735">
        <v>136</v>
      </c>
      <c r="G735" t="s">
        <v>55</v>
      </c>
      <c r="H735">
        <v>5</v>
      </c>
      <c r="I735">
        <v>2</v>
      </c>
      <c r="J735" t="b">
        <v>1</v>
      </c>
      <c r="K735">
        <v>821</v>
      </c>
      <c r="L735">
        <v>174</v>
      </c>
      <c r="M735" t="s">
        <v>74</v>
      </c>
      <c r="N735" t="s">
        <v>49</v>
      </c>
      <c r="O735" t="s">
        <v>34</v>
      </c>
      <c r="P735">
        <v>92</v>
      </c>
      <c r="Q735">
        <v>3.6</v>
      </c>
      <c r="R735" t="b">
        <v>1</v>
      </c>
      <c r="S735" t="s">
        <v>28</v>
      </c>
      <c r="T735">
        <v>868</v>
      </c>
      <c r="U735" t="s">
        <v>35</v>
      </c>
      <c r="V735" t="s">
        <v>60</v>
      </c>
      <c r="W735" t="s">
        <v>75</v>
      </c>
    </row>
    <row r="736" spans="1:23" x14ac:dyDescent="0.3">
      <c r="A736">
        <v>9408</v>
      </c>
      <c r="B736" t="s">
        <v>188</v>
      </c>
      <c r="C736" s="1">
        <v>45058</v>
      </c>
      <c r="D736" s="1">
        <v>45622</v>
      </c>
      <c r="E736">
        <v>7.99</v>
      </c>
      <c r="F736">
        <v>12</v>
      </c>
      <c r="G736" t="s">
        <v>62</v>
      </c>
      <c r="H736">
        <v>2</v>
      </c>
      <c r="I736">
        <v>3</v>
      </c>
      <c r="J736" t="b">
        <v>1</v>
      </c>
      <c r="K736">
        <v>396</v>
      </c>
      <c r="L736">
        <v>22</v>
      </c>
      <c r="M736" t="s">
        <v>59</v>
      </c>
      <c r="N736" t="s">
        <v>64</v>
      </c>
      <c r="O736" t="s">
        <v>27</v>
      </c>
      <c r="P736">
        <v>70</v>
      </c>
      <c r="Q736">
        <v>3.5</v>
      </c>
      <c r="R736" t="b">
        <v>1</v>
      </c>
      <c r="S736" t="s">
        <v>28</v>
      </c>
      <c r="T736">
        <v>4808</v>
      </c>
      <c r="U736" t="s">
        <v>65</v>
      </c>
      <c r="V736" t="s">
        <v>60</v>
      </c>
      <c r="W736" t="s">
        <v>31</v>
      </c>
    </row>
    <row r="737" spans="1:23" x14ac:dyDescent="0.3">
      <c r="A737">
        <v>9990</v>
      </c>
      <c r="B737" t="s">
        <v>358</v>
      </c>
      <c r="C737" s="1">
        <v>45316</v>
      </c>
      <c r="D737" s="1">
        <v>45631</v>
      </c>
      <c r="E737">
        <v>15.99</v>
      </c>
      <c r="F737">
        <v>379</v>
      </c>
      <c r="G737" t="s">
        <v>46</v>
      </c>
      <c r="H737">
        <v>4</v>
      </c>
      <c r="I737">
        <v>5</v>
      </c>
      <c r="J737" t="b">
        <v>1</v>
      </c>
      <c r="K737">
        <v>726</v>
      </c>
      <c r="L737">
        <v>103</v>
      </c>
      <c r="M737" t="s">
        <v>63</v>
      </c>
      <c r="N737" t="s">
        <v>26</v>
      </c>
      <c r="O737" t="s">
        <v>41</v>
      </c>
      <c r="P737">
        <v>39</v>
      </c>
      <c r="Q737">
        <v>3.5</v>
      </c>
      <c r="R737" t="b">
        <v>1</v>
      </c>
      <c r="S737" t="s">
        <v>28</v>
      </c>
      <c r="T737">
        <v>4177</v>
      </c>
      <c r="U737" t="s">
        <v>35</v>
      </c>
      <c r="V737" t="s">
        <v>52</v>
      </c>
      <c r="W737" t="s">
        <v>31</v>
      </c>
    </row>
    <row r="738" spans="1:23" x14ac:dyDescent="0.3">
      <c r="A738">
        <v>3687</v>
      </c>
      <c r="B738" t="s">
        <v>196</v>
      </c>
      <c r="C738" s="1">
        <v>45234</v>
      </c>
      <c r="D738" s="1">
        <v>45644</v>
      </c>
      <c r="E738">
        <v>15.99</v>
      </c>
      <c r="F738">
        <v>205</v>
      </c>
      <c r="G738" t="s">
        <v>55</v>
      </c>
      <c r="H738">
        <v>3</v>
      </c>
      <c r="I738">
        <v>2</v>
      </c>
      <c r="J738" t="b">
        <v>1</v>
      </c>
      <c r="K738">
        <v>420</v>
      </c>
      <c r="L738">
        <v>24</v>
      </c>
      <c r="M738" t="s">
        <v>74</v>
      </c>
      <c r="N738" t="s">
        <v>40</v>
      </c>
      <c r="O738" t="s">
        <v>50</v>
      </c>
      <c r="P738">
        <v>61</v>
      </c>
      <c r="Q738">
        <v>4.8</v>
      </c>
      <c r="R738" t="b">
        <v>0</v>
      </c>
      <c r="S738" t="s">
        <v>28</v>
      </c>
      <c r="T738">
        <v>564</v>
      </c>
      <c r="U738" t="s">
        <v>35</v>
      </c>
      <c r="V738" t="s">
        <v>60</v>
      </c>
      <c r="W738" t="s">
        <v>75</v>
      </c>
    </row>
    <row r="739" spans="1:23" x14ac:dyDescent="0.3">
      <c r="A739">
        <v>4540</v>
      </c>
      <c r="B739" t="s">
        <v>359</v>
      </c>
      <c r="C739" s="1">
        <v>45176</v>
      </c>
      <c r="D739" s="1">
        <v>45621</v>
      </c>
      <c r="E739">
        <v>15.99</v>
      </c>
      <c r="F739">
        <v>335</v>
      </c>
      <c r="G739" t="s">
        <v>24</v>
      </c>
      <c r="H739">
        <v>3</v>
      </c>
      <c r="I739">
        <v>6</v>
      </c>
      <c r="J739" t="b">
        <v>1</v>
      </c>
      <c r="K739">
        <v>75</v>
      </c>
      <c r="L739">
        <v>177</v>
      </c>
      <c r="M739" t="s">
        <v>44</v>
      </c>
      <c r="N739" t="s">
        <v>26</v>
      </c>
      <c r="O739" t="s">
        <v>27</v>
      </c>
      <c r="P739">
        <v>73</v>
      </c>
      <c r="Q739">
        <v>3.9</v>
      </c>
      <c r="R739" t="b">
        <v>1</v>
      </c>
      <c r="S739" t="s">
        <v>28</v>
      </c>
      <c r="T739">
        <v>1702</v>
      </c>
      <c r="U739" t="s">
        <v>35</v>
      </c>
      <c r="V739" t="s">
        <v>52</v>
      </c>
      <c r="W739" t="s">
        <v>37</v>
      </c>
    </row>
    <row r="740" spans="1:23" x14ac:dyDescent="0.3">
      <c r="A740">
        <v>8264</v>
      </c>
      <c r="B740" t="s">
        <v>216</v>
      </c>
      <c r="C740" s="1">
        <v>45437</v>
      </c>
      <c r="D740" s="1">
        <v>45618</v>
      </c>
      <c r="E740">
        <v>15.99</v>
      </c>
      <c r="F740">
        <v>449</v>
      </c>
      <c r="G740" t="s">
        <v>55</v>
      </c>
      <c r="H740">
        <v>5</v>
      </c>
      <c r="I740">
        <v>6</v>
      </c>
      <c r="J740" t="b">
        <v>0</v>
      </c>
      <c r="K740">
        <v>683</v>
      </c>
      <c r="L740">
        <v>85</v>
      </c>
      <c r="M740" t="s">
        <v>63</v>
      </c>
      <c r="N740" t="s">
        <v>40</v>
      </c>
      <c r="O740" t="s">
        <v>41</v>
      </c>
      <c r="P740">
        <v>25</v>
      </c>
      <c r="Q740">
        <v>4.2</v>
      </c>
      <c r="R740" t="b">
        <v>1</v>
      </c>
      <c r="S740" t="s">
        <v>28</v>
      </c>
      <c r="T740">
        <v>249</v>
      </c>
      <c r="U740" t="s">
        <v>57</v>
      </c>
      <c r="V740" t="s">
        <v>36</v>
      </c>
      <c r="W740" t="s">
        <v>75</v>
      </c>
    </row>
    <row r="741" spans="1:23" x14ac:dyDescent="0.3">
      <c r="A741">
        <v>7448</v>
      </c>
      <c r="B741" t="s">
        <v>72</v>
      </c>
      <c r="C741" s="1">
        <v>45026</v>
      </c>
      <c r="D741" s="1">
        <v>45633</v>
      </c>
      <c r="E741">
        <v>7.99</v>
      </c>
      <c r="F741">
        <v>453</v>
      </c>
      <c r="G741" t="s">
        <v>46</v>
      </c>
      <c r="H741">
        <v>1</v>
      </c>
      <c r="I741">
        <v>5</v>
      </c>
      <c r="J741" t="b">
        <v>1</v>
      </c>
      <c r="K741">
        <v>487</v>
      </c>
      <c r="L741">
        <v>128</v>
      </c>
      <c r="M741" t="s">
        <v>48</v>
      </c>
      <c r="N741" t="s">
        <v>64</v>
      </c>
      <c r="O741" t="s">
        <v>41</v>
      </c>
      <c r="P741">
        <v>41</v>
      </c>
      <c r="Q741">
        <v>4.5</v>
      </c>
      <c r="R741" t="b">
        <v>1</v>
      </c>
      <c r="S741" t="s">
        <v>28</v>
      </c>
      <c r="T741">
        <v>30</v>
      </c>
      <c r="U741" t="s">
        <v>29</v>
      </c>
      <c r="V741" t="s">
        <v>52</v>
      </c>
      <c r="W741" t="s">
        <v>37</v>
      </c>
    </row>
    <row r="742" spans="1:23" x14ac:dyDescent="0.3">
      <c r="A742">
        <v>1123</v>
      </c>
      <c r="B742" t="s">
        <v>360</v>
      </c>
      <c r="C742" s="1">
        <v>45590</v>
      </c>
      <c r="D742" s="1">
        <v>45617</v>
      </c>
      <c r="E742">
        <v>7.99</v>
      </c>
      <c r="F742">
        <v>252</v>
      </c>
      <c r="G742" t="s">
        <v>24</v>
      </c>
      <c r="H742">
        <v>1</v>
      </c>
      <c r="I742">
        <v>1</v>
      </c>
      <c r="J742" t="b">
        <v>1</v>
      </c>
      <c r="K742">
        <v>968</v>
      </c>
      <c r="L742">
        <v>197</v>
      </c>
      <c r="M742" t="s">
        <v>48</v>
      </c>
      <c r="N742" t="s">
        <v>40</v>
      </c>
      <c r="O742" t="s">
        <v>27</v>
      </c>
      <c r="P742">
        <v>46</v>
      </c>
      <c r="Q742">
        <v>4</v>
      </c>
      <c r="R742" t="b">
        <v>0</v>
      </c>
      <c r="S742" t="s">
        <v>28</v>
      </c>
      <c r="T742">
        <v>3842</v>
      </c>
      <c r="U742" t="s">
        <v>65</v>
      </c>
      <c r="V742" t="s">
        <v>52</v>
      </c>
      <c r="W742" t="s">
        <v>75</v>
      </c>
    </row>
    <row r="743" spans="1:23" x14ac:dyDescent="0.3">
      <c r="A743">
        <v>4103</v>
      </c>
      <c r="B743" t="s">
        <v>167</v>
      </c>
      <c r="C743" s="1">
        <v>45595</v>
      </c>
      <c r="D743" s="1">
        <v>45621</v>
      </c>
      <c r="E743">
        <v>11.99</v>
      </c>
      <c r="F743">
        <v>379</v>
      </c>
      <c r="G743" t="s">
        <v>55</v>
      </c>
      <c r="H743">
        <v>2</v>
      </c>
      <c r="I743">
        <v>1</v>
      </c>
      <c r="J743" t="b">
        <v>1</v>
      </c>
      <c r="K743">
        <v>632</v>
      </c>
      <c r="L743">
        <v>82</v>
      </c>
      <c r="M743" t="s">
        <v>25</v>
      </c>
      <c r="N743" t="s">
        <v>49</v>
      </c>
      <c r="O743" t="s">
        <v>50</v>
      </c>
      <c r="P743">
        <v>29</v>
      </c>
      <c r="Q743">
        <v>3.2</v>
      </c>
      <c r="R743" t="b">
        <v>1</v>
      </c>
      <c r="S743" t="s">
        <v>28</v>
      </c>
      <c r="T743">
        <v>1299</v>
      </c>
      <c r="U743" t="s">
        <v>35</v>
      </c>
      <c r="V743" t="s">
        <v>36</v>
      </c>
      <c r="W743" t="s">
        <v>75</v>
      </c>
    </row>
    <row r="744" spans="1:23" x14ac:dyDescent="0.3">
      <c r="A744">
        <v>2904</v>
      </c>
      <c r="B744" t="s">
        <v>269</v>
      </c>
      <c r="C744" s="1">
        <v>45339</v>
      </c>
      <c r="D744" s="1">
        <v>45627</v>
      </c>
      <c r="E744">
        <v>7.99</v>
      </c>
      <c r="F744">
        <v>280</v>
      </c>
      <c r="G744" t="s">
        <v>79</v>
      </c>
      <c r="H744">
        <v>3</v>
      </c>
      <c r="I744">
        <v>1</v>
      </c>
      <c r="J744" t="b">
        <v>0</v>
      </c>
      <c r="K744">
        <v>188</v>
      </c>
      <c r="L744">
        <v>103</v>
      </c>
      <c r="M744" t="s">
        <v>63</v>
      </c>
      <c r="N744" t="s">
        <v>64</v>
      </c>
      <c r="O744" t="s">
        <v>56</v>
      </c>
      <c r="P744">
        <v>80</v>
      </c>
      <c r="Q744">
        <v>4.8</v>
      </c>
      <c r="R744" t="b">
        <v>0</v>
      </c>
      <c r="S744" t="s">
        <v>28</v>
      </c>
      <c r="T744">
        <v>2346</v>
      </c>
      <c r="U744" t="s">
        <v>51</v>
      </c>
      <c r="V744" t="s">
        <v>68</v>
      </c>
      <c r="W744" t="s">
        <v>53</v>
      </c>
    </row>
    <row r="745" spans="1:23" x14ac:dyDescent="0.3">
      <c r="A745">
        <v>5634</v>
      </c>
      <c r="B745" t="s">
        <v>119</v>
      </c>
      <c r="C745" s="1">
        <v>45388</v>
      </c>
      <c r="D745" s="1">
        <v>45620</v>
      </c>
      <c r="E745">
        <v>7.99</v>
      </c>
      <c r="F745">
        <v>187</v>
      </c>
      <c r="G745" t="s">
        <v>55</v>
      </c>
      <c r="H745">
        <v>3</v>
      </c>
      <c r="I745">
        <v>3</v>
      </c>
      <c r="J745" t="b">
        <v>0</v>
      </c>
      <c r="K745">
        <v>987</v>
      </c>
      <c r="L745">
        <v>166</v>
      </c>
      <c r="M745" t="s">
        <v>59</v>
      </c>
      <c r="N745" t="s">
        <v>26</v>
      </c>
      <c r="O745" t="s">
        <v>50</v>
      </c>
      <c r="P745">
        <v>24</v>
      </c>
      <c r="Q745">
        <v>4.7</v>
      </c>
      <c r="R745" t="b">
        <v>0</v>
      </c>
      <c r="S745" t="s">
        <v>28</v>
      </c>
      <c r="T745">
        <v>215</v>
      </c>
      <c r="U745" t="s">
        <v>35</v>
      </c>
      <c r="V745" t="s">
        <v>68</v>
      </c>
      <c r="W745" t="s">
        <v>37</v>
      </c>
    </row>
    <row r="746" spans="1:23" x14ac:dyDescent="0.3">
      <c r="A746">
        <v>5360</v>
      </c>
      <c r="B746" t="s">
        <v>104</v>
      </c>
      <c r="C746" s="1">
        <v>45192</v>
      </c>
      <c r="D746" s="1">
        <v>45628</v>
      </c>
      <c r="E746">
        <v>7.99</v>
      </c>
      <c r="F746">
        <v>373</v>
      </c>
      <c r="G746" t="s">
        <v>24</v>
      </c>
      <c r="H746">
        <v>2</v>
      </c>
      <c r="I746">
        <v>1</v>
      </c>
      <c r="J746" t="b">
        <v>1</v>
      </c>
      <c r="K746">
        <v>925</v>
      </c>
      <c r="L746">
        <v>12</v>
      </c>
      <c r="M746" t="s">
        <v>44</v>
      </c>
      <c r="N746" t="s">
        <v>26</v>
      </c>
      <c r="O746" t="s">
        <v>27</v>
      </c>
      <c r="P746">
        <v>22</v>
      </c>
      <c r="Q746">
        <v>4.2</v>
      </c>
      <c r="R746" t="b">
        <v>1</v>
      </c>
      <c r="S746" t="s">
        <v>28</v>
      </c>
      <c r="T746">
        <v>3062</v>
      </c>
      <c r="U746" t="s">
        <v>57</v>
      </c>
      <c r="V746" t="s">
        <v>30</v>
      </c>
      <c r="W746" t="s">
        <v>53</v>
      </c>
    </row>
    <row r="747" spans="1:23" x14ac:dyDescent="0.3">
      <c r="A747">
        <v>8571</v>
      </c>
      <c r="B747" t="s">
        <v>214</v>
      </c>
      <c r="C747" s="1">
        <v>45074</v>
      </c>
      <c r="D747" s="1">
        <v>45641</v>
      </c>
      <c r="E747">
        <v>15.99</v>
      </c>
      <c r="F747">
        <v>482</v>
      </c>
      <c r="G747" t="s">
        <v>24</v>
      </c>
      <c r="H747">
        <v>2</v>
      </c>
      <c r="I747">
        <v>5</v>
      </c>
      <c r="J747" t="b">
        <v>1</v>
      </c>
      <c r="K747">
        <v>838</v>
      </c>
      <c r="L747">
        <v>159</v>
      </c>
      <c r="M747" t="s">
        <v>39</v>
      </c>
      <c r="N747" t="s">
        <v>40</v>
      </c>
      <c r="O747" t="s">
        <v>67</v>
      </c>
      <c r="P747">
        <v>39</v>
      </c>
      <c r="Q747">
        <v>4.8</v>
      </c>
      <c r="R747" t="b">
        <v>0</v>
      </c>
      <c r="S747" t="s">
        <v>28</v>
      </c>
      <c r="T747">
        <v>2978</v>
      </c>
      <c r="U747" t="s">
        <v>65</v>
      </c>
      <c r="V747" t="s">
        <v>60</v>
      </c>
      <c r="W747" t="s">
        <v>53</v>
      </c>
    </row>
    <row r="748" spans="1:23" x14ac:dyDescent="0.3">
      <c r="A748">
        <v>9439</v>
      </c>
      <c r="B748" t="s">
        <v>361</v>
      </c>
      <c r="C748" s="1">
        <v>45245</v>
      </c>
      <c r="D748" s="1">
        <v>45637</v>
      </c>
      <c r="E748">
        <v>11.99</v>
      </c>
      <c r="F748">
        <v>360</v>
      </c>
      <c r="G748" t="s">
        <v>43</v>
      </c>
      <c r="H748">
        <v>3</v>
      </c>
      <c r="I748">
        <v>4</v>
      </c>
      <c r="J748" t="b">
        <v>0</v>
      </c>
      <c r="K748">
        <v>295</v>
      </c>
      <c r="L748">
        <v>55</v>
      </c>
      <c r="M748" t="s">
        <v>39</v>
      </c>
      <c r="N748" t="s">
        <v>49</v>
      </c>
      <c r="O748" t="s">
        <v>41</v>
      </c>
      <c r="P748">
        <v>31</v>
      </c>
      <c r="Q748">
        <v>3.7</v>
      </c>
      <c r="R748" t="b">
        <v>0</v>
      </c>
      <c r="S748" t="s">
        <v>28</v>
      </c>
      <c r="T748">
        <v>1984</v>
      </c>
      <c r="U748" t="s">
        <v>65</v>
      </c>
      <c r="V748" t="s">
        <v>36</v>
      </c>
      <c r="W748" t="s">
        <v>37</v>
      </c>
    </row>
    <row r="749" spans="1:23" x14ac:dyDescent="0.3">
      <c r="A749">
        <v>8356</v>
      </c>
      <c r="B749" t="s">
        <v>308</v>
      </c>
      <c r="C749" s="1">
        <v>44942</v>
      </c>
      <c r="D749" s="1">
        <v>45640</v>
      </c>
      <c r="E749">
        <v>15.99</v>
      </c>
      <c r="F749">
        <v>463</v>
      </c>
      <c r="G749" t="s">
        <v>62</v>
      </c>
      <c r="H749">
        <v>2</v>
      </c>
      <c r="I749">
        <v>1</v>
      </c>
      <c r="J749" t="b">
        <v>0</v>
      </c>
      <c r="K749">
        <v>844</v>
      </c>
      <c r="L749">
        <v>98</v>
      </c>
      <c r="M749" t="s">
        <v>44</v>
      </c>
      <c r="N749" t="s">
        <v>64</v>
      </c>
      <c r="O749" t="s">
        <v>56</v>
      </c>
      <c r="P749">
        <v>15</v>
      </c>
      <c r="Q749">
        <v>3.6</v>
      </c>
      <c r="R749" t="b">
        <v>1</v>
      </c>
      <c r="S749" t="s">
        <v>28</v>
      </c>
      <c r="T749">
        <v>945</v>
      </c>
      <c r="U749" t="s">
        <v>29</v>
      </c>
      <c r="V749" t="s">
        <v>68</v>
      </c>
      <c r="W749" t="s">
        <v>75</v>
      </c>
    </row>
    <row r="750" spans="1:23" x14ac:dyDescent="0.3">
      <c r="A750">
        <v>2039</v>
      </c>
      <c r="B750" t="s">
        <v>362</v>
      </c>
      <c r="C750" s="1">
        <v>44928</v>
      </c>
      <c r="D750" s="1">
        <v>45628</v>
      </c>
      <c r="E750">
        <v>15.99</v>
      </c>
      <c r="F750">
        <v>13</v>
      </c>
      <c r="G750" t="s">
        <v>79</v>
      </c>
      <c r="H750">
        <v>3</v>
      </c>
      <c r="I750">
        <v>5</v>
      </c>
      <c r="J750" t="b">
        <v>0</v>
      </c>
      <c r="K750">
        <v>378</v>
      </c>
      <c r="L750">
        <v>123</v>
      </c>
      <c r="M750" t="s">
        <v>48</v>
      </c>
      <c r="N750" t="s">
        <v>49</v>
      </c>
      <c r="O750" t="s">
        <v>34</v>
      </c>
      <c r="P750">
        <v>3</v>
      </c>
      <c r="Q750">
        <v>4.2</v>
      </c>
      <c r="R750" t="b">
        <v>0</v>
      </c>
      <c r="S750" t="s">
        <v>28</v>
      </c>
      <c r="T750">
        <v>4134</v>
      </c>
      <c r="U750" t="s">
        <v>35</v>
      </c>
      <c r="V750" t="s">
        <v>36</v>
      </c>
      <c r="W750" t="s">
        <v>31</v>
      </c>
    </row>
    <row r="751" spans="1:23" x14ac:dyDescent="0.3">
      <c r="A751">
        <v>2613</v>
      </c>
      <c r="B751" t="s">
        <v>363</v>
      </c>
      <c r="C751" s="1">
        <v>44964</v>
      </c>
      <c r="D751" s="1">
        <v>45642</v>
      </c>
      <c r="E751">
        <v>7.99</v>
      </c>
      <c r="F751">
        <v>129</v>
      </c>
      <c r="G751" t="s">
        <v>46</v>
      </c>
      <c r="H751">
        <v>4</v>
      </c>
      <c r="I751">
        <v>5</v>
      </c>
      <c r="J751" t="b">
        <v>0</v>
      </c>
      <c r="K751">
        <v>439</v>
      </c>
      <c r="L751">
        <v>10</v>
      </c>
      <c r="M751" t="s">
        <v>44</v>
      </c>
      <c r="N751" t="s">
        <v>49</v>
      </c>
      <c r="O751" t="s">
        <v>67</v>
      </c>
      <c r="P751">
        <v>11</v>
      </c>
      <c r="Q751">
        <v>3.7</v>
      </c>
      <c r="R751" t="b">
        <v>0</v>
      </c>
      <c r="S751" t="s">
        <v>28</v>
      </c>
      <c r="T751">
        <v>3741</v>
      </c>
      <c r="U751" t="s">
        <v>65</v>
      </c>
      <c r="V751" t="s">
        <v>30</v>
      </c>
      <c r="W751" t="s">
        <v>53</v>
      </c>
    </row>
    <row r="752" spans="1:23" x14ac:dyDescent="0.3">
      <c r="A752">
        <v>8226</v>
      </c>
      <c r="B752" t="s">
        <v>99</v>
      </c>
      <c r="C752" s="1">
        <v>45414</v>
      </c>
      <c r="D752" s="1">
        <v>45619</v>
      </c>
      <c r="E752">
        <v>7.99</v>
      </c>
      <c r="F752">
        <v>290</v>
      </c>
      <c r="G752" t="s">
        <v>33</v>
      </c>
      <c r="H752">
        <v>5</v>
      </c>
      <c r="I752">
        <v>5</v>
      </c>
      <c r="J752" t="b">
        <v>0</v>
      </c>
      <c r="K752">
        <v>84</v>
      </c>
      <c r="L752">
        <v>52</v>
      </c>
      <c r="M752" t="s">
        <v>39</v>
      </c>
      <c r="N752" t="s">
        <v>40</v>
      </c>
      <c r="O752" t="s">
        <v>27</v>
      </c>
      <c r="P752">
        <v>91</v>
      </c>
      <c r="Q752">
        <v>3.1</v>
      </c>
      <c r="R752" t="b">
        <v>1</v>
      </c>
      <c r="S752" t="s">
        <v>28</v>
      </c>
      <c r="T752">
        <v>1408</v>
      </c>
      <c r="U752" t="s">
        <v>35</v>
      </c>
      <c r="V752" t="s">
        <v>60</v>
      </c>
      <c r="W752" t="s">
        <v>75</v>
      </c>
    </row>
    <row r="753" spans="1:23" x14ac:dyDescent="0.3">
      <c r="A753">
        <v>1425</v>
      </c>
      <c r="B753" t="s">
        <v>364</v>
      </c>
      <c r="C753" s="1">
        <v>45537</v>
      </c>
      <c r="D753" s="1">
        <v>45621</v>
      </c>
      <c r="E753">
        <v>7.99</v>
      </c>
      <c r="F753">
        <v>50</v>
      </c>
      <c r="G753" t="s">
        <v>24</v>
      </c>
      <c r="H753">
        <v>2</v>
      </c>
      <c r="I753">
        <v>3</v>
      </c>
      <c r="J753" t="b">
        <v>1</v>
      </c>
      <c r="K753">
        <v>502</v>
      </c>
      <c r="L753">
        <v>5</v>
      </c>
      <c r="M753" t="s">
        <v>48</v>
      </c>
      <c r="N753" t="s">
        <v>40</v>
      </c>
      <c r="O753" t="s">
        <v>27</v>
      </c>
      <c r="P753">
        <v>96</v>
      </c>
      <c r="Q753">
        <v>4.4000000000000004</v>
      </c>
      <c r="R753" t="b">
        <v>1</v>
      </c>
      <c r="S753" t="s">
        <v>28</v>
      </c>
      <c r="T753">
        <v>1917</v>
      </c>
      <c r="U753" t="s">
        <v>65</v>
      </c>
      <c r="V753" t="s">
        <v>68</v>
      </c>
      <c r="W753" t="s">
        <v>75</v>
      </c>
    </row>
    <row r="754" spans="1:23" x14ac:dyDescent="0.3">
      <c r="A754">
        <v>4479</v>
      </c>
      <c r="B754" t="s">
        <v>23</v>
      </c>
      <c r="C754" s="1">
        <v>45602</v>
      </c>
      <c r="D754" s="1">
        <v>45632</v>
      </c>
      <c r="E754">
        <v>15.99</v>
      </c>
      <c r="F754">
        <v>241</v>
      </c>
      <c r="G754" t="s">
        <v>79</v>
      </c>
      <c r="H754">
        <v>3</v>
      </c>
      <c r="I754">
        <v>2</v>
      </c>
      <c r="J754" t="b">
        <v>1</v>
      </c>
      <c r="K754">
        <v>549</v>
      </c>
      <c r="L754">
        <v>158</v>
      </c>
      <c r="M754" t="s">
        <v>48</v>
      </c>
      <c r="N754" t="s">
        <v>40</v>
      </c>
      <c r="O754" t="s">
        <v>41</v>
      </c>
      <c r="P754">
        <v>96</v>
      </c>
      <c r="Q754">
        <v>3.1</v>
      </c>
      <c r="R754" t="b">
        <v>1</v>
      </c>
      <c r="S754" t="s">
        <v>28</v>
      </c>
      <c r="T754">
        <v>1986</v>
      </c>
      <c r="U754" t="s">
        <v>29</v>
      </c>
      <c r="V754" t="s">
        <v>36</v>
      </c>
      <c r="W754" t="s">
        <v>53</v>
      </c>
    </row>
    <row r="755" spans="1:23" x14ac:dyDescent="0.3">
      <c r="A755">
        <v>3393</v>
      </c>
      <c r="B755" t="s">
        <v>80</v>
      </c>
      <c r="C755" s="1">
        <v>45317</v>
      </c>
      <c r="D755" s="1">
        <v>45624</v>
      </c>
      <c r="E755">
        <v>7.99</v>
      </c>
      <c r="F755">
        <v>383</v>
      </c>
      <c r="G755" t="s">
        <v>55</v>
      </c>
      <c r="H755">
        <v>3</v>
      </c>
      <c r="I755">
        <v>2</v>
      </c>
      <c r="J755" t="b">
        <v>1</v>
      </c>
      <c r="K755">
        <v>699</v>
      </c>
      <c r="L755">
        <v>174</v>
      </c>
      <c r="M755" t="s">
        <v>74</v>
      </c>
      <c r="N755" t="s">
        <v>49</v>
      </c>
      <c r="O755" t="s">
        <v>67</v>
      </c>
      <c r="P755">
        <v>13</v>
      </c>
      <c r="Q755">
        <v>3.8</v>
      </c>
      <c r="R755" t="b">
        <v>1</v>
      </c>
      <c r="S755" t="s">
        <v>28</v>
      </c>
      <c r="T755">
        <v>3254</v>
      </c>
      <c r="U755" t="s">
        <v>29</v>
      </c>
      <c r="V755" t="s">
        <v>52</v>
      </c>
      <c r="W755" t="s">
        <v>75</v>
      </c>
    </row>
    <row r="756" spans="1:23" x14ac:dyDescent="0.3">
      <c r="A756">
        <v>8528</v>
      </c>
      <c r="B756" t="s">
        <v>183</v>
      </c>
      <c r="C756" s="1">
        <v>45612</v>
      </c>
      <c r="D756" s="1">
        <v>45625</v>
      </c>
      <c r="E756">
        <v>7.99</v>
      </c>
      <c r="F756">
        <v>384</v>
      </c>
      <c r="G756" t="s">
        <v>43</v>
      </c>
      <c r="H756">
        <v>5</v>
      </c>
      <c r="I756">
        <v>1</v>
      </c>
      <c r="J756" t="b">
        <v>0</v>
      </c>
      <c r="K756">
        <v>423</v>
      </c>
      <c r="L756">
        <v>110</v>
      </c>
      <c r="M756" t="s">
        <v>74</v>
      </c>
      <c r="N756" t="s">
        <v>49</v>
      </c>
      <c r="O756" t="s">
        <v>41</v>
      </c>
      <c r="P756">
        <v>61</v>
      </c>
      <c r="Q756">
        <v>4.7</v>
      </c>
      <c r="R756" t="b">
        <v>1</v>
      </c>
      <c r="S756" t="s">
        <v>28</v>
      </c>
      <c r="T756">
        <v>3648</v>
      </c>
      <c r="U756" t="s">
        <v>29</v>
      </c>
      <c r="V756" t="s">
        <v>60</v>
      </c>
      <c r="W756" t="s">
        <v>53</v>
      </c>
    </row>
    <row r="757" spans="1:23" x14ac:dyDescent="0.3">
      <c r="A757">
        <v>9372</v>
      </c>
      <c r="B757" t="s">
        <v>99</v>
      </c>
      <c r="C757" s="1">
        <v>44974</v>
      </c>
      <c r="D757" s="1">
        <v>45630</v>
      </c>
      <c r="E757">
        <v>7.99</v>
      </c>
      <c r="F757">
        <v>302</v>
      </c>
      <c r="G757" t="s">
        <v>55</v>
      </c>
      <c r="H757">
        <v>1</v>
      </c>
      <c r="I757">
        <v>1</v>
      </c>
      <c r="J757" t="b">
        <v>1</v>
      </c>
      <c r="K757">
        <v>964</v>
      </c>
      <c r="L757">
        <v>165</v>
      </c>
      <c r="M757" t="s">
        <v>74</v>
      </c>
      <c r="N757" t="s">
        <v>64</v>
      </c>
      <c r="O757" t="s">
        <v>56</v>
      </c>
      <c r="P757">
        <v>47</v>
      </c>
      <c r="Q757">
        <v>4.4000000000000004</v>
      </c>
      <c r="R757" t="b">
        <v>0</v>
      </c>
      <c r="S757" t="s">
        <v>28</v>
      </c>
      <c r="T757">
        <v>3552</v>
      </c>
      <c r="U757" t="s">
        <v>51</v>
      </c>
      <c r="V757" t="s">
        <v>68</v>
      </c>
      <c r="W757" t="s">
        <v>37</v>
      </c>
    </row>
    <row r="758" spans="1:23" x14ac:dyDescent="0.3">
      <c r="A758">
        <v>5469</v>
      </c>
      <c r="B758" t="s">
        <v>131</v>
      </c>
      <c r="C758" s="1">
        <v>45341</v>
      </c>
      <c r="D758" s="1">
        <v>45631</v>
      </c>
      <c r="E758">
        <v>15.99</v>
      </c>
      <c r="F758">
        <v>24</v>
      </c>
      <c r="G758" t="s">
        <v>43</v>
      </c>
      <c r="H758">
        <v>2</v>
      </c>
      <c r="I758">
        <v>1</v>
      </c>
      <c r="J758" t="b">
        <v>0</v>
      </c>
      <c r="K758">
        <v>742</v>
      </c>
      <c r="L758">
        <v>150</v>
      </c>
      <c r="M758" t="s">
        <v>25</v>
      </c>
      <c r="N758" t="s">
        <v>49</v>
      </c>
      <c r="O758" t="s">
        <v>67</v>
      </c>
      <c r="P758">
        <v>57</v>
      </c>
      <c r="Q758">
        <v>3</v>
      </c>
      <c r="R758" t="b">
        <v>0</v>
      </c>
      <c r="S758" t="s">
        <v>28</v>
      </c>
      <c r="T758">
        <v>150</v>
      </c>
      <c r="U758" t="s">
        <v>51</v>
      </c>
      <c r="V758" t="s">
        <v>52</v>
      </c>
      <c r="W758" t="s">
        <v>53</v>
      </c>
    </row>
    <row r="759" spans="1:23" x14ac:dyDescent="0.3">
      <c r="A759">
        <v>2603</v>
      </c>
      <c r="B759" t="s">
        <v>365</v>
      </c>
      <c r="C759" s="1">
        <v>45430</v>
      </c>
      <c r="D759" s="1">
        <v>45616</v>
      </c>
      <c r="E759">
        <v>11.99</v>
      </c>
      <c r="F759">
        <v>416</v>
      </c>
      <c r="G759" t="s">
        <v>79</v>
      </c>
      <c r="H759">
        <v>3</v>
      </c>
      <c r="I759">
        <v>5</v>
      </c>
      <c r="J759" t="b">
        <v>0</v>
      </c>
      <c r="K759">
        <v>97</v>
      </c>
      <c r="L759">
        <v>172</v>
      </c>
      <c r="M759" t="s">
        <v>25</v>
      </c>
      <c r="N759" t="s">
        <v>49</v>
      </c>
      <c r="O759" t="s">
        <v>50</v>
      </c>
      <c r="P759">
        <v>89</v>
      </c>
      <c r="Q759">
        <v>4.3</v>
      </c>
      <c r="R759" t="b">
        <v>1</v>
      </c>
      <c r="S759" t="s">
        <v>28</v>
      </c>
      <c r="T759">
        <v>786</v>
      </c>
      <c r="U759" t="s">
        <v>51</v>
      </c>
      <c r="V759" t="s">
        <v>52</v>
      </c>
      <c r="W759" t="s">
        <v>75</v>
      </c>
    </row>
    <row r="760" spans="1:23" x14ac:dyDescent="0.3">
      <c r="A760">
        <v>5306</v>
      </c>
      <c r="B760" t="s">
        <v>228</v>
      </c>
      <c r="C760" s="1">
        <v>45179</v>
      </c>
      <c r="D760" s="1">
        <v>45635</v>
      </c>
      <c r="E760">
        <v>15.99</v>
      </c>
      <c r="F760">
        <v>272</v>
      </c>
      <c r="G760" t="s">
        <v>62</v>
      </c>
      <c r="H760">
        <v>5</v>
      </c>
      <c r="I760">
        <v>1</v>
      </c>
      <c r="J760" t="b">
        <v>1</v>
      </c>
      <c r="K760">
        <v>735</v>
      </c>
      <c r="L760">
        <v>74</v>
      </c>
      <c r="M760" t="s">
        <v>63</v>
      </c>
      <c r="N760" t="s">
        <v>49</v>
      </c>
      <c r="O760" t="s">
        <v>56</v>
      </c>
      <c r="P760">
        <v>90</v>
      </c>
      <c r="Q760">
        <v>3.8</v>
      </c>
      <c r="R760" t="b">
        <v>1</v>
      </c>
      <c r="S760" t="s">
        <v>28</v>
      </c>
      <c r="T760">
        <v>1808</v>
      </c>
      <c r="U760" t="s">
        <v>65</v>
      </c>
      <c r="V760" t="s">
        <v>36</v>
      </c>
      <c r="W760" t="s">
        <v>31</v>
      </c>
    </row>
    <row r="761" spans="1:23" x14ac:dyDescent="0.3">
      <c r="A761">
        <v>7869</v>
      </c>
      <c r="B761" t="s">
        <v>183</v>
      </c>
      <c r="C761" s="1">
        <v>45435</v>
      </c>
      <c r="D761" s="1">
        <v>45627</v>
      </c>
      <c r="E761">
        <v>15.99</v>
      </c>
      <c r="F761">
        <v>294</v>
      </c>
      <c r="G761" t="s">
        <v>33</v>
      </c>
      <c r="H761">
        <v>3</v>
      </c>
      <c r="I761">
        <v>6</v>
      </c>
      <c r="J761" t="b">
        <v>0</v>
      </c>
      <c r="K761">
        <v>709</v>
      </c>
      <c r="L761">
        <v>181</v>
      </c>
      <c r="M761" t="s">
        <v>63</v>
      </c>
      <c r="N761" t="s">
        <v>64</v>
      </c>
      <c r="O761" t="s">
        <v>50</v>
      </c>
      <c r="P761">
        <v>39</v>
      </c>
      <c r="Q761">
        <v>3.2</v>
      </c>
      <c r="R761" t="b">
        <v>1</v>
      </c>
      <c r="S761" t="s">
        <v>28</v>
      </c>
      <c r="T761">
        <v>3091</v>
      </c>
      <c r="U761" t="s">
        <v>57</v>
      </c>
      <c r="V761" t="s">
        <v>60</v>
      </c>
      <c r="W761" t="s">
        <v>37</v>
      </c>
    </row>
    <row r="762" spans="1:23" x14ac:dyDescent="0.3">
      <c r="A762">
        <v>1699</v>
      </c>
      <c r="B762" t="s">
        <v>146</v>
      </c>
      <c r="C762" s="1">
        <v>45182</v>
      </c>
      <c r="D762" s="1">
        <v>45637</v>
      </c>
      <c r="E762">
        <v>15.99</v>
      </c>
      <c r="F762">
        <v>18</v>
      </c>
      <c r="G762" t="s">
        <v>46</v>
      </c>
      <c r="H762">
        <v>4</v>
      </c>
      <c r="I762">
        <v>2</v>
      </c>
      <c r="J762" t="b">
        <v>0</v>
      </c>
      <c r="K762">
        <v>882</v>
      </c>
      <c r="L762">
        <v>1</v>
      </c>
      <c r="M762" t="s">
        <v>74</v>
      </c>
      <c r="N762" t="s">
        <v>49</v>
      </c>
      <c r="O762" t="s">
        <v>50</v>
      </c>
      <c r="P762">
        <v>100</v>
      </c>
      <c r="Q762">
        <v>4.7</v>
      </c>
      <c r="R762" t="b">
        <v>1</v>
      </c>
      <c r="S762" t="s">
        <v>28</v>
      </c>
      <c r="T762">
        <v>3697</v>
      </c>
      <c r="U762" t="s">
        <v>35</v>
      </c>
      <c r="V762" t="s">
        <v>36</v>
      </c>
      <c r="W762" t="s">
        <v>37</v>
      </c>
    </row>
    <row r="763" spans="1:23" x14ac:dyDescent="0.3">
      <c r="A763">
        <v>3214</v>
      </c>
      <c r="B763" t="s">
        <v>85</v>
      </c>
      <c r="C763" s="1">
        <v>45487</v>
      </c>
      <c r="D763" s="1">
        <v>45638</v>
      </c>
      <c r="E763">
        <v>15.99</v>
      </c>
      <c r="F763">
        <v>409</v>
      </c>
      <c r="G763" t="s">
        <v>24</v>
      </c>
      <c r="H763">
        <v>1</v>
      </c>
      <c r="I763">
        <v>2</v>
      </c>
      <c r="J763" t="b">
        <v>1</v>
      </c>
      <c r="K763">
        <v>131</v>
      </c>
      <c r="L763">
        <v>85</v>
      </c>
      <c r="M763" t="s">
        <v>63</v>
      </c>
      <c r="N763" t="s">
        <v>64</v>
      </c>
      <c r="O763" t="s">
        <v>67</v>
      </c>
      <c r="P763">
        <v>95</v>
      </c>
      <c r="Q763">
        <v>4.3</v>
      </c>
      <c r="R763" t="b">
        <v>1</v>
      </c>
      <c r="S763" t="s">
        <v>28</v>
      </c>
      <c r="T763">
        <v>4835</v>
      </c>
      <c r="U763" t="s">
        <v>57</v>
      </c>
      <c r="V763" t="s">
        <v>52</v>
      </c>
      <c r="W763" t="s">
        <v>75</v>
      </c>
    </row>
    <row r="764" spans="1:23" x14ac:dyDescent="0.3">
      <c r="A764">
        <v>1050</v>
      </c>
      <c r="B764" t="s">
        <v>47</v>
      </c>
      <c r="C764" s="1">
        <v>45395</v>
      </c>
      <c r="D764" s="1">
        <v>45625</v>
      </c>
      <c r="E764">
        <v>11.99</v>
      </c>
      <c r="F764">
        <v>290</v>
      </c>
      <c r="G764" t="s">
        <v>79</v>
      </c>
      <c r="H764">
        <v>4</v>
      </c>
      <c r="I764">
        <v>4</v>
      </c>
      <c r="J764" t="b">
        <v>0</v>
      </c>
      <c r="K764">
        <v>305</v>
      </c>
      <c r="L764">
        <v>112</v>
      </c>
      <c r="M764" t="s">
        <v>25</v>
      </c>
      <c r="N764" t="s">
        <v>26</v>
      </c>
      <c r="O764" t="s">
        <v>50</v>
      </c>
      <c r="P764">
        <v>57</v>
      </c>
      <c r="Q764">
        <v>4.5</v>
      </c>
      <c r="R764" t="b">
        <v>0</v>
      </c>
      <c r="S764" t="s">
        <v>28</v>
      </c>
      <c r="T764">
        <v>2023</v>
      </c>
      <c r="U764" t="s">
        <v>35</v>
      </c>
      <c r="V764" t="s">
        <v>60</v>
      </c>
      <c r="W764" t="s">
        <v>53</v>
      </c>
    </row>
    <row r="765" spans="1:23" x14ac:dyDescent="0.3">
      <c r="A765">
        <v>3325</v>
      </c>
      <c r="B765" t="s">
        <v>81</v>
      </c>
      <c r="C765" s="1">
        <v>45575</v>
      </c>
      <c r="D765" s="1">
        <v>45626</v>
      </c>
      <c r="E765">
        <v>15.99</v>
      </c>
      <c r="F765">
        <v>102</v>
      </c>
      <c r="G765" t="s">
        <v>33</v>
      </c>
      <c r="H765">
        <v>5</v>
      </c>
      <c r="I765">
        <v>3</v>
      </c>
      <c r="J765" t="b">
        <v>0</v>
      </c>
      <c r="K765">
        <v>456</v>
      </c>
      <c r="L765">
        <v>52</v>
      </c>
      <c r="M765" t="s">
        <v>63</v>
      </c>
      <c r="N765" t="s">
        <v>40</v>
      </c>
      <c r="O765" t="s">
        <v>67</v>
      </c>
      <c r="P765">
        <v>32</v>
      </c>
      <c r="Q765">
        <v>4.9000000000000004</v>
      </c>
      <c r="R765" t="b">
        <v>1</v>
      </c>
      <c r="S765" t="s">
        <v>28</v>
      </c>
      <c r="T765">
        <v>1005</v>
      </c>
      <c r="U765" t="s">
        <v>65</v>
      </c>
      <c r="V765" t="s">
        <v>36</v>
      </c>
      <c r="W765" t="s">
        <v>37</v>
      </c>
    </row>
    <row r="766" spans="1:23" x14ac:dyDescent="0.3">
      <c r="A766">
        <v>1970</v>
      </c>
      <c r="B766" t="s">
        <v>109</v>
      </c>
      <c r="C766" s="1">
        <v>45190</v>
      </c>
      <c r="D766" s="1">
        <v>45628</v>
      </c>
      <c r="E766">
        <v>15.99</v>
      </c>
      <c r="F766">
        <v>119</v>
      </c>
      <c r="G766" t="s">
        <v>43</v>
      </c>
      <c r="H766">
        <v>2</v>
      </c>
      <c r="I766">
        <v>1</v>
      </c>
      <c r="J766" t="b">
        <v>1</v>
      </c>
      <c r="K766">
        <v>385</v>
      </c>
      <c r="L766">
        <v>82</v>
      </c>
      <c r="M766" t="s">
        <v>59</v>
      </c>
      <c r="N766" t="s">
        <v>64</v>
      </c>
      <c r="O766" t="s">
        <v>56</v>
      </c>
      <c r="P766">
        <v>87</v>
      </c>
      <c r="Q766">
        <v>3.3</v>
      </c>
      <c r="R766" t="b">
        <v>0</v>
      </c>
      <c r="S766" t="s">
        <v>28</v>
      </c>
      <c r="T766">
        <v>876</v>
      </c>
      <c r="U766" t="s">
        <v>65</v>
      </c>
      <c r="V766" t="s">
        <v>30</v>
      </c>
      <c r="W766" t="s">
        <v>75</v>
      </c>
    </row>
    <row r="767" spans="1:23" x14ac:dyDescent="0.3">
      <c r="A767">
        <v>6272</v>
      </c>
      <c r="B767" t="s">
        <v>314</v>
      </c>
      <c r="C767" s="1">
        <v>45132</v>
      </c>
      <c r="D767" s="1">
        <v>45644</v>
      </c>
      <c r="E767">
        <v>11.99</v>
      </c>
      <c r="F767">
        <v>87</v>
      </c>
      <c r="G767" t="s">
        <v>24</v>
      </c>
      <c r="H767">
        <v>3</v>
      </c>
      <c r="I767">
        <v>6</v>
      </c>
      <c r="J767" t="b">
        <v>1</v>
      </c>
      <c r="K767">
        <v>213</v>
      </c>
      <c r="L767">
        <v>98</v>
      </c>
      <c r="M767" t="s">
        <v>39</v>
      </c>
      <c r="N767" t="s">
        <v>40</v>
      </c>
      <c r="O767" t="s">
        <v>41</v>
      </c>
      <c r="P767">
        <v>84</v>
      </c>
      <c r="Q767">
        <v>4.7</v>
      </c>
      <c r="R767" t="b">
        <v>0</v>
      </c>
      <c r="S767" t="s">
        <v>28</v>
      </c>
      <c r="T767">
        <v>2089</v>
      </c>
      <c r="U767" t="s">
        <v>65</v>
      </c>
      <c r="V767" t="s">
        <v>36</v>
      </c>
      <c r="W767" t="s">
        <v>75</v>
      </c>
    </row>
    <row r="768" spans="1:23" x14ac:dyDescent="0.3">
      <c r="A768">
        <v>4745</v>
      </c>
      <c r="B768" t="s">
        <v>78</v>
      </c>
      <c r="C768" s="1">
        <v>45110</v>
      </c>
      <c r="D768" s="1">
        <v>45626</v>
      </c>
      <c r="E768">
        <v>7.99</v>
      </c>
      <c r="F768">
        <v>273</v>
      </c>
      <c r="G768" t="s">
        <v>33</v>
      </c>
      <c r="H768">
        <v>5</v>
      </c>
      <c r="I768">
        <v>1</v>
      </c>
      <c r="J768" t="b">
        <v>1</v>
      </c>
      <c r="K768">
        <v>830</v>
      </c>
      <c r="L768">
        <v>178</v>
      </c>
      <c r="M768" t="s">
        <v>25</v>
      </c>
      <c r="N768" t="s">
        <v>64</v>
      </c>
      <c r="O768" t="s">
        <v>67</v>
      </c>
      <c r="P768">
        <v>37</v>
      </c>
      <c r="Q768">
        <v>3.7</v>
      </c>
      <c r="R768" t="b">
        <v>1</v>
      </c>
      <c r="S768" t="s">
        <v>28</v>
      </c>
      <c r="T768">
        <v>772</v>
      </c>
      <c r="U768" t="s">
        <v>29</v>
      </c>
      <c r="V768" t="s">
        <v>68</v>
      </c>
      <c r="W768" t="s">
        <v>37</v>
      </c>
    </row>
    <row r="769" spans="1:23" x14ac:dyDescent="0.3">
      <c r="A769">
        <v>8867</v>
      </c>
      <c r="B769" t="s">
        <v>145</v>
      </c>
      <c r="C769" s="1">
        <v>45080</v>
      </c>
      <c r="D769" s="1">
        <v>45617</v>
      </c>
      <c r="E769">
        <v>15.99</v>
      </c>
      <c r="F769">
        <v>281</v>
      </c>
      <c r="G769" t="s">
        <v>62</v>
      </c>
      <c r="H769">
        <v>1</v>
      </c>
      <c r="I769">
        <v>2</v>
      </c>
      <c r="J769" t="b">
        <v>1</v>
      </c>
      <c r="K769">
        <v>601</v>
      </c>
      <c r="L769">
        <v>75</v>
      </c>
      <c r="M769" t="s">
        <v>74</v>
      </c>
      <c r="N769" t="s">
        <v>49</v>
      </c>
      <c r="O769" t="s">
        <v>34</v>
      </c>
      <c r="P769">
        <v>92</v>
      </c>
      <c r="Q769">
        <v>4.5</v>
      </c>
      <c r="R769" t="b">
        <v>0</v>
      </c>
      <c r="S769" t="s">
        <v>28</v>
      </c>
      <c r="T769">
        <v>373</v>
      </c>
      <c r="U769" t="s">
        <v>51</v>
      </c>
      <c r="V769" t="s">
        <v>60</v>
      </c>
      <c r="W769" t="s">
        <v>53</v>
      </c>
    </row>
    <row r="770" spans="1:23" x14ac:dyDescent="0.3">
      <c r="A770">
        <v>4901</v>
      </c>
      <c r="B770" t="s">
        <v>147</v>
      </c>
      <c r="C770" s="1">
        <v>44938</v>
      </c>
      <c r="D770" s="1">
        <v>45644</v>
      </c>
      <c r="E770">
        <v>7.99</v>
      </c>
      <c r="F770">
        <v>115</v>
      </c>
      <c r="G770" t="s">
        <v>46</v>
      </c>
      <c r="H770">
        <v>2</v>
      </c>
      <c r="I770">
        <v>3</v>
      </c>
      <c r="J770" t="b">
        <v>0</v>
      </c>
      <c r="K770">
        <v>843</v>
      </c>
      <c r="L770">
        <v>153</v>
      </c>
      <c r="M770" t="s">
        <v>74</v>
      </c>
      <c r="N770" t="s">
        <v>26</v>
      </c>
      <c r="O770" t="s">
        <v>41</v>
      </c>
      <c r="P770">
        <v>6</v>
      </c>
      <c r="Q770">
        <v>3.3</v>
      </c>
      <c r="R770" t="b">
        <v>1</v>
      </c>
      <c r="S770" t="s">
        <v>28</v>
      </c>
      <c r="T770">
        <v>3425</v>
      </c>
      <c r="U770" t="s">
        <v>65</v>
      </c>
      <c r="V770" t="s">
        <v>36</v>
      </c>
      <c r="W770" t="s">
        <v>53</v>
      </c>
    </row>
    <row r="771" spans="1:23" x14ac:dyDescent="0.3">
      <c r="A771">
        <v>9575</v>
      </c>
      <c r="B771" t="s">
        <v>146</v>
      </c>
      <c r="C771" s="1">
        <v>44982</v>
      </c>
      <c r="D771" s="1">
        <v>45639</v>
      </c>
      <c r="E771">
        <v>11.99</v>
      </c>
      <c r="F771">
        <v>483</v>
      </c>
      <c r="G771" t="s">
        <v>55</v>
      </c>
      <c r="H771">
        <v>2</v>
      </c>
      <c r="I771">
        <v>6</v>
      </c>
      <c r="J771" t="b">
        <v>0</v>
      </c>
      <c r="K771">
        <v>386</v>
      </c>
      <c r="L771">
        <v>192</v>
      </c>
      <c r="M771" t="s">
        <v>59</v>
      </c>
      <c r="N771" t="s">
        <v>26</v>
      </c>
      <c r="O771" t="s">
        <v>67</v>
      </c>
      <c r="P771">
        <v>95</v>
      </c>
      <c r="Q771">
        <v>4.5999999999999996</v>
      </c>
      <c r="R771" t="b">
        <v>1</v>
      </c>
      <c r="S771" t="s">
        <v>28</v>
      </c>
      <c r="T771">
        <v>4422</v>
      </c>
      <c r="U771" t="s">
        <v>35</v>
      </c>
      <c r="V771" t="s">
        <v>68</v>
      </c>
      <c r="W771" t="s">
        <v>31</v>
      </c>
    </row>
    <row r="772" spans="1:23" x14ac:dyDescent="0.3">
      <c r="A772">
        <v>4471</v>
      </c>
      <c r="B772" t="s">
        <v>243</v>
      </c>
      <c r="C772" s="1">
        <v>45382</v>
      </c>
      <c r="D772" s="1">
        <v>45637</v>
      </c>
      <c r="E772">
        <v>11.99</v>
      </c>
      <c r="F772">
        <v>129</v>
      </c>
      <c r="G772" t="s">
        <v>33</v>
      </c>
      <c r="H772">
        <v>5</v>
      </c>
      <c r="I772">
        <v>3</v>
      </c>
      <c r="J772" t="b">
        <v>0</v>
      </c>
      <c r="K772">
        <v>291</v>
      </c>
      <c r="L772">
        <v>37</v>
      </c>
      <c r="M772" t="s">
        <v>48</v>
      </c>
      <c r="N772" t="s">
        <v>49</v>
      </c>
      <c r="O772" t="s">
        <v>41</v>
      </c>
      <c r="P772">
        <v>51</v>
      </c>
      <c r="Q772">
        <v>3.8</v>
      </c>
      <c r="R772" t="b">
        <v>0</v>
      </c>
      <c r="S772" t="s">
        <v>28</v>
      </c>
      <c r="T772">
        <v>4980</v>
      </c>
      <c r="U772" t="s">
        <v>65</v>
      </c>
      <c r="V772" t="s">
        <v>36</v>
      </c>
      <c r="W772" t="s">
        <v>53</v>
      </c>
    </row>
    <row r="773" spans="1:23" x14ac:dyDescent="0.3">
      <c r="A773">
        <v>1385</v>
      </c>
      <c r="B773" t="s">
        <v>366</v>
      </c>
      <c r="C773" s="1">
        <v>45568</v>
      </c>
      <c r="D773" s="1">
        <v>45636</v>
      </c>
      <c r="E773">
        <v>11.99</v>
      </c>
      <c r="F773">
        <v>292</v>
      </c>
      <c r="G773" t="s">
        <v>33</v>
      </c>
      <c r="H773">
        <v>4</v>
      </c>
      <c r="I773">
        <v>3</v>
      </c>
      <c r="J773" t="b">
        <v>0</v>
      </c>
      <c r="K773">
        <v>198</v>
      </c>
      <c r="L773">
        <v>195</v>
      </c>
      <c r="M773" t="s">
        <v>39</v>
      </c>
      <c r="N773" t="s">
        <v>49</v>
      </c>
      <c r="O773" t="s">
        <v>56</v>
      </c>
      <c r="P773">
        <v>55</v>
      </c>
      <c r="Q773">
        <v>4.9000000000000004</v>
      </c>
      <c r="R773" t="b">
        <v>1</v>
      </c>
      <c r="S773" t="s">
        <v>28</v>
      </c>
      <c r="T773">
        <v>1367</v>
      </c>
      <c r="U773" t="s">
        <v>65</v>
      </c>
      <c r="V773" t="s">
        <v>30</v>
      </c>
      <c r="W773" t="s">
        <v>31</v>
      </c>
    </row>
    <row r="774" spans="1:23" x14ac:dyDescent="0.3">
      <c r="A774">
        <v>4302</v>
      </c>
      <c r="B774" t="s">
        <v>112</v>
      </c>
      <c r="C774" s="1">
        <v>44973</v>
      </c>
      <c r="D774" s="1">
        <v>45636</v>
      </c>
      <c r="E774">
        <v>11.99</v>
      </c>
      <c r="F774">
        <v>307</v>
      </c>
      <c r="G774" t="s">
        <v>55</v>
      </c>
      <c r="H774">
        <v>3</v>
      </c>
      <c r="I774">
        <v>1</v>
      </c>
      <c r="J774" t="b">
        <v>0</v>
      </c>
      <c r="K774">
        <v>919</v>
      </c>
      <c r="L774">
        <v>175</v>
      </c>
      <c r="M774" t="s">
        <v>48</v>
      </c>
      <c r="N774" t="s">
        <v>40</v>
      </c>
      <c r="O774" t="s">
        <v>56</v>
      </c>
      <c r="P774">
        <v>22</v>
      </c>
      <c r="Q774">
        <v>4</v>
      </c>
      <c r="R774" t="b">
        <v>1</v>
      </c>
      <c r="S774" t="s">
        <v>28</v>
      </c>
      <c r="T774">
        <v>2728</v>
      </c>
      <c r="U774" t="s">
        <v>35</v>
      </c>
      <c r="V774" t="s">
        <v>30</v>
      </c>
      <c r="W774" t="s">
        <v>31</v>
      </c>
    </row>
    <row r="775" spans="1:23" x14ac:dyDescent="0.3">
      <c r="A775">
        <v>4738</v>
      </c>
      <c r="B775" t="s">
        <v>367</v>
      </c>
      <c r="C775" s="1">
        <v>45235</v>
      </c>
      <c r="D775" s="1">
        <v>45630</v>
      </c>
      <c r="E775">
        <v>15.99</v>
      </c>
      <c r="F775">
        <v>306</v>
      </c>
      <c r="G775" t="s">
        <v>33</v>
      </c>
      <c r="H775">
        <v>5</v>
      </c>
      <c r="I775">
        <v>6</v>
      </c>
      <c r="J775" t="b">
        <v>1</v>
      </c>
      <c r="K775">
        <v>483</v>
      </c>
      <c r="L775">
        <v>5</v>
      </c>
      <c r="M775" t="s">
        <v>44</v>
      </c>
      <c r="N775" t="s">
        <v>40</v>
      </c>
      <c r="O775" t="s">
        <v>27</v>
      </c>
      <c r="P775">
        <v>56</v>
      </c>
      <c r="Q775">
        <v>4.7</v>
      </c>
      <c r="R775" t="b">
        <v>0</v>
      </c>
      <c r="S775" t="s">
        <v>28</v>
      </c>
      <c r="T775">
        <v>1556</v>
      </c>
      <c r="U775" t="s">
        <v>65</v>
      </c>
      <c r="V775" t="s">
        <v>30</v>
      </c>
      <c r="W775" t="s">
        <v>37</v>
      </c>
    </row>
    <row r="776" spans="1:23" x14ac:dyDescent="0.3">
      <c r="A776">
        <v>2441</v>
      </c>
      <c r="B776" t="s">
        <v>183</v>
      </c>
      <c r="C776" s="1">
        <v>45074</v>
      </c>
      <c r="D776" s="1">
        <v>45640</v>
      </c>
      <c r="E776">
        <v>11.99</v>
      </c>
      <c r="F776">
        <v>71</v>
      </c>
      <c r="G776" t="s">
        <v>43</v>
      </c>
      <c r="H776">
        <v>3</v>
      </c>
      <c r="I776">
        <v>2</v>
      </c>
      <c r="J776" t="b">
        <v>1</v>
      </c>
      <c r="K776">
        <v>645</v>
      </c>
      <c r="L776">
        <v>5</v>
      </c>
      <c r="M776" t="s">
        <v>59</v>
      </c>
      <c r="N776" t="s">
        <v>26</v>
      </c>
      <c r="O776" t="s">
        <v>41</v>
      </c>
      <c r="P776">
        <v>66</v>
      </c>
      <c r="Q776">
        <v>3.9</v>
      </c>
      <c r="R776" t="b">
        <v>0</v>
      </c>
      <c r="S776" t="s">
        <v>28</v>
      </c>
      <c r="T776">
        <v>4566</v>
      </c>
      <c r="U776" t="s">
        <v>65</v>
      </c>
      <c r="V776" t="s">
        <v>36</v>
      </c>
      <c r="W776" t="s">
        <v>31</v>
      </c>
    </row>
    <row r="777" spans="1:23" x14ac:dyDescent="0.3">
      <c r="A777">
        <v>6546</v>
      </c>
      <c r="B777" t="s">
        <v>368</v>
      </c>
      <c r="C777" s="1">
        <v>45286</v>
      </c>
      <c r="D777" s="1">
        <v>45634</v>
      </c>
      <c r="E777">
        <v>15.99</v>
      </c>
      <c r="F777">
        <v>253</v>
      </c>
      <c r="G777" t="s">
        <v>43</v>
      </c>
      <c r="H777">
        <v>1</v>
      </c>
      <c r="I777">
        <v>2</v>
      </c>
      <c r="J777" t="b">
        <v>1</v>
      </c>
      <c r="K777">
        <v>653</v>
      </c>
      <c r="L777">
        <v>53</v>
      </c>
      <c r="M777" t="s">
        <v>25</v>
      </c>
      <c r="N777" t="s">
        <v>26</v>
      </c>
      <c r="O777" t="s">
        <v>27</v>
      </c>
      <c r="P777">
        <v>43</v>
      </c>
      <c r="Q777">
        <v>4.0999999999999996</v>
      </c>
      <c r="R777" t="b">
        <v>1</v>
      </c>
      <c r="S777" t="s">
        <v>28</v>
      </c>
      <c r="T777">
        <v>2969</v>
      </c>
      <c r="U777" t="s">
        <v>57</v>
      </c>
      <c r="V777" t="s">
        <v>30</v>
      </c>
      <c r="W777" t="s">
        <v>37</v>
      </c>
    </row>
    <row r="778" spans="1:23" x14ac:dyDescent="0.3">
      <c r="A778">
        <v>5459</v>
      </c>
      <c r="B778" t="s">
        <v>213</v>
      </c>
      <c r="C778" s="1">
        <v>45395</v>
      </c>
      <c r="D778" s="1">
        <v>45639</v>
      </c>
      <c r="E778">
        <v>15.99</v>
      </c>
      <c r="F778">
        <v>68</v>
      </c>
      <c r="G778" t="s">
        <v>55</v>
      </c>
      <c r="H778">
        <v>5</v>
      </c>
      <c r="I778">
        <v>2</v>
      </c>
      <c r="J778" t="b">
        <v>0</v>
      </c>
      <c r="K778">
        <v>727</v>
      </c>
      <c r="L778">
        <v>5</v>
      </c>
      <c r="M778" t="s">
        <v>63</v>
      </c>
      <c r="N778" t="s">
        <v>64</v>
      </c>
      <c r="O778" t="s">
        <v>67</v>
      </c>
      <c r="P778">
        <v>8</v>
      </c>
      <c r="Q778">
        <v>4.5999999999999996</v>
      </c>
      <c r="R778" t="b">
        <v>0</v>
      </c>
      <c r="S778" t="s">
        <v>28</v>
      </c>
      <c r="T778">
        <v>3421</v>
      </c>
      <c r="U778" t="s">
        <v>51</v>
      </c>
      <c r="V778" t="s">
        <v>60</v>
      </c>
      <c r="W778" t="s">
        <v>31</v>
      </c>
    </row>
    <row r="779" spans="1:23" x14ac:dyDescent="0.3">
      <c r="A779">
        <v>7051</v>
      </c>
      <c r="B779" t="s">
        <v>23</v>
      </c>
      <c r="C779" s="1">
        <v>45060</v>
      </c>
      <c r="D779" s="1">
        <v>45642</v>
      </c>
      <c r="E779">
        <v>7.99</v>
      </c>
      <c r="F779">
        <v>366</v>
      </c>
      <c r="G779" t="s">
        <v>33</v>
      </c>
      <c r="H779">
        <v>1</v>
      </c>
      <c r="I779">
        <v>1</v>
      </c>
      <c r="J779" t="b">
        <v>1</v>
      </c>
      <c r="K779">
        <v>257</v>
      </c>
      <c r="L779">
        <v>46</v>
      </c>
      <c r="M779" t="s">
        <v>63</v>
      </c>
      <c r="N779" t="s">
        <v>40</v>
      </c>
      <c r="O779" t="s">
        <v>67</v>
      </c>
      <c r="P779">
        <v>7</v>
      </c>
      <c r="Q779">
        <v>4.5</v>
      </c>
      <c r="R779" t="b">
        <v>1</v>
      </c>
      <c r="S779" t="s">
        <v>28</v>
      </c>
      <c r="T779">
        <v>2535</v>
      </c>
      <c r="U779" t="s">
        <v>65</v>
      </c>
      <c r="V779" t="s">
        <v>36</v>
      </c>
      <c r="W779" t="s">
        <v>37</v>
      </c>
    </row>
    <row r="780" spans="1:23" x14ac:dyDescent="0.3">
      <c r="A780">
        <v>6671</v>
      </c>
      <c r="B780" t="s">
        <v>38</v>
      </c>
      <c r="C780" s="1">
        <v>45343</v>
      </c>
      <c r="D780" s="1">
        <v>45637</v>
      </c>
      <c r="E780">
        <v>15.99</v>
      </c>
      <c r="F780">
        <v>166</v>
      </c>
      <c r="G780" t="s">
        <v>79</v>
      </c>
      <c r="H780">
        <v>4</v>
      </c>
      <c r="I780">
        <v>1</v>
      </c>
      <c r="J780" t="b">
        <v>0</v>
      </c>
      <c r="K780">
        <v>208</v>
      </c>
      <c r="L780">
        <v>39</v>
      </c>
      <c r="M780" t="s">
        <v>63</v>
      </c>
      <c r="N780" t="s">
        <v>26</v>
      </c>
      <c r="O780" t="s">
        <v>50</v>
      </c>
      <c r="P780">
        <v>53</v>
      </c>
      <c r="Q780">
        <v>5</v>
      </c>
      <c r="R780" t="b">
        <v>1</v>
      </c>
      <c r="S780" t="s">
        <v>28</v>
      </c>
      <c r="T780">
        <v>290</v>
      </c>
      <c r="U780" t="s">
        <v>29</v>
      </c>
      <c r="V780" t="s">
        <v>30</v>
      </c>
      <c r="W780" t="s">
        <v>37</v>
      </c>
    </row>
    <row r="781" spans="1:23" x14ac:dyDescent="0.3">
      <c r="A781">
        <v>6013</v>
      </c>
      <c r="B781" t="s">
        <v>86</v>
      </c>
      <c r="C781" s="1">
        <v>45527</v>
      </c>
      <c r="D781" s="1">
        <v>45629</v>
      </c>
      <c r="E781">
        <v>15.99</v>
      </c>
      <c r="F781">
        <v>136</v>
      </c>
      <c r="G781" t="s">
        <v>62</v>
      </c>
      <c r="H781">
        <v>2</v>
      </c>
      <c r="I781">
        <v>4</v>
      </c>
      <c r="J781" t="b">
        <v>1</v>
      </c>
      <c r="K781">
        <v>471</v>
      </c>
      <c r="L781">
        <v>91</v>
      </c>
      <c r="M781" t="s">
        <v>39</v>
      </c>
      <c r="N781" t="s">
        <v>40</v>
      </c>
      <c r="O781" t="s">
        <v>41</v>
      </c>
      <c r="P781">
        <v>70</v>
      </c>
      <c r="Q781">
        <v>4.4000000000000004</v>
      </c>
      <c r="R781" t="b">
        <v>0</v>
      </c>
      <c r="S781" t="s">
        <v>28</v>
      </c>
      <c r="T781">
        <v>756</v>
      </c>
      <c r="U781" t="s">
        <v>65</v>
      </c>
      <c r="V781" t="s">
        <v>36</v>
      </c>
      <c r="W781" t="s">
        <v>75</v>
      </c>
    </row>
    <row r="782" spans="1:23" x14ac:dyDescent="0.3">
      <c r="A782">
        <v>9996</v>
      </c>
      <c r="B782" t="s">
        <v>296</v>
      </c>
      <c r="C782" s="1">
        <v>45494</v>
      </c>
      <c r="D782" s="1">
        <v>45635</v>
      </c>
      <c r="E782">
        <v>7.99</v>
      </c>
      <c r="F782">
        <v>358</v>
      </c>
      <c r="G782" t="s">
        <v>62</v>
      </c>
      <c r="H782">
        <v>3</v>
      </c>
      <c r="I782">
        <v>2</v>
      </c>
      <c r="J782" t="b">
        <v>1</v>
      </c>
      <c r="K782">
        <v>512</v>
      </c>
      <c r="L782">
        <v>153</v>
      </c>
      <c r="M782" t="s">
        <v>44</v>
      </c>
      <c r="N782" t="s">
        <v>49</v>
      </c>
      <c r="O782" t="s">
        <v>27</v>
      </c>
      <c r="P782">
        <v>70</v>
      </c>
      <c r="Q782">
        <v>3.3</v>
      </c>
      <c r="R782" t="b">
        <v>1</v>
      </c>
      <c r="S782" t="s">
        <v>28</v>
      </c>
      <c r="T782">
        <v>947</v>
      </c>
      <c r="U782" t="s">
        <v>51</v>
      </c>
      <c r="V782" t="s">
        <v>52</v>
      </c>
      <c r="W782" t="s">
        <v>31</v>
      </c>
    </row>
    <row r="783" spans="1:23" x14ac:dyDescent="0.3">
      <c r="A783">
        <v>4851</v>
      </c>
      <c r="B783" t="s">
        <v>125</v>
      </c>
      <c r="C783" s="1">
        <v>44995</v>
      </c>
      <c r="D783" s="1">
        <v>45642</v>
      </c>
      <c r="E783">
        <v>15.99</v>
      </c>
      <c r="F783">
        <v>399</v>
      </c>
      <c r="G783" t="s">
        <v>33</v>
      </c>
      <c r="H783">
        <v>1</v>
      </c>
      <c r="I783">
        <v>2</v>
      </c>
      <c r="J783" t="b">
        <v>0</v>
      </c>
      <c r="K783">
        <v>355</v>
      </c>
      <c r="L783">
        <v>181</v>
      </c>
      <c r="M783" t="s">
        <v>25</v>
      </c>
      <c r="N783" t="s">
        <v>49</v>
      </c>
      <c r="O783" t="s">
        <v>27</v>
      </c>
      <c r="P783">
        <v>79</v>
      </c>
      <c r="Q783">
        <v>3.4</v>
      </c>
      <c r="R783" t="b">
        <v>1</v>
      </c>
      <c r="S783" t="s">
        <v>28</v>
      </c>
      <c r="T783">
        <v>2138</v>
      </c>
      <c r="U783" t="s">
        <v>35</v>
      </c>
      <c r="V783" t="s">
        <v>60</v>
      </c>
      <c r="W783" t="s">
        <v>31</v>
      </c>
    </row>
    <row r="784" spans="1:23" x14ac:dyDescent="0.3">
      <c r="A784">
        <v>2498</v>
      </c>
      <c r="B784" t="s">
        <v>261</v>
      </c>
      <c r="C784" s="1">
        <v>45211</v>
      </c>
      <c r="D784" s="1">
        <v>45633</v>
      </c>
      <c r="E784">
        <v>11.99</v>
      </c>
      <c r="F784">
        <v>285</v>
      </c>
      <c r="G784" t="s">
        <v>79</v>
      </c>
      <c r="H784">
        <v>1</v>
      </c>
      <c r="I784">
        <v>5</v>
      </c>
      <c r="J784" t="b">
        <v>0</v>
      </c>
      <c r="K784">
        <v>634</v>
      </c>
      <c r="L784">
        <v>168</v>
      </c>
      <c r="M784" t="s">
        <v>25</v>
      </c>
      <c r="N784" t="s">
        <v>64</v>
      </c>
      <c r="O784" t="s">
        <v>34</v>
      </c>
      <c r="P784">
        <v>76</v>
      </c>
      <c r="Q784">
        <v>3.3</v>
      </c>
      <c r="R784" t="b">
        <v>1</v>
      </c>
      <c r="S784" t="s">
        <v>28</v>
      </c>
      <c r="T784">
        <v>3151</v>
      </c>
      <c r="U784" t="s">
        <v>35</v>
      </c>
      <c r="V784" t="s">
        <v>60</v>
      </c>
      <c r="W784" t="s">
        <v>75</v>
      </c>
    </row>
    <row r="785" spans="1:23" x14ac:dyDescent="0.3">
      <c r="A785">
        <v>6208</v>
      </c>
      <c r="B785" t="s">
        <v>164</v>
      </c>
      <c r="C785" s="1">
        <v>45126</v>
      </c>
      <c r="D785" s="1">
        <v>45643</v>
      </c>
      <c r="E785">
        <v>7.99</v>
      </c>
      <c r="F785">
        <v>424</v>
      </c>
      <c r="G785" t="s">
        <v>55</v>
      </c>
      <c r="H785">
        <v>2</v>
      </c>
      <c r="I785">
        <v>3</v>
      </c>
      <c r="J785" t="b">
        <v>0</v>
      </c>
      <c r="K785">
        <v>942</v>
      </c>
      <c r="L785">
        <v>127</v>
      </c>
      <c r="M785" t="s">
        <v>63</v>
      </c>
      <c r="N785" t="s">
        <v>26</v>
      </c>
      <c r="O785" t="s">
        <v>56</v>
      </c>
      <c r="P785">
        <v>95</v>
      </c>
      <c r="Q785">
        <v>4.8</v>
      </c>
      <c r="R785" t="b">
        <v>1</v>
      </c>
      <c r="S785" t="s">
        <v>28</v>
      </c>
      <c r="T785">
        <v>670</v>
      </c>
      <c r="U785" t="s">
        <v>51</v>
      </c>
      <c r="V785" t="s">
        <v>60</v>
      </c>
      <c r="W785" t="s">
        <v>75</v>
      </c>
    </row>
    <row r="786" spans="1:23" x14ac:dyDescent="0.3">
      <c r="A786">
        <v>7171</v>
      </c>
      <c r="B786" t="s">
        <v>61</v>
      </c>
      <c r="C786" s="1">
        <v>45321</v>
      </c>
      <c r="D786" s="1">
        <v>45622</v>
      </c>
      <c r="E786">
        <v>11.99</v>
      </c>
      <c r="F786">
        <v>467</v>
      </c>
      <c r="G786" t="s">
        <v>24</v>
      </c>
      <c r="H786">
        <v>1</v>
      </c>
      <c r="I786">
        <v>3</v>
      </c>
      <c r="J786" t="b">
        <v>1</v>
      </c>
      <c r="K786">
        <v>350</v>
      </c>
      <c r="L786">
        <v>134</v>
      </c>
      <c r="M786" t="s">
        <v>63</v>
      </c>
      <c r="N786" t="s">
        <v>40</v>
      </c>
      <c r="O786" t="s">
        <v>56</v>
      </c>
      <c r="P786">
        <v>1</v>
      </c>
      <c r="Q786">
        <v>3.9</v>
      </c>
      <c r="R786" t="b">
        <v>0</v>
      </c>
      <c r="S786" t="s">
        <v>28</v>
      </c>
      <c r="T786">
        <v>3037</v>
      </c>
      <c r="U786" t="s">
        <v>29</v>
      </c>
      <c r="V786" t="s">
        <v>36</v>
      </c>
      <c r="W786" t="s">
        <v>75</v>
      </c>
    </row>
    <row r="787" spans="1:23" x14ac:dyDescent="0.3">
      <c r="A787">
        <v>7667</v>
      </c>
      <c r="B787" t="s">
        <v>367</v>
      </c>
      <c r="C787" s="1">
        <v>44931</v>
      </c>
      <c r="D787" s="1">
        <v>45643</v>
      </c>
      <c r="E787">
        <v>15.99</v>
      </c>
      <c r="F787">
        <v>443</v>
      </c>
      <c r="G787" t="s">
        <v>79</v>
      </c>
      <c r="H787">
        <v>1</v>
      </c>
      <c r="I787">
        <v>3</v>
      </c>
      <c r="J787" t="b">
        <v>0</v>
      </c>
      <c r="K787">
        <v>326</v>
      </c>
      <c r="L787">
        <v>59</v>
      </c>
      <c r="M787" t="s">
        <v>63</v>
      </c>
      <c r="N787" t="s">
        <v>26</v>
      </c>
      <c r="O787" t="s">
        <v>27</v>
      </c>
      <c r="P787">
        <v>57</v>
      </c>
      <c r="Q787">
        <v>3.9</v>
      </c>
      <c r="R787" t="b">
        <v>0</v>
      </c>
      <c r="S787" t="s">
        <v>28</v>
      </c>
      <c r="T787">
        <v>3712</v>
      </c>
      <c r="U787" t="s">
        <v>35</v>
      </c>
      <c r="V787" t="s">
        <v>30</v>
      </c>
      <c r="W787" t="s">
        <v>31</v>
      </c>
    </row>
    <row r="788" spans="1:23" x14ac:dyDescent="0.3">
      <c r="A788">
        <v>4912</v>
      </c>
      <c r="B788" t="s">
        <v>225</v>
      </c>
      <c r="C788" s="1">
        <v>45203</v>
      </c>
      <c r="D788" s="1">
        <v>45627</v>
      </c>
      <c r="E788">
        <v>15.99</v>
      </c>
      <c r="F788">
        <v>214</v>
      </c>
      <c r="G788" t="s">
        <v>43</v>
      </c>
      <c r="H788">
        <v>1</v>
      </c>
      <c r="I788">
        <v>3</v>
      </c>
      <c r="J788" t="b">
        <v>0</v>
      </c>
      <c r="K788">
        <v>61</v>
      </c>
      <c r="L788">
        <v>148</v>
      </c>
      <c r="M788" t="s">
        <v>44</v>
      </c>
      <c r="N788" t="s">
        <v>64</v>
      </c>
      <c r="O788" t="s">
        <v>34</v>
      </c>
      <c r="P788">
        <v>95</v>
      </c>
      <c r="Q788">
        <v>4.0999999999999996</v>
      </c>
      <c r="R788" t="b">
        <v>1</v>
      </c>
      <c r="S788" t="s">
        <v>28</v>
      </c>
      <c r="T788">
        <v>2029</v>
      </c>
      <c r="U788" t="s">
        <v>29</v>
      </c>
      <c r="V788" t="s">
        <v>60</v>
      </c>
      <c r="W788" t="s">
        <v>31</v>
      </c>
    </row>
    <row r="789" spans="1:23" x14ac:dyDescent="0.3">
      <c r="A789">
        <v>7975</v>
      </c>
      <c r="B789" t="s">
        <v>369</v>
      </c>
      <c r="C789" s="1">
        <v>45202</v>
      </c>
      <c r="D789" s="1">
        <v>45618</v>
      </c>
      <c r="E789">
        <v>15.99</v>
      </c>
      <c r="F789">
        <v>437</v>
      </c>
      <c r="G789" t="s">
        <v>55</v>
      </c>
      <c r="H789">
        <v>2</v>
      </c>
      <c r="I789">
        <v>2</v>
      </c>
      <c r="J789" t="b">
        <v>1</v>
      </c>
      <c r="K789">
        <v>328</v>
      </c>
      <c r="L789">
        <v>170</v>
      </c>
      <c r="M789" t="s">
        <v>74</v>
      </c>
      <c r="N789" t="s">
        <v>40</v>
      </c>
      <c r="O789" t="s">
        <v>56</v>
      </c>
      <c r="P789">
        <v>25</v>
      </c>
      <c r="Q789">
        <v>3.6</v>
      </c>
      <c r="R789" t="b">
        <v>0</v>
      </c>
      <c r="S789" t="s">
        <v>28</v>
      </c>
      <c r="T789">
        <v>2406</v>
      </c>
      <c r="U789" t="s">
        <v>51</v>
      </c>
      <c r="V789" t="s">
        <v>36</v>
      </c>
      <c r="W789" t="s">
        <v>31</v>
      </c>
    </row>
    <row r="790" spans="1:23" x14ac:dyDescent="0.3">
      <c r="A790">
        <v>6804</v>
      </c>
      <c r="B790" t="s">
        <v>363</v>
      </c>
      <c r="C790" s="1">
        <v>44968</v>
      </c>
      <c r="D790" s="1">
        <v>45636</v>
      </c>
      <c r="E790">
        <v>15.99</v>
      </c>
      <c r="F790">
        <v>419</v>
      </c>
      <c r="G790" t="s">
        <v>33</v>
      </c>
      <c r="H790">
        <v>2</v>
      </c>
      <c r="I790">
        <v>1</v>
      </c>
      <c r="J790" t="b">
        <v>0</v>
      </c>
      <c r="K790">
        <v>591</v>
      </c>
      <c r="L790">
        <v>166</v>
      </c>
      <c r="M790" t="s">
        <v>59</v>
      </c>
      <c r="N790" t="s">
        <v>26</v>
      </c>
      <c r="O790" t="s">
        <v>34</v>
      </c>
      <c r="P790">
        <v>26</v>
      </c>
      <c r="Q790">
        <v>3.5</v>
      </c>
      <c r="R790" t="b">
        <v>1</v>
      </c>
      <c r="S790" t="s">
        <v>28</v>
      </c>
      <c r="T790">
        <v>3264</v>
      </c>
      <c r="U790" t="s">
        <v>35</v>
      </c>
      <c r="V790" t="s">
        <v>68</v>
      </c>
      <c r="W790" t="s">
        <v>31</v>
      </c>
    </row>
    <row r="791" spans="1:23" x14ac:dyDescent="0.3">
      <c r="A791">
        <v>3877</v>
      </c>
      <c r="B791" t="s">
        <v>368</v>
      </c>
      <c r="C791" s="1">
        <v>45488</v>
      </c>
      <c r="D791" s="1">
        <v>45620</v>
      </c>
      <c r="E791">
        <v>11.99</v>
      </c>
      <c r="F791">
        <v>129</v>
      </c>
      <c r="G791" t="s">
        <v>24</v>
      </c>
      <c r="H791">
        <v>2</v>
      </c>
      <c r="I791">
        <v>5</v>
      </c>
      <c r="J791" t="b">
        <v>0</v>
      </c>
      <c r="K791">
        <v>527</v>
      </c>
      <c r="L791">
        <v>153</v>
      </c>
      <c r="M791" t="s">
        <v>59</v>
      </c>
      <c r="N791" t="s">
        <v>26</v>
      </c>
      <c r="O791" t="s">
        <v>34</v>
      </c>
      <c r="P791">
        <v>0</v>
      </c>
      <c r="Q791">
        <v>4.5999999999999996</v>
      </c>
      <c r="R791" t="b">
        <v>0</v>
      </c>
      <c r="S791" t="s">
        <v>28</v>
      </c>
      <c r="T791">
        <v>1135</v>
      </c>
      <c r="U791" t="s">
        <v>65</v>
      </c>
      <c r="V791" t="s">
        <v>36</v>
      </c>
      <c r="W791" t="s">
        <v>31</v>
      </c>
    </row>
    <row r="792" spans="1:23" x14ac:dyDescent="0.3">
      <c r="A792">
        <v>8768</v>
      </c>
      <c r="B792" t="s">
        <v>182</v>
      </c>
      <c r="C792" s="1">
        <v>45605</v>
      </c>
      <c r="D792" s="1">
        <v>45627</v>
      </c>
      <c r="E792">
        <v>15.99</v>
      </c>
      <c r="F792">
        <v>75</v>
      </c>
      <c r="G792" t="s">
        <v>43</v>
      </c>
      <c r="H792">
        <v>5</v>
      </c>
      <c r="I792">
        <v>1</v>
      </c>
      <c r="J792" t="b">
        <v>1</v>
      </c>
      <c r="K792">
        <v>115</v>
      </c>
      <c r="L792">
        <v>122</v>
      </c>
      <c r="M792" t="s">
        <v>59</v>
      </c>
      <c r="N792" t="s">
        <v>40</v>
      </c>
      <c r="O792" t="s">
        <v>27</v>
      </c>
      <c r="P792">
        <v>86</v>
      </c>
      <c r="Q792">
        <v>3.5</v>
      </c>
      <c r="R792" t="b">
        <v>0</v>
      </c>
      <c r="S792" t="s">
        <v>28</v>
      </c>
      <c r="T792">
        <v>3761</v>
      </c>
      <c r="U792" t="s">
        <v>65</v>
      </c>
      <c r="V792" t="s">
        <v>36</v>
      </c>
      <c r="W792" t="s">
        <v>37</v>
      </c>
    </row>
    <row r="793" spans="1:23" x14ac:dyDescent="0.3">
      <c r="A793">
        <v>1420</v>
      </c>
      <c r="B793" t="s">
        <v>132</v>
      </c>
      <c r="C793" s="1">
        <v>45568</v>
      </c>
      <c r="D793" s="1">
        <v>45631</v>
      </c>
      <c r="E793">
        <v>7.99</v>
      </c>
      <c r="F793">
        <v>346</v>
      </c>
      <c r="G793" t="s">
        <v>46</v>
      </c>
      <c r="H793">
        <v>5</v>
      </c>
      <c r="I793">
        <v>5</v>
      </c>
      <c r="J793" t="b">
        <v>1</v>
      </c>
      <c r="K793">
        <v>732</v>
      </c>
      <c r="L793">
        <v>144</v>
      </c>
      <c r="M793" t="s">
        <v>74</v>
      </c>
      <c r="N793" t="s">
        <v>26</v>
      </c>
      <c r="O793" t="s">
        <v>67</v>
      </c>
      <c r="P793">
        <v>73</v>
      </c>
      <c r="Q793">
        <v>4.9000000000000004</v>
      </c>
      <c r="R793" t="b">
        <v>0</v>
      </c>
      <c r="S793" t="s">
        <v>28</v>
      </c>
      <c r="T793">
        <v>3633</v>
      </c>
      <c r="U793" t="s">
        <v>65</v>
      </c>
      <c r="V793" t="s">
        <v>68</v>
      </c>
      <c r="W793" t="s">
        <v>31</v>
      </c>
    </row>
    <row r="794" spans="1:23" x14ac:dyDescent="0.3">
      <c r="A794">
        <v>2306</v>
      </c>
      <c r="B794" t="s">
        <v>167</v>
      </c>
      <c r="C794" s="1">
        <v>45057</v>
      </c>
      <c r="D794" s="1">
        <v>45627</v>
      </c>
      <c r="E794">
        <v>11.99</v>
      </c>
      <c r="F794">
        <v>480</v>
      </c>
      <c r="G794" t="s">
        <v>55</v>
      </c>
      <c r="H794">
        <v>4</v>
      </c>
      <c r="I794">
        <v>6</v>
      </c>
      <c r="J794" t="b">
        <v>1</v>
      </c>
      <c r="K794">
        <v>509</v>
      </c>
      <c r="L794">
        <v>12</v>
      </c>
      <c r="M794" t="s">
        <v>39</v>
      </c>
      <c r="N794" t="s">
        <v>49</v>
      </c>
      <c r="O794" t="s">
        <v>56</v>
      </c>
      <c r="P794">
        <v>43</v>
      </c>
      <c r="Q794">
        <v>3.1</v>
      </c>
      <c r="R794" t="b">
        <v>0</v>
      </c>
      <c r="S794" t="s">
        <v>28</v>
      </c>
      <c r="T794">
        <v>3308</v>
      </c>
      <c r="U794" t="s">
        <v>29</v>
      </c>
      <c r="V794" t="s">
        <v>36</v>
      </c>
      <c r="W794" t="s">
        <v>37</v>
      </c>
    </row>
    <row r="795" spans="1:23" x14ac:dyDescent="0.3">
      <c r="A795">
        <v>2079</v>
      </c>
      <c r="B795" t="s">
        <v>238</v>
      </c>
      <c r="C795" s="1">
        <v>45468</v>
      </c>
      <c r="D795" s="1">
        <v>45628</v>
      </c>
      <c r="E795">
        <v>11.99</v>
      </c>
      <c r="F795">
        <v>188</v>
      </c>
      <c r="G795" t="s">
        <v>55</v>
      </c>
      <c r="H795">
        <v>2</v>
      </c>
      <c r="I795">
        <v>2</v>
      </c>
      <c r="J795" t="b">
        <v>1</v>
      </c>
      <c r="K795">
        <v>655</v>
      </c>
      <c r="L795">
        <v>16</v>
      </c>
      <c r="M795" t="s">
        <v>25</v>
      </c>
      <c r="N795" t="s">
        <v>26</v>
      </c>
      <c r="O795" t="s">
        <v>56</v>
      </c>
      <c r="P795">
        <v>50</v>
      </c>
      <c r="Q795">
        <v>3.3</v>
      </c>
      <c r="R795" t="b">
        <v>1</v>
      </c>
      <c r="S795" t="s">
        <v>28</v>
      </c>
      <c r="T795">
        <v>1311</v>
      </c>
      <c r="U795" t="s">
        <v>57</v>
      </c>
      <c r="V795" t="s">
        <v>30</v>
      </c>
      <c r="W795" t="s">
        <v>31</v>
      </c>
    </row>
    <row r="796" spans="1:23" x14ac:dyDescent="0.3">
      <c r="A796">
        <v>3554</v>
      </c>
      <c r="B796" t="s">
        <v>240</v>
      </c>
      <c r="C796" s="1">
        <v>45350</v>
      </c>
      <c r="D796" s="1">
        <v>45630</v>
      </c>
      <c r="E796">
        <v>7.99</v>
      </c>
      <c r="F796">
        <v>420</v>
      </c>
      <c r="G796" t="s">
        <v>33</v>
      </c>
      <c r="H796">
        <v>4</v>
      </c>
      <c r="I796">
        <v>1</v>
      </c>
      <c r="J796" t="b">
        <v>0</v>
      </c>
      <c r="K796">
        <v>399</v>
      </c>
      <c r="L796">
        <v>45</v>
      </c>
      <c r="M796" t="s">
        <v>25</v>
      </c>
      <c r="N796" t="s">
        <v>40</v>
      </c>
      <c r="O796" t="s">
        <v>67</v>
      </c>
      <c r="P796">
        <v>52</v>
      </c>
      <c r="Q796">
        <v>4</v>
      </c>
      <c r="R796" t="b">
        <v>0</v>
      </c>
      <c r="S796" t="s">
        <v>28</v>
      </c>
      <c r="T796">
        <v>4333</v>
      </c>
      <c r="U796" t="s">
        <v>35</v>
      </c>
      <c r="V796" t="s">
        <v>36</v>
      </c>
      <c r="W796" t="s">
        <v>53</v>
      </c>
    </row>
    <row r="797" spans="1:23" x14ac:dyDescent="0.3">
      <c r="A797">
        <v>7616</v>
      </c>
      <c r="B797" t="s">
        <v>181</v>
      </c>
      <c r="C797" s="1">
        <v>45087</v>
      </c>
      <c r="D797" s="1">
        <v>45637</v>
      </c>
      <c r="E797">
        <v>15.99</v>
      </c>
      <c r="F797">
        <v>204</v>
      </c>
      <c r="G797" t="s">
        <v>55</v>
      </c>
      <c r="H797">
        <v>3</v>
      </c>
      <c r="I797">
        <v>5</v>
      </c>
      <c r="J797" t="b">
        <v>0</v>
      </c>
      <c r="K797">
        <v>597</v>
      </c>
      <c r="L797">
        <v>118</v>
      </c>
      <c r="M797" t="s">
        <v>63</v>
      </c>
      <c r="N797" t="s">
        <v>40</v>
      </c>
      <c r="O797" t="s">
        <v>56</v>
      </c>
      <c r="P797">
        <v>60</v>
      </c>
      <c r="Q797">
        <v>3.1</v>
      </c>
      <c r="R797" t="b">
        <v>1</v>
      </c>
      <c r="S797" t="s">
        <v>28</v>
      </c>
      <c r="T797">
        <v>4575</v>
      </c>
      <c r="U797" t="s">
        <v>29</v>
      </c>
      <c r="V797" t="s">
        <v>30</v>
      </c>
      <c r="W797" t="s">
        <v>37</v>
      </c>
    </row>
    <row r="798" spans="1:23" x14ac:dyDescent="0.3">
      <c r="A798">
        <v>5650</v>
      </c>
      <c r="B798" t="s">
        <v>261</v>
      </c>
      <c r="C798" s="1">
        <v>45162</v>
      </c>
      <c r="D798" s="1">
        <v>45634</v>
      </c>
      <c r="E798">
        <v>15.99</v>
      </c>
      <c r="F798">
        <v>355</v>
      </c>
      <c r="G798" t="s">
        <v>55</v>
      </c>
      <c r="H798">
        <v>1</v>
      </c>
      <c r="I798">
        <v>1</v>
      </c>
      <c r="J798" t="b">
        <v>1</v>
      </c>
      <c r="K798">
        <v>358</v>
      </c>
      <c r="L798">
        <v>173</v>
      </c>
      <c r="M798" t="s">
        <v>39</v>
      </c>
      <c r="N798" t="s">
        <v>64</v>
      </c>
      <c r="O798" t="s">
        <v>27</v>
      </c>
      <c r="P798">
        <v>60</v>
      </c>
      <c r="Q798">
        <v>4.8</v>
      </c>
      <c r="R798" t="b">
        <v>0</v>
      </c>
      <c r="S798" t="s">
        <v>28</v>
      </c>
      <c r="T798">
        <v>2448</v>
      </c>
      <c r="U798" t="s">
        <v>35</v>
      </c>
      <c r="V798" t="s">
        <v>52</v>
      </c>
      <c r="W798" t="s">
        <v>75</v>
      </c>
    </row>
    <row r="799" spans="1:23" x14ac:dyDescent="0.3">
      <c r="A799">
        <v>9385</v>
      </c>
      <c r="B799" t="s">
        <v>135</v>
      </c>
      <c r="C799" s="1">
        <v>45524</v>
      </c>
      <c r="D799" s="1">
        <v>45629</v>
      </c>
      <c r="E799">
        <v>7.99</v>
      </c>
      <c r="F799">
        <v>200</v>
      </c>
      <c r="G799" t="s">
        <v>33</v>
      </c>
      <c r="H799">
        <v>3</v>
      </c>
      <c r="I799">
        <v>2</v>
      </c>
      <c r="J799" t="b">
        <v>0</v>
      </c>
      <c r="K799">
        <v>453</v>
      </c>
      <c r="L799">
        <v>172</v>
      </c>
      <c r="M799" t="s">
        <v>39</v>
      </c>
      <c r="N799" t="s">
        <v>26</v>
      </c>
      <c r="O799" t="s">
        <v>56</v>
      </c>
      <c r="P799">
        <v>1</v>
      </c>
      <c r="Q799">
        <v>4.4000000000000004</v>
      </c>
      <c r="R799" t="b">
        <v>1</v>
      </c>
      <c r="S799" t="s">
        <v>28</v>
      </c>
      <c r="T799">
        <v>1072</v>
      </c>
      <c r="U799" t="s">
        <v>65</v>
      </c>
      <c r="V799" t="s">
        <v>68</v>
      </c>
      <c r="W799" t="s">
        <v>53</v>
      </c>
    </row>
    <row r="800" spans="1:23" x14ac:dyDescent="0.3">
      <c r="A800">
        <v>2482</v>
      </c>
      <c r="B800" t="s">
        <v>132</v>
      </c>
      <c r="C800" s="1">
        <v>45011</v>
      </c>
      <c r="D800" s="1">
        <v>45625</v>
      </c>
      <c r="E800">
        <v>7.99</v>
      </c>
      <c r="F800">
        <v>178</v>
      </c>
      <c r="G800" t="s">
        <v>24</v>
      </c>
      <c r="H800">
        <v>2</v>
      </c>
      <c r="I800">
        <v>2</v>
      </c>
      <c r="J800" t="b">
        <v>1</v>
      </c>
      <c r="K800">
        <v>378</v>
      </c>
      <c r="L800">
        <v>117</v>
      </c>
      <c r="M800" t="s">
        <v>48</v>
      </c>
      <c r="N800" t="s">
        <v>49</v>
      </c>
      <c r="O800" t="s">
        <v>27</v>
      </c>
      <c r="P800">
        <v>63</v>
      </c>
      <c r="Q800">
        <v>4.8</v>
      </c>
      <c r="R800" t="b">
        <v>1</v>
      </c>
      <c r="S800" t="s">
        <v>28</v>
      </c>
      <c r="T800">
        <v>1784</v>
      </c>
      <c r="U800" t="s">
        <v>35</v>
      </c>
      <c r="V800" t="s">
        <v>60</v>
      </c>
      <c r="W800" t="s">
        <v>37</v>
      </c>
    </row>
    <row r="801" spans="1:23" x14ac:dyDescent="0.3">
      <c r="A801">
        <v>9017</v>
      </c>
      <c r="B801" t="s">
        <v>290</v>
      </c>
      <c r="C801" s="1">
        <v>45487</v>
      </c>
      <c r="D801" s="1">
        <v>45637</v>
      </c>
      <c r="E801">
        <v>11.99</v>
      </c>
      <c r="F801">
        <v>337</v>
      </c>
      <c r="G801" t="s">
        <v>46</v>
      </c>
      <c r="H801">
        <v>2</v>
      </c>
      <c r="I801">
        <v>2</v>
      </c>
      <c r="J801" t="b">
        <v>1</v>
      </c>
      <c r="K801">
        <v>750</v>
      </c>
      <c r="L801">
        <v>146</v>
      </c>
      <c r="M801" t="s">
        <v>48</v>
      </c>
      <c r="N801" t="s">
        <v>49</v>
      </c>
      <c r="O801" t="s">
        <v>56</v>
      </c>
      <c r="P801">
        <v>100</v>
      </c>
      <c r="Q801">
        <v>4.0999999999999996</v>
      </c>
      <c r="R801" t="b">
        <v>1</v>
      </c>
      <c r="S801" t="s">
        <v>28</v>
      </c>
      <c r="T801">
        <v>3787</v>
      </c>
      <c r="U801" t="s">
        <v>35</v>
      </c>
      <c r="V801" t="s">
        <v>30</v>
      </c>
      <c r="W801" t="s">
        <v>31</v>
      </c>
    </row>
    <row r="802" spans="1:23" x14ac:dyDescent="0.3">
      <c r="A802">
        <v>7001</v>
      </c>
      <c r="B802" t="s">
        <v>112</v>
      </c>
      <c r="C802" s="1">
        <v>45146</v>
      </c>
      <c r="D802" s="1">
        <v>45626</v>
      </c>
      <c r="E802">
        <v>11.99</v>
      </c>
      <c r="F802">
        <v>24</v>
      </c>
      <c r="G802" t="s">
        <v>33</v>
      </c>
      <c r="H802">
        <v>4</v>
      </c>
      <c r="I802">
        <v>4</v>
      </c>
      <c r="J802" t="b">
        <v>0</v>
      </c>
      <c r="K802">
        <v>30</v>
      </c>
      <c r="L802">
        <v>20</v>
      </c>
      <c r="M802" t="s">
        <v>44</v>
      </c>
      <c r="N802" t="s">
        <v>64</v>
      </c>
      <c r="O802" t="s">
        <v>27</v>
      </c>
      <c r="P802">
        <v>98</v>
      </c>
      <c r="Q802">
        <v>3.9</v>
      </c>
      <c r="R802" t="b">
        <v>0</v>
      </c>
      <c r="S802" t="s">
        <v>28</v>
      </c>
      <c r="T802">
        <v>4477</v>
      </c>
      <c r="U802" t="s">
        <v>57</v>
      </c>
      <c r="V802" t="s">
        <v>52</v>
      </c>
      <c r="W802" t="s">
        <v>75</v>
      </c>
    </row>
    <row r="803" spans="1:23" x14ac:dyDescent="0.3">
      <c r="A803">
        <v>2942</v>
      </c>
      <c r="B803" t="s">
        <v>370</v>
      </c>
      <c r="C803" s="1">
        <v>44966</v>
      </c>
      <c r="D803" s="1">
        <v>45626</v>
      </c>
      <c r="E803">
        <v>11.99</v>
      </c>
      <c r="F803">
        <v>167</v>
      </c>
      <c r="G803" t="s">
        <v>43</v>
      </c>
      <c r="H803">
        <v>5</v>
      </c>
      <c r="I803">
        <v>5</v>
      </c>
      <c r="J803" t="b">
        <v>0</v>
      </c>
      <c r="K803">
        <v>127</v>
      </c>
      <c r="L803">
        <v>138</v>
      </c>
      <c r="M803" t="s">
        <v>44</v>
      </c>
      <c r="N803" t="s">
        <v>49</v>
      </c>
      <c r="O803" t="s">
        <v>41</v>
      </c>
      <c r="P803">
        <v>66</v>
      </c>
      <c r="Q803">
        <v>4.7</v>
      </c>
      <c r="R803" t="b">
        <v>1</v>
      </c>
      <c r="S803" t="s">
        <v>28</v>
      </c>
      <c r="T803">
        <v>711</v>
      </c>
      <c r="U803" t="s">
        <v>51</v>
      </c>
      <c r="V803" t="s">
        <v>30</v>
      </c>
      <c r="W803" t="s">
        <v>37</v>
      </c>
    </row>
    <row r="804" spans="1:23" x14ac:dyDescent="0.3">
      <c r="A804">
        <v>8833</v>
      </c>
      <c r="B804" t="s">
        <v>73</v>
      </c>
      <c r="C804" s="1">
        <v>45450</v>
      </c>
      <c r="D804" s="1">
        <v>45637</v>
      </c>
      <c r="E804">
        <v>7.99</v>
      </c>
      <c r="F804">
        <v>289</v>
      </c>
      <c r="G804" t="s">
        <v>33</v>
      </c>
      <c r="H804">
        <v>5</v>
      </c>
      <c r="I804">
        <v>2</v>
      </c>
      <c r="J804" t="b">
        <v>0</v>
      </c>
      <c r="K804">
        <v>216</v>
      </c>
      <c r="L804">
        <v>162</v>
      </c>
      <c r="M804" t="s">
        <v>74</v>
      </c>
      <c r="N804" t="s">
        <v>26</v>
      </c>
      <c r="O804" t="s">
        <v>27</v>
      </c>
      <c r="P804">
        <v>99</v>
      </c>
      <c r="Q804">
        <v>3.7</v>
      </c>
      <c r="R804" t="b">
        <v>1</v>
      </c>
      <c r="S804" t="s">
        <v>28</v>
      </c>
      <c r="T804">
        <v>3711</v>
      </c>
      <c r="U804" t="s">
        <v>51</v>
      </c>
      <c r="V804" t="s">
        <v>68</v>
      </c>
      <c r="W804" t="s">
        <v>31</v>
      </c>
    </row>
    <row r="805" spans="1:23" x14ac:dyDescent="0.3">
      <c r="A805">
        <v>8079</v>
      </c>
      <c r="B805" t="s">
        <v>72</v>
      </c>
      <c r="C805" s="1">
        <v>45114</v>
      </c>
      <c r="D805" s="1">
        <v>45639</v>
      </c>
      <c r="E805">
        <v>7.99</v>
      </c>
      <c r="F805">
        <v>450</v>
      </c>
      <c r="G805" t="s">
        <v>24</v>
      </c>
      <c r="H805">
        <v>1</v>
      </c>
      <c r="I805">
        <v>2</v>
      </c>
      <c r="J805" t="b">
        <v>1</v>
      </c>
      <c r="K805">
        <v>12</v>
      </c>
      <c r="L805">
        <v>133</v>
      </c>
      <c r="M805" t="s">
        <v>39</v>
      </c>
      <c r="N805" t="s">
        <v>40</v>
      </c>
      <c r="O805" t="s">
        <v>27</v>
      </c>
      <c r="P805">
        <v>100</v>
      </c>
      <c r="Q805">
        <v>3.4</v>
      </c>
      <c r="R805" t="b">
        <v>0</v>
      </c>
      <c r="S805" t="s">
        <v>28</v>
      </c>
      <c r="T805">
        <v>2534</v>
      </c>
      <c r="U805" t="s">
        <v>65</v>
      </c>
      <c r="V805" t="s">
        <v>30</v>
      </c>
      <c r="W805" t="s">
        <v>75</v>
      </c>
    </row>
    <row r="806" spans="1:23" x14ac:dyDescent="0.3">
      <c r="A806">
        <v>3797</v>
      </c>
      <c r="B806" t="s">
        <v>72</v>
      </c>
      <c r="C806" s="1">
        <v>45447</v>
      </c>
      <c r="D806" s="1">
        <v>45643</v>
      </c>
      <c r="E806">
        <v>11.99</v>
      </c>
      <c r="F806">
        <v>165</v>
      </c>
      <c r="G806" t="s">
        <v>43</v>
      </c>
      <c r="H806">
        <v>5</v>
      </c>
      <c r="I806">
        <v>5</v>
      </c>
      <c r="J806" t="b">
        <v>0</v>
      </c>
      <c r="K806">
        <v>421</v>
      </c>
      <c r="L806">
        <v>3</v>
      </c>
      <c r="M806" t="s">
        <v>25</v>
      </c>
      <c r="N806" t="s">
        <v>64</v>
      </c>
      <c r="O806" t="s">
        <v>56</v>
      </c>
      <c r="P806">
        <v>96</v>
      </c>
      <c r="Q806">
        <v>4.5</v>
      </c>
      <c r="R806" t="b">
        <v>1</v>
      </c>
      <c r="S806" t="s">
        <v>28</v>
      </c>
      <c r="T806">
        <v>2624</v>
      </c>
      <c r="U806" t="s">
        <v>35</v>
      </c>
      <c r="V806" t="s">
        <v>68</v>
      </c>
      <c r="W806" t="s">
        <v>37</v>
      </c>
    </row>
    <row r="807" spans="1:23" x14ac:dyDescent="0.3">
      <c r="A807">
        <v>7268</v>
      </c>
      <c r="B807" t="s">
        <v>371</v>
      </c>
      <c r="C807" s="1">
        <v>45054</v>
      </c>
      <c r="D807" s="1">
        <v>45643</v>
      </c>
      <c r="E807">
        <v>15.99</v>
      </c>
      <c r="F807">
        <v>391</v>
      </c>
      <c r="G807" t="s">
        <v>24</v>
      </c>
      <c r="H807">
        <v>2</v>
      </c>
      <c r="I807">
        <v>2</v>
      </c>
      <c r="J807" t="b">
        <v>0</v>
      </c>
      <c r="K807">
        <v>988</v>
      </c>
      <c r="L807">
        <v>82</v>
      </c>
      <c r="M807" t="s">
        <v>25</v>
      </c>
      <c r="N807" t="s">
        <v>26</v>
      </c>
      <c r="O807" t="s">
        <v>34</v>
      </c>
      <c r="P807">
        <v>73</v>
      </c>
      <c r="Q807">
        <v>3</v>
      </c>
      <c r="R807" t="b">
        <v>1</v>
      </c>
      <c r="S807" t="s">
        <v>28</v>
      </c>
      <c r="T807">
        <v>3617</v>
      </c>
      <c r="U807" t="s">
        <v>51</v>
      </c>
      <c r="V807" t="s">
        <v>52</v>
      </c>
      <c r="W807" t="s">
        <v>53</v>
      </c>
    </row>
    <row r="808" spans="1:23" x14ac:dyDescent="0.3">
      <c r="A808">
        <v>9803</v>
      </c>
      <c r="B808" t="s">
        <v>246</v>
      </c>
      <c r="C808" s="1">
        <v>45487</v>
      </c>
      <c r="D808" s="1">
        <v>45619</v>
      </c>
      <c r="E808">
        <v>11.99</v>
      </c>
      <c r="F808">
        <v>318</v>
      </c>
      <c r="G808" t="s">
        <v>33</v>
      </c>
      <c r="H808">
        <v>2</v>
      </c>
      <c r="I808">
        <v>1</v>
      </c>
      <c r="J808" t="b">
        <v>0</v>
      </c>
      <c r="K808">
        <v>376</v>
      </c>
      <c r="L808">
        <v>44</v>
      </c>
      <c r="M808" t="s">
        <v>25</v>
      </c>
      <c r="N808" t="s">
        <v>64</v>
      </c>
      <c r="O808" t="s">
        <v>41</v>
      </c>
      <c r="P808">
        <v>42</v>
      </c>
      <c r="Q808">
        <v>3.9</v>
      </c>
      <c r="R808" t="b">
        <v>0</v>
      </c>
      <c r="S808" t="s">
        <v>28</v>
      </c>
      <c r="T808">
        <v>3078</v>
      </c>
      <c r="U808" t="s">
        <v>65</v>
      </c>
      <c r="V808" t="s">
        <v>36</v>
      </c>
      <c r="W808" t="s">
        <v>53</v>
      </c>
    </row>
    <row r="809" spans="1:23" x14ac:dyDescent="0.3">
      <c r="A809">
        <v>2165</v>
      </c>
      <c r="B809" t="s">
        <v>372</v>
      </c>
      <c r="C809" s="1">
        <v>45465</v>
      </c>
      <c r="D809" s="1">
        <v>45625</v>
      </c>
      <c r="E809">
        <v>15.99</v>
      </c>
      <c r="F809">
        <v>157</v>
      </c>
      <c r="G809" t="s">
        <v>46</v>
      </c>
      <c r="H809">
        <v>2</v>
      </c>
      <c r="I809">
        <v>2</v>
      </c>
      <c r="J809" t="b">
        <v>0</v>
      </c>
      <c r="K809">
        <v>542</v>
      </c>
      <c r="L809">
        <v>80</v>
      </c>
      <c r="M809" t="s">
        <v>59</v>
      </c>
      <c r="N809" t="s">
        <v>26</v>
      </c>
      <c r="O809" t="s">
        <v>56</v>
      </c>
      <c r="P809">
        <v>53</v>
      </c>
      <c r="Q809">
        <v>4.2</v>
      </c>
      <c r="R809" t="b">
        <v>0</v>
      </c>
      <c r="S809" t="s">
        <v>28</v>
      </c>
      <c r="T809">
        <v>164</v>
      </c>
      <c r="U809" t="s">
        <v>51</v>
      </c>
      <c r="V809" t="s">
        <v>30</v>
      </c>
      <c r="W809" t="s">
        <v>37</v>
      </c>
    </row>
    <row r="810" spans="1:23" x14ac:dyDescent="0.3">
      <c r="A810">
        <v>1528</v>
      </c>
      <c r="B810" t="s">
        <v>226</v>
      </c>
      <c r="C810" s="1">
        <v>44936</v>
      </c>
      <c r="D810" s="1">
        <v>45615</v>
      </c>
      <c r="E810">
        <v>11.99</v>
      </c>
      <c r="F810">
        <v>25</v>
      </c>
      <c r="G810" t="s">
        <v>33</v>
      </c>
      <c r="H810">
        <v>3</v>
      </c>
      <c r="I810">
        <v>5</v>
      </c>
      <c r="J810" t="b">
        <v>1</v>
      </c>
      <c r="K810">
        <v>232</v>
      </c>
      <c r="L810">
        <v>196</v>
      </c>
      <c r="M810" t="s">
        <v>44</v>
      </c>
      <c r="N810" t="s">
        <v>40</v>
      </c>
      <c r="O810" t="s">
        <v>50</v>
      </c>
      <c r="P810">
        <v>48</v>
      </c>
      <c r="Q810">
        <v>3.2</v>
      </c>
      <c r="R810" t="b">
        <v>0</v>
      </c>
      <c r="S810" t="s">
        <v>28</v>
      </c>
      <c r="T810">
        <v>2805</v>
      </c>
      <c r="U810" t="s">
        <v>51</v>
      </c>
      <c r="V810" t="s">
        <v>52</v>
      </c>
      <c r="W810" t="s">
        <v>53</v>
      </c>
    </row>
    <row r="811" spans="1:23" x14ac:dyDescent="0.3">
      <c r="A811">
        <v>5978</v>
      </c>
      <c r="B811" t="s">
        <v>241</v>
      </c>
      <c r="C811" s="1">
        <v>45028</v>
      </c>
      <c r="D811" s="1">
        <v>45635</v>
      </c>
      <c r="E811">
        <v>11.99</v>
      </c>
      <c r="F811">
        <v>112</v>
      </c>
      <c r="G811" t="s">
        <v>33</v>
      </c>
      <c r="H811">
        <v>3</v>
      </c>
      <c r="I811">
        <v>4</v>
      </c>
      <c r="J811" t="b">
        <v>1</v>
      </c>
      <c r="K811">
        <v>505</v>
      </c>
      <c r="L811">
        <v>118</v>
      </c>
      <c r="M811" t="s">
        <v>44</v>
      </c>
      <c r="N811" t="s">
        <v>26</v>
      </c>
      <c r="O811" t="s">
        <v>56</v>
      </c>
      <c r="P811">
        <v>81</v>
      </c>
      <c r="Q811">
        <v>3.9</v>
      </c>
      <c r="R811" t="b">
        <v>0</v>
      </c>
      <c r="S811" t="s">
        <v>28</v>
      </c>
      <c r="T811">
        <v>3848</v>
      </c>
      <c r="U811" t="s">
        <v>35</v>
      </c>
      <c r="V811" t="s">
        <v>36</v>
      </c>
      <c r="W811" t="s">
        <v>75</v>
      </c>
    </row>
    <row r="812" spans="1:23" x14ac:dyDescent="0.3">
      <c r="A812">
        <v>5967</v>
      </c>
      <c r="B812" t="s">
        <v>235</v>
      </c>
      <c r="C812" s="1">
        <v>45058</v>
      </c>
      <c r="D812" s="1">
        <v>45640</v>
      </c>
      <c r="E812">
        <v>11.99</v>
      </c>
      <c r="F812">
        <v>479</v>
      </c>
      <c r="G812" t="s">
        <v>24</v>
      </c>
      <c r="H812">
        <v>2</v>
      </c>
      <c r="I812">
        <v>5</v>
      </c>
      <c r="J812" t="b">
        <v>0</v>
      </c>
      <c r="K812">
        <v>394</v>
      </c>
      <c r="L812">
        <v>35</v>
      </c>
      <c r="M812" t="s">
        <v>59</v>
      </c>
      <c r="N812" t="s">
        <v>64</v>
      </c>
      <c r="O812" t="s">
        <v>41</v>
      </c>
      <c r="P812">
        <v>93</v>
      </c>
      <c r="Q812">
        <v>3.7</v>
      </c>
      <c r="R812" t="b">
        <v>0</v>
      </c>
      <c r="S812" t="s">
        <v>28</v>
      </c>
      <c r="T812">
        <v>836</v>
      </c>
      <c r="U812" t="s">
        <v>35</v>
      </c>
      <c r="V812" t="s">
        <v>36</v>
      </c>
      <c r="W812" t="s">
        <v>31</v>
      </c>
    </row>
    <row r="813" spans="1:23" x14ac:dyDescent="0.3">
      <c r="A813">
        <v>4254</v>
      </c>
      <c r="B813" t="s">
        <v>108</v>
      </c>
      <c r="C813" s="1">
        <v>45138</v>
      </c>
      <c r="D813" s="1">
        <v>45644</v>
      </c>
      <c r="E813">
        <v>11.99</v>
      </c>
      <c r="F813">
        <v>233</v>
      </c>
      <c r="G813" t="s">
        <v>79</v>
      </c>
      <c r="H813">
        <v>1</v>
      </c>
      <c r="I813">
        <v>2</v>
      </c>
      <c r="J813" t="b">
        <v>1</v>
      </c>
      <c r="K813">
        <v>769</v>
      </c>
      <c r="L813">
        <v>132</v>
      </c>
      <c r="M813" t="s">
        <v>48</v>
      </c>
      <c r="N813" t="s">
        <v>26</v>
      </c>
      <c r="O813" t="s">
        <v>27</v>
      </c>
      <c r="P813">
        <v>82</v>
      </c>
      <c r="Q813">
        <v>4.3</v>
      </c>
      <c r="R813" t="b">
        <v>1</v>
      </c>
      <c r="S813" t="s">
        <v>28</v>
      </c>
      <c r="T813">
        <v>2761</v>
      </c>
      <c r="U813" t="s">
        <v>57</v>
      </c>
      <c r="V813" t="s">
        <v>52</v>
      </c>
      <c r="W813" t="s">
        <v>53</v>
      </c>
    </row>
    <row r="814" spans="1:23" x14ac:dyDescent="0.3">
      <c r="A814">
        <v>2186</v>
      </c>
      <c r="B814" t="s">
        <v>271</v>
      </c>
      <c r="C814" s="1">
        <v>45623</v>
      </c>
      <c r="D814" s="1">
        <v>45644</v>
      </c>
      <c r="E814">
        <v>7.99</v>
      </c>
      <c r="F814">
        <v>44</v>
      </c>
      <c r="G814" t="s">
        <v>33</v>
      </c>
      <c r="H814">
        <v>4</v>
      </c>
      <c r="I814">
        <v>4</v>
      </c>
      <c r="J814" t="b">
        <v>0</v>
      </c>
      <c r="K814">
        <v>89</v>
      </c>
      <c r="L814">
        <v>90</v>
      </c>
      <c r="M814" t="s">
        <v>48</v>
      </c>
      <c r="N814" t="s">
        <v>40</v>
      </c>
      <c r="O814" t="s">
        <v>67</v>
      </c>
      <c r="P814">
        <v>48</v>
      </c>
      <c r="Q814">
        <v>5</v>
      </c>
      <c r="R814" t="b">
        <v>1</v>
      </c>
      <c r="S814" t="s">
        <v>28</v>
      </c>
      <c r="T814">
        <v>4633</v>
      </c>
      <c r="U814" t="s">
        <v>65</v>
      </c>
      <c r="V814" t="s">
        <v>30</v>
      </c>
      <c r="W814" t="s">
        <v>31</v>
      </c>
    </row>
    <row r="815" spans="1:23" x14ac:dyDescent="0.3">
      <c r="A815">
        <v>7644</v>
      </c>
      <c r="B815" t="s">
        <v>373</v>
      </c>
      <c r="C815" s="1">
        <v>45634</v>
      </c>
      <c r="D815" s="1">
        <v>45641</v>
      </c>
      <c r="E815">
        <v>15.99</v>
      </c>
      <c r="F815">
        <v>456</v>
      </c>
      <c r="G815" t="s">
        <v>24</v>
      </c>
      <c r="H815">
        <v>2</v>
      </c>
      <c r="I815">
        <v>3</v>
      </c>
      <c r="J815" t="b">
        <v>1</v>
      </c>
      <c r="K815">
        <v>240</v>
      </c>
      <c r="L815">
        <v>83</v>
      </c>
      <c r="M815" t="s">
        <v>39</v>
      </c>
      <c r="N815" t="s">
        <v>49</v>
      </c>
      <c r="O815" t="s">
        <v>27</v>
      </c>
      <c r="P815">
        <v>76</v>
      </c>
      <c r="Q815">
        <v>4</v>
      </c>
      <c r="R815" t="b">
        <v>0</v>
      </c>
      <c r="S815" t="s">
        <v>28</v>
      </c>
      <c r="T815">
        <v>4260</v>
      </c>
      <c r="U815" t="s">
        <v>51</v>
      </c>
      <c r="V815" t="s">
        <v>52</v>
      </c>
      <c r="W815" t="s">
        <v>31</v>
      </c>
    </row>
    <row r="816" spans="1:23" x14ac:dyDescent="0.3">
      <c r="A816">
        <v>5897</v>
      </c>
      <c r="B816" t="s">
        <v>190</v>
      </c>
      <c r="C816" s="1">
        <v>45181</v>
      </c>
      <c r="D816" s="1">
        <v>45632</v>
      </c>
      <c r="E816">
        <v>7.99</v>
      </c>
      <c r="F816">
        <v>486</v>
      </c>
      <c r="G816" t="s">
        <v>33</v>
      </c>
      <c r="H816">
        <v>3</v>
      </c>
      <c r="I816">
        <v>2</v>
      </c>
      <c r="J816" t="b">
        <v>0</v>
      </c>
      <c r="K816">
        <v>181</v>
      </c>
      <c r="L816">
        <v>15</v>
      </c>
      <c r="M816" t="s">
        <v>63</v>
      </c>
      <c r="N816" t="s">
        <v>49</v>
      </c>
      <c r="O816" t="s">
        <v>34</v>
      </c>
      <c r="P816">
        <v>0</v>
      </c>
      <c r="Q816">
        <v>4.2</v>
      </c>
      <c r="R816" t="b">
        <v>0</v>
      </c>
      <c r="S816" t="s">
        <v>28</v>
      </c>
      <c r="T816">
        <v>447</v>
      </c>
      <c r="U816" t="s">
        <v>65</v>
      </c>
      <c r="V816" t="s">
        <v>52</v>
      </c>
      <c r="W816" t="s">
        <v>53</v>
      </c>
    </row>
    <row r="817" spans="1:23" x14ac:dyDescent="0.3">
      <c r="A817">
        <v>7465</v>
      </c>
      <c r="B817" t="s">
        <v>341</v>
      </c>
      <c r="C817" s="1">
        <v>45607</v>
      </c>
      <c r="D817" s="1">
        <v>45627</v>
      </c>
      <c r="E817">
        <v>11.99</v>
      </c>
      <c r="F817">
        <v>308</v>
      </c>
      <c r="G817" t="s">
        <v>24</v>
      </c>
      <c r="H817">
        <v>4</v>
      </c>
      <c r="I817">
        <v>3</v>
      </c>
      <c r="J817" t="b">
        <v>1</v>
      </c>
      <c r="K817">
        <v>284</v>
      </c>
      <c r="L817">
        <v>81</v>
      </c>
      <c r="M817" t="s">
        <v>59</v>
      </c>
      <c r="N817" t="s">
        <v>49</v>
      </c>
      <c r="O817" t="s">
        <v>50</v>
      </c>
      <c r="P817">
        <v>92</v>
      </c>
      <c r="Q817">
        <v>3.7</v>
      </c>
      <c r="R817" t="b">
        <v>1</v>
      </c>
      <c r="S817" t="s">
        <v>28</v>
      </c>
      <c r="T817">
        <v>1298</v>
      </c>
      <c r="U817" t="s">
        <v>65</v>
      </c>
      <c r="V817" t="s">
        <v>52</v>
      </c>
      <c r="W817" t="s">
        <v>75</v>
      </c>
    </row>
    <row r="818" spans="1:23" x14ac:dyDescent="0.3">
      <c r="A818">
        <v>3724</v>
      </c>
      <c r="B818" t="s">
        <v>87</v>
      </c>
      <c r="C818" s="1">
        <v>45471</v>
      </c>
      <c r="D818" s="1">
        <v>45628</v>
      </c>
      <c r="E818">
        <v>7.99</v>
      </c>
      <c r="F818">
        <v>161</v>
      </c>
      <c r="G818" t="s">
        <v>79</v>
      </c>
      <c r="H818">
        <v>3</v>
      </c>
      <c r="I818">
        <v>5</v>
      </c>
      <c r="J818" t="b">
        <v>0</v>
      </c>
      <c r="K818">
        <v>698</v>
      </c>
      <c r="L818">
        <v>77</v>
      </c>
      <c r="M818" t="s">
        <v>39</v>
      </c>
      <c r="N818" t="s">
        <v>26</v>
      </c>
      <c r="O818" t="s">
        <v>50</v>
      </c>
      <c r="P818">
        <v>32</v>
      </c>
      <c r="Q818">
        <v>3.7</v>
      </c>
      <c r="R818" t="b">
        <v>0</v>
      </c>
      <c r="S818" t="s">
        <v>28</v>
      </c>
      <c r="T818">
        <v>3445</v>
      </c>
      <c r="U818" t="s">
        <v>57</v>
      </c>
      <c r="V818" t="s">
        <v>60</v>
      </c>
      <c r="W818" t="s">
        <v>75</v>
      </c>
    </row>
    <row r="819" spans="1:23" x14ac:dyDescent="0.3">
      <c r="A819">
        <v>2914</v>
      </c>
      <c r="B819" t="s">
        <v>322</v>
      </c>
      <c r="C819" s="1">
        <v>45114</v>
      </c>
      <c r="D819" s="1">
        <v>45640</v>
      </c>
      <c r="E819">
        <v>15.99</v>
      </c>
      <c r="F819">
        <v>316</v>
      </c>
      <c r="G819" t="s">
        <v>62</v>
      </c>
      <c r="H819">
        <v>3</v>
      </c>
      <c r="I819">
        <v>1</v>
      </c>
      <c r="J819" t="b">
        <v>0</v>
      </c>
      <c r="K819">
        <v>734</v>
      </c>
      <c r="L819">
        <v>21</v>
      </c>
      <c r="M819" t="s">
        <v>39</v>
      </c>
      <c r="N819" t="s">
        <v>49</v>
      </c>
      <c r="O819" t="s">
        <v>27</v>
      </c>
      <c r="P819">
        <v>65</v>
      </c>
      <c r="Q819">
        <v>4.5999999999999996</v>
      </c>
      <c r="R819" t="b">
        <v>0</v>
      </c>
      <c r="S819" t="s">
        <v>28</v>
      </c>
      <c r="T819">
        <v>3039</v>
      </c>
      <c r="U819" t="s">
        <v>51</v>
      </c>
      <c r="V819" t="s">
        <v>68</v>
      </c>
      <c r="W819" t="s">
        <v>31</v>
      </c>
    </row>
    <row r="820" spans="1:23" x14ac:dyDescent="0.3">
      <c r="A820">
        <v>4110</v>
      </c>
      <c r="B820" t="s">
        <v>140</v>
      </c>
      <c r="C820" s="1">
        <v>45318</v>
      </c>
      <c r="D820" s="1">
        <v>45622</v>
      </c>
      <c r="E820">
        <v>11.99</v>
      </c>
      <c r="F820">
        <v>133</v>
      </c>
      <c r="G820" t="s">
        <v>33</v>
      </c>
      <c r="H820">
        <v>5</v>
      </c>
      <c r="I820">
        <v>4</v>
      </c>
      <c r="J820" t="b">
        <v>0</v>
      </c>
      <c r="K820">
        <v>951</v>
      </c>
      <c r="L820">
        <v>86</v>
      </c>
      <c r="M820" t="s">
        <v>44</v>
      </c>
      <c r="N820" t="s">
        <v>26</v>
      </c>
      <c r="O820" t="s">
        <v>34</v>
      </c>
      <c r="P820">
        <v>88</v>
      </c>
      <c r="Q820">
        <v>4.4000000000000004</v>
      </c>
      <c r="R820" t="b">
        <v>0</v>
      </c>
      <c r="S820" t="s">
        <v>28</v>
      </c>
      <c r="T820">
        <v>3815</v>
      </c>
      <c r="U820" t="s">
        <v>51</v>
      </c>
      <c r="V820" t="s">
        <v>60</v>
      </c>
      <c r="W820" t="s">
        <v>37</v>
      </c>
    </row>
    <row r="821" spans="1:23" x14ac:dyDescent="0.3">
      <c r="A821">
        <v>6944</v>
      </c>
      <c r="B821" t="s">
        <v>157</v>
      </c>
      <c r="C821" s="1">
        <v>45440</v>
      </c>
      <c r="D821" s="1">
        <v>45626</v>
      </c>
      <c r="E821">
        <v>15.99</v>
      </c>
      <c r="F821">
        <v>270</v>
      </c>
      <c r="G821" t="s">
        <v>62</v>
      </c>
      <c r="H821">
        <v>3</v>
      </c>
      <c r="I821">
        <v>6</v>
      </c>
      <c r="J821" t="b">
        <v>0</v>
      </c>
      <c r="K821">
        <v>271</v>
      </c>
      <c r="L821">
        <v>5</v>
      </c>
      <c r="M821" t="s">
        <v>44</v>
      </c>
      <c r="N821" t="s">
        <v>49</v>
      </c>
      <c r="O821" t="s">
        <v>50</v>
      </c>
      <c r="P821">
        <v>41</v>
      </c>
      <c r="Q821">
        <v>3.5</v>
      </c>
      <c r="R821" t="b">
        <v>0</v>
      </c>
      <c r="S821" t="s">
        <v>28</v>
      </c>
      <c r="T821">
        <v>1135</v>
      </c>
      <c r="U821" t="s">
        <v>57</v>
      </c>
      <c r="V821" t="s">
        <v>52</v>
      </c>
      <c r="W821" t="s">
        <v>31</v>
      </c>
    </row>
    <row r="822" spans="1:23" x14ac:dyDescent="0.3">
      <c r="A822">
        <v>3639</v>
      </c>
      <c r="B822" t="s">
        <v>374</v>
      </c>
      <c r="C822" s="1">
        <v>45128</v>
      </c>
      <c r="D822" s="1">
        <v>45618</v>
      </c>
      <c r="E822">
        <v>11.99</v>
      </c>
      <c r="F822">
        <v>85</v>
      </c>
      <c r="G822" t="s">
        <v>55</v>
      </c>
      <c r="H822">
        <v>3</v>
      </c>
      <c r="I822">
        <v>1</v>
      </c>
      <c r="J822" t="b">
        <v>1</v>
      </c>
      <c r="K822">
        <v>851</v>
      </c>
      <c r="L822">
        <v>48</v>
      </c>
      <c r="M822" t="s">
        <v>25</v>
      </c>
      <c r="N822" t="s">
        <v>64</v>
      </c>
      <c r="O822" t="s">
        <v>67</v>
      </c>
      <c r="P822">
        <v>45</v>
      </c>
      <c r="Q822">
        <v>4.5999999999999996</v>
      </c>
      <c r="R822" t="b">
        <v>0</v>
      </c>
      <c r="S822" t="s">
        <v>28</v>
      </c>
      <c r="T822">
        <v>2706</v>
      </c>
      <c r="U822" t="s">
        <v>65</v>
      </c>
      <c r="V822" t="s">
        <v>30</v>
      </c>
      <c r="W822" t="s">
        <v>37</v>
      </c>
    </row>
    <row r="823" spans="1:23" x14ac:dyDescent="0.3">
      <c r="A823">
        <v>8416</v>
      </c>
      <c r="B823" t="s">
        <v>245</v>
      </c>
      <c r="C823" s="1">
        <v>45044</v>
      </c>
      <c r="D823" s="1">
        <v>45625</v>
      </c>
      <c r="E823">
        <v>11.99</v>
      </c>
      <c r="F823">
        <v>65</v>
      </c>
      <c r="G823" t="s">
        <v>33</v>
      </c>
      <c r="H823">
        <v>2</v>
      </c>
      <c r="I823">
        <v>3</v>
      </c>
      <c r="J823" t="b">
        <v>1</v>
      </c>
      <c r="K823">
        <v>302</v>
      </c>
      <c r="L823">
        <v>6</v>
      </c>
      <c r="M823" t="s">
        <v>44</v>
      </c>
      <c r="N823" t="s">
        <v>26</v>
      </c>
      <c r="O823" t="s">
        <v>27</v>
      </c>
      <c r="P823">
        <v>81</v>
      </c>
      <c r="Q823">
        <v>3.5</v>
      </c>
      <c r="R823" t="b">
        <v>1</v>
      </c>
      <c r="S823" t="s">
        <v>28</v>
      </c>
      <c r="T823">
        <v>3828</v>
      </c>
      <c r="U823" t="s">
        <v>65</v>
      </c>
      <c r="V823" t="s">
        <v>52</v>
      </c>
      <c r="W823" t="s">
        <v>37</v>
      </c>
    </row>
    <row r="824" spans="1:23" x14ac:dyDescent="0.3">
      <c r="A824">
        <v>7753</v>
      </c>
      <c r="B824" t="s">
        <v>121</v>
      </c>
      <c r="C824" s="1">
        <v>45635</v>
      </c>
      <c r="D824" s="1">
        <v>45639</v>
      </c>
      <c r="E824">
        <v>7.99</v>
      </c>
      <c r="F824">
        <v>393</v>
      </c>
      <c r="G824" t="s">
        <v>33</v>
      </c>
      <c r="H824">
        <v>3</v>
      </c>
      <c r="I824">
        <v>3</v>
      </c>
      <c r="J824" t="b">
        <v>0</v>
      </c>
      <c r="K824">
        <v>829</v>
      </c>
      <c r="L824">
        <v>117</v>
      </c>
      <c r="M824" t="s">
        <v>25</v>
      </c>
      <c r="N824" t="s">
        <v>49</v>
      </c>
      <c r="O824" t="s">
        <v>27</v>
      </c>
      <c r="P824">
        <v>65</v>
      </c>
      <c r="Q824">
        <v>4.9000000000000004</v>
      </c>
      <c r="R824" t="b">
        <v>1</v>
      </c>
      <c r="S824" t="s">
        <v>28</v>
      </c>
      <c r="T824">
        <v>4409</v>
      </c>
      <c r="U824" t="s">
        <v>51</v>
      </c>
      <c r="V824" t="s">
        <v>30</v>
      </c>
      <c r="W824" t="s">
        <v>75</v>
      </c>
    </row>
    <row r="825" spans="1:23" x14ac:dyDescent="0.3">
      <c r="A825">
        <v>9528</v>
      </c>
      <c r="B825" t="s">
        <v>375</v>
      </c>
      <c r="C825" s="1">
        <v>44973</v>
      </c>
      <c r="D825" s="1">
        <v>45638</v>
      </c>
      <c r="E825">
        <v>11.99</v>
      </c>
      <c r="F825">
        <v>181</v>
      </c>
      <c r="G825" t="s">
        <v>24</v>
      </c>
      <c r="H825">
        <v>5</v>
      </c>
      <c r="I825">
        <v>5</v>
      </c>
      <c r="J825" t="b">
        <v>0</v>
      </c>
      <c r="K825">
        <v>860</v>
      </c>
      <c r="L825">
        <v>148</v>
      </c>
      <c r="M825" t="s">
        <v>25</v>
      </c>
      <c r="N825" t="s">
        <v>40</v>
      </c>
      <c r="O825" t="s">
        <v>41</v>
      </c>
      <c r="P825">
        <v>3</v>
      </c>
      <c r="Q825">
        <v>4.3</v>
      </c>
      <c r="R825" t="b">
        <v>1</v>
      </c>
      <c r="S825" t="s">
        <v>28</v>
      </c>
      <c r="T825">
        <v>433</v>
      </c>
      <c r="U825" t="s">
        <v>65</v>
      </c>
      <c r="V825" t="s">
        <v>52</v>
      </c>
      <c r="W825" t="s">
        <v>75</v>
      </c>
    </row>
    <row r="826" spans="1:23" x14ac:dyDescent="0.3">
      <c r="A826">
        <v>2960</v>
      </c>
      <c r="B826" t="s">
        <v>108</v>
      </c>
      <c r="C826" s="1">
        <v>45263</v>
      </c>
      <c r="D826" s="1">
        <v>45635</v>
      </c>
      <c r="E826">
        <v>11.99</v>
      </c>
      <c r="F826">
        <v>416</v>
      </c>
      <c r="G826" t="s">
        <v>43</v>
      </c>
      <c r="H826">
        <v>5</v>
      </c>
      <c r="I826">
        <v>4</v>
      </c>
      <c r="J826" t="b">
        <v>1</v>
      </c>
      <c r="K826">
        <v>964</v>
      </c>
      <c r="L826">
        <v>187</v>
      </c>
      <c r="M826" t="s">
        <v>25</v>
      </c>
      <c r="N826" t="s">
        <v>64</v>
      </c>
      <c r="O826" t="s">
        <v>67</v>
      </c>
      <c r="P826">
        <v>6</v>
      </c>
      <c r="Q826">
        <v>3.2</v>
      </c>
      <c r="R826" t="b">
        <v>0</v>
      </c>
      <c r="S826" t="s">
        <v>28</v>
      </c>
      <c r="T826">
        <v>2554</v>
      </c>
      <c r="U826" t="s">
        <v>51</v>
      </c>
      <c r="V826" t="s">
        <v>30</v>
      </c>
      <c r="W826" t="s">
        <v>31</v>
      </c>
    </row>
    <row r="827" spans="1:23" x14ac:dyDescent="0.3">
      <c r="A827">
        <v>1090</v>
      </c>
      <c r="B827" t="s">
        <v>349</v>
      </c>
      <c r="C827" s="1">
        <v>45429</v>
      </c>
      <c r="D827" s="1">
        <v>45625</v>
      </c>
      <c r="E827">
        <v>15.99</v>
      </c>
      <c r="F827">
        <v>243</v>
      </c>
      <c r="G827" t="s">
        <v>43</v>
      </c>
      <c r="H827">
        <v>3</v>
      </c>
      <c r="I827">
        <v>2</v>
      </c>
      <c r="J827" t="b">
        <v>0</v>
      </c>
      <c r="K827">
        <v>40</v>
      </c>
      <c r="L827">
        <v>52</v>
      </c>
      <c r="M827" t="s">
        <v>39</v>
      </c>
      <c r="N827" t="s">
        <v>64</v>
      </c>
      <c r="O827" t="s">
        <v>56</v>
      </c>
      <c r="P827">
        <v>4</v>
      </c>
      <c r="Q827">
        <v>4</v>
      </c>
      <c r="R827" t="b">
        <v>1</v>
      </c>
      <c r="S827" t="s">
        <v>28</v>
      </c>
      <c r="T827">
        <v>1348</v>
      </c>
      <c r="U827" t="s">
        <v>35</v>
      </c>
      <c r="V827" t="s">
        <v>36</v>
      </c>
      <c r="W827" t="s">
        <v>53</v>
      </c>
    </row>
    <row r="828" spans="1:23" x14ac:dyDescent="0.3">
      <c r="A828">
        <v>2410</v>
      </c>
      <c r="B828" t="s">
        <v>72</v>
      </c>
      <c r="C828" s="1">
        <v>45637</v>
      </c>
      <c r="D828" s="1">
        <v>45634</v>
      </c>
      <c r="E828">
        <v>11.99</v>
      </c>
      <c r="F828">
        <v>381</v>
      </c>
      <c r="G828" t="s">
        <v>79</v>
      </c>
      <c r="H828">
        <v>2</v>
      </c>
      <c r="I828">
        <v>3</v>
      </c>
      <c r="J828" t="b">
        <v>1</v>
      </c>
      <c r="K828">
        <v>568</v>
      </c>
      <c r="L828">
        <v>62</v>
      </c>
      <c r="M828" t="s">
        <v>63</v>
      </c>
      <c r="N828" t="s">
        <v>40</v>
      </c>
      <c r="O828" t="s">
        <v>41</v>
      </c>
      <c r="P828">
        <v>50</v>
      </c>
      <c r="Q828">
        <v>4.8</v>
      </c>
      <c r="R828" t="b">
        <v>0</v>
      </c>
      <c r="S828" t="s">
        <v>28</v>
      </c>
      <c r="T828">
        <v>1375</v>
      </c>
      <c r="U828" t="s">
        <v>57</v>
      </c>
      <c r="V828" t="s">
        <v>36</v>
      </c>
      <c r="W828" t="s">
        <v>31</v>
      </c>
    </row>
    <row r="829" spans="1:23" x14ac:dyDescent="0.3">
      <c r="A829">
        <v>1575</v>
      </c>
      <c r="B829" t="s">
        <v>108</v>
      </c>
      <c r="C829" s="1">
        <v>45203</v>
      </c>
      <c r="D829" s="1">
        <v>45637</v>
      </c>
      <c r="E829">
        <v>11.99</v>
      </c>
      <c r="F829">
        <v>71</v>
      </c>
      <c r="G829" t="s">
        <v>62</v>
      </c>
      <c r="H829">
        <v>5</v>
      </c>
      <c r="I829">
        <v>4</v>
      </c>
      <c r="J829" t="b">
        <v>1</v>
      </c>
      <c r="K829">
        <v>666</v>
      </c>
      <c r="L829">
        <v>100</v>
      </c>
      <c r="M829" t="s">
        <v>59</v>
      </c>
      <c r="N829" t="s">
        <v>49</v>
      </c>
      <c r="O829" t="s">
        <v>41</v>
      </c>
      <c r="P829">
        <v>97</v>
      </c>
      <c r="Q829">
        <v>3.1</v>
      </c>
      <c r="R829" t="b">
        <v>0</v>
      </c>
      <c r="S829" t="s">
        <v>28</v>
      </c>
      <c r="T829">
        <v>3630</v>
      </c>
      <c r="U829" t="s">
        <v>35</v>
      </c>
      <c r="V829" t="s">
        <v>60</v>
      </c>
      <c r="W829" t="s">
        <v>31</v>
      </c>
    </row>
    <row r="830" spans="1:23" x14ac:dyDescent="0.3">
      <c r="A830">
        <v>9259</v>
      </c>
      <c r="B830" t="s">
        <v>155</v>
      </c>
      <c r="C830" s="1">
        <v>45518</v>
      </c>
      <c r="D830" s="1">
        <v>45633</v>
      </c>
      <c r="E830">
        <v>11.99</v>
      </c>
      <c r="F830">
        <v>219</v>
      </c>
      <c r="G830" t="s">
        <v>55</v>
      </c>
      <c r="H830">
        <v>4</v>
      </c>
      <c r="I830">
        <v>1</v>
      </c>
      <c r="J830" t="b">
        <v>1</v>
      </c>
      <c r="K830">
        <v>318</v>
      </c>
      <c r="L830">
        <v>37</v>
      </c>
      <c r="M830" t="s">
        <v>74</v>
      </c>
      <c r="N830" t="s">
        <v>64</v>
      </c>
      <c r="O830" t="s">
        <v>50</v>
      </c>
      <c r="P830">
        <v>69</v>
      </c>
      <c r="Q830">
        <v>3.9</v>
      </c>
      <c r="R830" t="b">
        <v>1</v>
      </c>
      <c r="S830" t="s">
        <v>28</v>
      </c>
      <c r="T830">
        <v>1457</v>
      </c>
      <c r="U830" t="s">
        <v>57</v>
      </c>
      <c r="V830" t="s">
        <v>60</v>
      </c>
      <c r="W830" t="s">
        <v>31</v>
      </c>
    </row>
    <row r="831" spans="1:23" x14ac:dyDescent="0.3">
      <c r="A831">
        <v>2170</v>
      </c>
      <c r="B831" t="s">
        <v>105</v>
      </c>
      <c r="C831" s="1">
        <v>45237</v>
      </c>
      <c r="D831" s="1">
        <v>45641</v>
      </c>
      <c r="E831">
        <v>15.99</v>
      </c>
      <c r="F831">
        <v>335</v>
      </c>
      <c r="G831" t="s">
        <v>24</v>
      </c>
      <c r="H831">
        <v>2</v>
      </c>
      <c r="I831">
        <v>4</v>
      </c>
      <c r="J831" t="b">
        <v>0</v>
      </c>
      <c r="K831">
        <v>609</v>
      </c>
      <c r="L831">
        <v>181</v>
      </c>
      <c r="M831" t="s">
        <v>39</v>
      </c>
      <c r="N831" t="s">
        <v>26</v>
      </c>
      <c r="O831" t="s">
        <v>27</v>
      </c>
      <c r="P831">
        <v>81</v>
      </c>
      <c r="Q831">
        <v>4.7</v>
      </c>
      <c r="R831" t="b">
        <v>1</v>
      </c>
      <c r="S831" t="s">
        <v>28</v>
      </c>
      <c r="T831">
        <v>3332</v>
      </c>
      <c r="U831" t="s">
        <v>57</v>
      </c>
      <c r="V831" t="s">
        <v>52</v>
      </c>
      <c r="W831" t="s">
        <v>31</v>
      </c>
    </row>
    <row r="832" spans="1:23" x14ac:dyDescent="0.3">
      <c r="A832">
        <v>2237</v>
      </c>
      <c r="B832" t="s">
        <v>160</v>
      </c>
      <c r="C832" s="1">
        <v>45085</v>
      </c>
      <c r="D832" s="1">
        <v>45644</v>
      </c>
      <c r="E832">
        <v>7.99</v>
      </c>
      <c r="F832">
        <v>435</v>
      </c>
      <c r="G832" t="s">
        <v>62</v>
      </c>
      <c r="H832">
        <v>2</v>
      </c>
      <c r="I832">
        <v>1</v>
      </c>
      <c r="J832" t="b">
        <v>0</v>
      </c>
      <c r="K832">
        <v>163</v>
      </c>
      <c r="L832">
        <v>69</v>
      </c>
      <c r="M832" t="s">
        <v>48</v>
      </c>
      <c r="N832" t="s">
        <v>26</v>
      </c>
      <c r="O832" t="s">
        <v>34</v>
      </c>
      <c r="P832">
        <v>24</v>
      </c>
      <c r="Q832">
        <v>4.8</v>
      </c>
      <c r="R832" t="b">
        <v>1</v>
      </c>
      <c r="S832" t="s">
        <v>28</v>
      </c>
      <c r="T832">
        <v>3815</v>
      </c>
      <c r="U832" t="s">
        <v>57</v>
      </c>
      <c r="V832" t="s">
        <v>30</v>
      </c>
      <c r="W832" t="s">
        <v>75</v>
      </c>
    </row>
    <row r="833" spans="1:23" x14ac:dyDescent="0.3">
      <c r="A833">
        <v>2697</v>
      </c>
      <c r="B833" t="s">
        <v>118</v>
      </c>
      <c r="C833" s="1">
        <v>45422</v>
      </c>
      <c r="D833" s="1">
        <v>45635</v>
      </c>
      <c r="E833">
        <v>15.99</v>
      </c>
      <c r="F833">
        <v>423</v>
      </c>
      <c r="G833" t="s">
        <v>33</v>
      </c>
      <c r="H833">
        <v>4</v>
      </c>
      <c r="I833">
        <v>3</v>
      </c>
      <c r="J833" t="b">
        <v>0</v>
      </c>
      <c r="K833">
        <v>648</v>
      </c>
      <c r="L833">
        <v>46</v>
      </c>
      <c r="M833" t="s">
        <v>25</v>
      </c>
      <c r="N833" t="s">
        <v>40</v>
      </c>
      <c r="O833" t="s">
        <v>50</v>
      </c>
      <c r="P833">
        <v>0</v>
      </c>
      <c r="Q833">
        <v>4.5</v>
      </c>
      <c r="R833" t="b">
        <v>0</v>
      </c>
      <c r="S833" t="s">
        <v>28</v>
      </c>
      <c r="T833">
        <v>3859</v>
      </c>
      <c r="U833" t="s">
        <v>29</v>
      </c>
      <c r="V833" t="s">
        <v>68</v>
      </c>
      <c r="W833" t="s">
        <v>31</v>
      </c>
    </row>
    <row r="834" spans="1:23" x14ac:dyDescent="0.3">
      <c r="A834">
        <v>4488</v>
      </c>
      <c r="B834" t="s">
        <v>182</v>
      </c>
      <c r="C834" s="1">
        <v>45074</v>
      </c>
      <c r="D834" s="1">
        <v>45631</v>
      </c>
      <c r="E834">
        <v>7.99</v>
      </c>
      <c r="F834">
        <v>304</v>
      </c>
      <c r="G834" t="s">
        <v>79</v>
      </c>
      <c r="H834">
        <v>1</v>
      </c>
      <c r="I834">
        <v>3</v>
      </c>
      <c r="J834" t="b">
        <v>0</v>
      </c>
      <c r="K834">
        <v>975</v>
      </c>
      <c r="L834">
        <v>10</v>
      </c>
      <c r="M834" t="s">
        <v>39</v>
      </c>
      <c r="N834" t="s">
        <v>26</v>
      </c>
      <c r="O834" t="s">
        <v>56</v>
      </c>
      <c r="P834">
        <v>48</v>
      </c>
      <c r="Q834">
        <v>3.2</v>
      </c>
      <c r="R834" t="b">
        <v>0</v>
      </c>
      <c r="S834" t="s">
        <v>28</v>
      </c>
      <c r="T834">
        <v>3923</v>
      </c>
      <c r="U834" t="s">
        <v>51</v>
      </c>
      <c r="V834" t="s">
        <v>36</v>
      </c>
      <c r="W834" t="s">
        <v>31</v>
      </c>
    </row>
    <row r="835" spans="1:23" x14ac:dyDescent="0.3">
      <c r="A835">
        <v>5291</v>
      </c>
      <c r="B835" t="s">
        <v>376</v>
      </c>
      <c r="C835" s="1">
        <v>45346</v>
      </c>
      <c r="D835" s="1">
        <v>45643</v>
      </c>
      <c r="E835">
        <v>11.99</v>
      </c>
      <c r="F835">
        <v>455</v>
      </c>
      <c r="G835" t="s">
        <v>33</v>
      </c>
      <c r="H835">
        <v>3</v>
      </c>
      <c r="I835">
        <v>6</v>
      </c>
      <c r="J835" t="b">
        <v>1</v>
      </c>
      <c r="K835">
        <v>15</v>
      </c>
      <c r="L835">
        <v>36</v>
      </c>
      <c r="M835" t="s">
        <v>63</v>
      </c>
      <c r="N835" t="s">
        <v>40</v>
      </c>
      <c r="O835" t="s">
        <v>56</v>
      </c>
      <c r="P835">
        <v>37</v>
      </c>
      <c r="Q835">
        <v>4.2</v>
      </c>
      <c r="R835" t="b">
        <v>0</v>
      </c>
      <c r="S835" t="s">
        <v>28</v>
      </c>
      <c r="T835">
        <v>4486</v>
      </c>
      <c r="U835" t="s">
        <v>65</v>
      </c>
      <c r="V835" t="s">
        <v>52</v>
      </c>
      <c r="W835" t="s">
        <v>75</v>
      </c>
    </row>
    <row r="836" spans="1:23" x14ac:dyDescent="0.3">
      <c r="A836">
        <v>6287</v>
      </c>
      <c r="B836" t="s">
        <v>278</v>
      </c>
      <c r="C836" s="1">
        <v>45045</v>
      </c>
      <c r="D836" s="1">
        <v>45626</v>
      </c>
      <c r="E836">
        <v>11.99</v>
      </c>
      <c r="F836">
        <v>449</v>
      </c>
      <c r="G836" t="s">
        <v>46</v>
      </c>
      <c r="H836">
        <v>1</v>
      </c>
      <c r="I836">
        <v>2</v>
      </c>
      <c r="J836" t="b">
        <v>1</v>
      </c>
      <c r="K836">
        <v>268</v>
      </c>
      <c r="L836">
        <v>11</v>
      </c>
      <c r="M836" t="s">
        <v>39</v>
      </c>
      <c r="N836" t="s">
        <v>40</v>
      </c>
      <c r="O836" t="s">
        <v>56</v>
      </c>
      <c r="P836">
        <v>62</v>
      </c>
      <c r="Q836">
        <v>5</v>
      </c>
      <c r="R836" t="b">
        <v>0</v>
      </c>
      <c r="S836" t="s">
        <v>28</v>
      </c>
      <c r="T836">
        <v>993</v>
      </c>
      <c r="U836" t="s">
        <v>35</v>
      </c>
      <c r="V836" t="s">
        <v>36</v>
      </c>
      <c r="W836" t="s">
        <v>37</v>
      </c>
    </row>
    <row r="837" spans="1:23" x14ac:dyDescent="0.3">
      <c r="A837">
        <v>1953</v>
      </c>
      <c r="B837" t="s">
        <v>368</v>
      </c>
      <c r="C837" s="1">
        <v>45239</v>
      </c>
      <c r="D837" s="1">
        <v>45619</v>
      </c>
      <c r="E837">
        <v>15.99</v>
      </c>
      <c r="F837">
        <v>39</v>
      </c>
      <c r="G837" t="s">
        <v>33</v>
      </c>
      <c r="H837">
        <v>3</v>
      </c>
      <c r="I837">
        <v>1</v>
      </c>
      <c r="J837" t="b">
        <v>1</v>
      </c>
      <c r="K837">
        <v>791</v>
      </c>
      <c r="L837">
        <v>3</v>
      </c>
      <c r="M837" t="s">
        <v>63</v>
      </c>
      <c r="N837" t="s">
        <v>49</v>
      </c>
      <c r="O837" t="s">
        <v>50</v>
      </c>
      <c r="P837">
        <v>33</v>
      </c>
      <c r="Q837">
        <v>3.1</v>
      </c>
      <c r="R837" t="b">
        <v>1</v>
      </c>
      <c r="S837" t="s">
        <v>28</v>
      </c>
      <c r="T837">
        <v>631</v>
      </c>
      <c r="U837" t="s">
        <v>51</v>
      </c>
      <c r="V837" t="s">
        <v>36</v>
      </c>
      <c r="W837" t="s">
        <v>53</v>
      </c>
    </row>
    <row r="838" spans="1:23" x14ac:dyDescent="0.3">
      <c r="A838">
        <v>3457</v>
      </c>
      <c r="B838" t="s">
        <v>185</v>
      </c>
      <c r="C838" s="1">
        <v>45590</v>
      </c>
      <c r="D838" s="1">
        <v>45615</v>
      </c>
      <c r="E838">
        <v>15.99</v>
      </c>
      <c r="F838">
        <v>139</v>
      </c>
      <c r="G838" t="s">
        <v>62</v>
      </c>
      <c r="H838">
        <v>2</v>
      </c>
      <c r="I838">
        <v>1</v>
      </c>
      <c r="J838" t="b">
        <v>0</v>
      </c>
      <c r="K838">
        <v>257</v>
      </c>
      <c r="L838">
        <v>173</v>
      </c>
      <c r="M838" t="s">
        <v>59</v>
      </c>
      <c r="N838" t="s">
        <v>40</v>
      </c>
      <c r="O838" t="s">
        <v>56</v>
      </c>
      <c r="P838">
        <v>16</v>
      </c>
      <c r="Q838">
        <v>3.7</v>
      </c>
      <c r="R838" t="b">
        <v>1</v>
      </c>
      <c r="S838" t="s">
        <v>28</v>
      </c>
      <c r="T838">
        <v>214</v>
      </c>
      <c r="U838" t="s">
        <v>51</v>
      </c>
      <c r="V838" t="s">
        <v>36</v>
      </c>
      <c r="W838" t="s">
        <v>31</v>
      </c>
    </row>
    <row r="839" spans="1:23" x14ac:dyDescent="0.3">
      <c r="A839">
        <v>6504</v>
      </c>
      <c r="B839" t="s">
        <v>200</v>
      </c>
      <c r="C839" s="1">
        <v>45249</v>
      </c>
      <c r="D839" s="1">
        <v>45644</v>
      </c>
      <c r="E839">
        <v>7.99</v>
      </c>
      <c r="F839">
        <v>345</v>
      </c>
      <c r="G839" t="s">
        <v>43</v>
      </c>
      <c r="H839">
        <v>1</v>
      </c>
      <c r="I839">
        <v>4</v>
      </c>
      <c r="J839" t="b">
        <v>0</v>
      </c>
      <c r="K839">
        <v>767</v>
      </c>
      <c r="L839">
        <v>66</v>
      </c>
      <c r="M839" t="s">
        <v>39</v>
      </c>
      <c r="N839" t="s">
        <v>40</v>
      </c>
      <c r="O839" t="s">
        <v>41</v>
      </c>
      <c r="P839">
        <v>70</v>
      </c>
      <c r="Q839">
        <v>3.8</v>
      </c>
      <c r="R839" t="b">
        <v>0</v>
      </c>
      <c r="S839" t="s">
        <v>28</v>
      </c>
      <c r="T839">
        <v>2327</v>
      </c>
      <c r="U839" t="s">
        <v>35</v>
      </c>
      <c r="V839" t="s">
        <v>52</v>
      </c>
      <c r="W839" t="s">
        <v>31</v>
      </c>
    </row>
    <row r="840" spans="1:23" x14ac:dyDescent="0.3">
      <c r="A840">
        <v>7463</v>
      </c>
      <c r="B840" t="s">
        <v>239</v>
      </c>
      <c r="C840" s="1">
        <v>45184</v>
      </c>
      <c r="D840" s="1">
        <v>45632</v>
      </c>
      <c r="E840">
        <v>11.99</v>
      </c>
      <c r="F840">
        <v>500</v>
      </c>
      <c r="G840" t="s">
        <v>46</v>
      </c>
      <c r="H840">
        <v>3</v>
      </c>
      <c r="I840">
        <v>5</v>
      </c>
      <c r="J840" t="b">
        <v>1</v>
      </c>
      <c r="K840">
        <v>362</v>
      </c>
      <c r="L840">
        <v>38</v>
      </c>
      <c r="M840" t="s">
        <v>74</v>
      </c>
      <c r="N840" t="s">
        <v>40</v>
      </c>
      <c r="O840" t="s">
        <v>27</v>
      </c>
      <c r="P840">
        <v>100</v>
      </c>
      <c r="Q840">
        <v>4</v>
      </c>
      <c r="R840" t="b">
        <v>0</v>
      </c>
      <c r="S840" t="s">
        <v>28</v>
      </c>
      <c r="T840">
        <v>3679</v>
      </c>
      <c r="U840" t="s">
        <v>51</v>
      </c>
      <c r="V840" t="s">
        <v>68</v>
      </c>
      <c r="W840" t="s">
        <v>37</v>
      </c>
    </row>
    <row r="841" spans="1:23" x14ac:dyDescent="0.3">
      <c r="A841">
        <v>3898</v>
      </c>
      <c r="B841" t="s">
        <v>78</v>
      </c>
      <c r="C841" s="1">
        <v>45358</v>
      </c>
      <c r="D841" s="1">
        <v>45624</v>
      </c>
      <c r="E841">
        <v>11.99</v>
      </c>
      <c r="F841">
        <v>365</v>
      </c>
      <c r="G841" t="s">
        <v>62</v>
      </c>
      <c r="H841">
        <v>5</v>
      </c>
      <c r="I841">
        <v>5</v>
      </c>
      <c r="J841" t="b">
        <v>1</v>
      </c>
      <c r="K841">
        <v>779</v>
      </c>
      <c r="L841">
        <v>113</v>
      </c>
      <c r="M841" t="s">
        <v>44</v>
      </c>
      <c r="N841" t="s">
        <v>26</v>
      </c>
      <c r="O841" t="s">
        <v>34</v>
      </c>
      <c r="P841">
        <v>65</v>
      </c>
      <c r="Q841">
        <v>4.2</v>
      </c>
      <c r="R841" t="b">
        <v>0</v>
      </c>
      <c r="S841" t="s">
        <v>28</v>
      </c>
      <c r="T841">
        <v>2238</v>
      </c>
      <c r="U841" t="s">
        <v>29</v>
      </c>
      <c r="V841" t="s">
        <v>68</v>
      </c>
      <c r="W841" t="s">
        <v>75</v>
      </c>
    </row>
    <row r="842" spans="1:23" x14ac:dyDescent="0.3">
      <c r="A842">
        <v>8481</v>
      </c>
      <c r="B842" t="s">
        <v>94</v>
      </c>
      <c r="C842" s="1">
        <v>45581</v>
      </c>
      <c r="D842" s="1">
        <v>45634</v>
      </c>
      <c r="E842">
        <v>7.99</v>
      </c>
      <c r="F842">
        <v>479</v>
      </c>
      <c r="G842" t="s">
        <v>79</v>
      </c>
      <c r="H842">
        <v>4</v>
      </c>
      <c r="I842">
        <v>5</v>
      </c>
      <c r="J842" t="b">
        <v>0</v>
      </c>
      <c r="K842">
        <v>159</v>
      </c>
      <c r="L842">
        <v>136</v>
      </c>
      <c r="M842" t="s">
        <v>39</v>
      </c>
      <c r="N842" t="s">
        <v>64</v>
      </c>
      <c r="O842" t="s">
        <v>34</v>
      </c>
      <c r="P842">
        <v>7</v>
      </c>
      <c r="Q842">
        <v>4.2</v>
      </c>
      <c r="R842" t="b">
        <v>1</v>
      </c>
      <c r="S842" t="s">
        <v>28</v>
      </c>
      <c r="T842">
        <v>3655</v>
      </c>
      <c r="U842" t="s">
        <v>51</v>
      </c>
      <c r="V842" t="s">
        <v>52</v>
      </c>
      <c r="W842" t="s">
        <v>37</v>
      </c>
    </row>
    <row r="843" spans="1:23" x14ac:dyDescent="0.3">
      <c r="A843">
        <v>7810</v>
      </c>
      <c r="B843" t="s">
        <v>38</v>
      </c>
      <c r="C843" s="1">
        <v>45193</v>
      </c>
      <c r="D843" s="1">
        <v>45633</v>
      </c>
      <c r="E843">
        <v>7.99</v>
      </c>
      <c r="F843">
        <v>63</v>
      </c>
      <c r="G843" t="s">
        <v>55</v>
      </c>
      <c r="H843">
        <v>4</v>
      </c>
      <c r="I843">
        <v>2</v>
      </c>
      <c r="J843" t="b">
        <v>1</v>
      </c>
      <c r="K843">
        <v>104</v>
      </c>
      <c r="L843">
        <v>72</v>
      </c>
      <c r="M843" t="s">
        <v>74</v>
      </c>
      <c r="N843" t="s">
        <v>64</v>
      </c>
      <c r="O843" t="s">
        <v>41</v>
      </c>
      <c r="P843">
        <v>17</v>
      </c>
      <c r="Q843">
        <v>4.9000000000000004</v>
      </c>
      <c r="R843" t="b">
        <v>1</v>
      </c>
      <c r="S843" t="s">
        <v>28</v>
      </c>
      <c r="T843">
        <v>1587</v>
      </c>
      <c r="U843" t="s">
        <v>57</v>
      </c>
      <c r="V843" t="s">
        <v>52</v>
      </c>
      <c r="W843" t="s">
        <v>75</v>
      </c>
    </row>
    <row r="844" spans="1:23" x14ac:dyDescent="0.3">
      <c r="A844">
        <v>6534</v>
      </c>
      <c r="B844" t="s">
        <v>258</v>
      </c>
      <c r="C844" s="1">
        <v>45021</v>
      </c>
      <c r="D844" s="1">
        <v>45637</v>
      </c>
      <c r="E844">
        <v>11.99</v>
      </c>
      <c r="F844">
        <v>104</v>
      </c>
      <c r="G844" t="s">
        <v>46</v>
      </c>
      <c r="H844">
        <v>2</v>
      </c>
      <c r="I844">
        <v>6</v>
      </c>
      <c r="J844" t="b">
        <v>0</v>
      </c>
      <c r="K844">
        <v>570</v>
      </c>
      <c r="L844">
        <v>29</v>
      </c>
      <c r="M844" t="s">
        <v>44</v>
      </c>
      <c r="N844" t="s">
        <v>26</v>
      </c>
      <c r="O844" t="s">
        <v>34</v>
      </c>
      <c r="P844">
        <v>56</v>
      </c>
      <c r="Q844">
        <v>3.9</v>
      </c>
      <c r="R844" t="b">
        <v>1</v>
      </c>
      <c r="S844" t="s">
        <v>28</v>
      </c>
      <c r="T844">
        <v>4501</v>
      </c>
      <c r="U844" t="s">
        <v>35</v>
      </c>
      <c r="V844" t="s">
        <v>30</v>
      </c>
      <c r="W844" t="s">
        <v>31</v>
      </c>
    </row>
    <row r="845" spans="1:23" x14ac:dyDescent="0.3">
      <c r="A845">
        <v>6025</v>
      </c>
      <c r="B845" t="s">
        <v>187</v>
      </c>
      <c r="C845" s="1">
        <v>45275</v>
      </c>
      <c r="D845" s="1">
        <v>45621</v>
      </c>
      <c r="E845">
        <v>15.99</v>
      </c>
      <c r="F845">
        <v>380</v>
      </c>
      <c r="G845" t="s">
        <v>55</v>
      </c>
      <c r="H845">
        <v>5</v>
      </c>
      <c r="I845">
        <v>5</v>
      </c>
      <c r="J845" t="b">
        <v>1</v>
      </c>
      <c r="K845">
        <v>112</v>
      </c>
      <c r="L845">
        <v>149</v>
      </c>
      <c r="M845" t="s">
        <v>59</v>
      </c>
      <c r="N845" t="s">
        <v>64</v>
      </c>
      <c r="O845" t="s">
        <v>41</v>
      </c>
      <c r="P845">
        <v>74</v>
      </c>
      <c r="Q845">
        <v>3.4</v>
      </c>
      <c r="R845" t="b">
        <v>1</v>
      </c>
      <c r="S845" t="s">
        <v>28</v>
      </c>
      <c r="T845">
        <v>1910</v>
      </c>
      <c r="U845" t="s">
        <v>65</v>
      </c>
      <c r="V845" t="s">
        <v>60</v>
      </c>
      <c r="W845" t="s">
        <v>53</v>
      </c>
    </row>
    <row r="846" spans="1:23" x14ac:dyDescent="0.3">
      <c r="A846">
        <v>5825</v>
      </c>
      <c r="B846" t="s">
        <v>377</v>
      </c>
      <c r="C846" s="1">
        <v>45334</v>
      </c>
      <c r="D846" s="1">
        <v>45639</v>
      </c>
      <c r="E846">
        <v>7.99</v>
      </c>
      <c r="F846">
        <v>500</v>
      </c>
      <c r="G846" t="s">
        <v>33</v>
      </c>
      <c r="H846">
        <v>5</v>
      </c>
      <c r="I846">
        <v>4</v>
      </c>
      <c r="J846" t="b">
        <v>1</v>
      </c>
      <c r="K846">
        <v>568</v>
      </c>
      <c r="L846">
        <v>151</v>
      </c>
      <c r="M846" t="s">
        <v>63</v>
      </c>
      <c r="N846" t="s">
        <v>64</v>
      </c>
      <c r="O846" t="s">
        <v>67</v>
      </c>
      <c r="P846">
        <v>11</v>
      </c>
      <c r="Q846">
        <v>3.6</v>
      </c>
      <c r="R846" t="b">
        <v>0</v>
      </c>
      <c r="S846" t="s">
        <v>28</v>
      </c>
      <c r="T846">
        <v>2731</v>
      </c>
      <c r="U846" t="s">
        <v>29</v>
      </c>
      <c r="V846" t="s">
        <v>60</v>
      </c>
      <c r="W846" t="s">
        <v>31</v>
      </c>
    </row>
    <row r="847" spans="1:23" x14ac:dyDescent="0.3">
      <c r="A847">
        <v>1185</v>
      </c>
      <c r="B847" t="s">
        <v>219</v>
      </c>
      <c r="C847" s="1">
        <v>44956</v>
      </c>
      <c r="D847" s="1">
        <v>45641</v>
      </c>
      <c r="E847">
        <v>15.99</v>
      </c>
      <c r="F847">
        <v>247</v>
      </c>
      <c r="G847" t="s">
        <v>79</v>
      </c>
      <c r="H847">
        <v>2</v>
      </c>
      <c r="I847">
        <v>2</v>
      </c>
      <c r="J847" t="b">
        <v>0</v>
      </c>
      <c r="K847">
        <v>943</v>
      </c>
      <c r="L847">
        <v>42</v>
      </c>
      <c r="M847" t="s">
        <v>44</v>
      </c>
      <c r="N847" t="s">
        <v>26</v>
      </c>
      <c r="O847" t="s">
        <v>50</v>
      </c>
      <c r="P847">
        <v>85</v>
      </c>
      <c r="Q847">
        <v>3.5</v>
      </c>
      <c r="R847" t="b">
        <v>1</v>
      </c>
      <c r="S847" t="s">
        <v>28</v>
      </c>
      <c r="T847">
        <v>4517</v>
      </c>
      <c r="U847" t="s">
        <v>29</v>
      </c>
      <c r="V847" t="s">
        <v>30</v>
      </c>
      <c r="W847" t="s">
        <v>37</v>
      </c>
    </row>
    <row r="848" spans="1:23" x14ac:dyDescent="0.3">
      <c r="A848">
        <v>4392</v>
      </c>
      <c r="B848" t="s">
        <v>242</v>
      </c>
      <c r="C848" s="1">
        <v>44976</v>
      </c>
      <c r="D848" s="1">
        <v>45631</v>
      </c>
      <c r="E848">
        <v>11.99</v>
      </c>
      <c r="F848">
        <v>486</v>
      </c>
      <c r="G848" t="s">
        <v>43</v>
      </c>
      <c r="H848">
        <v>2</v>
      </c>
      <c r="I848">
        <v>6</v>
      </c>
      <c r="J848" t="b">
        <v>0</v>
      </c>
      <c r="K848">
        <v>887</v>
      </c>
      <c r="L848">
        <v>128</v>
      </c>
      <c r="M848" t="s">
        <v>25</v>
      </c>
      <c r="N848" t="s">
        <v>49</v>
      </c>
      <c r="O848" t="s">
        <v>34</v>
      </c>
      <c r="P848">
        <v>59</v>
      </c>
      <c r="Q848">
        <v>4.4000000000000004</v>
      </c>
      <c r="R848" t="b">
        <v>0</v>
      </c>
      <c r="S848" t="s">
        <v>28</v>
      </c>
      <c r="T848">
        <v>1238</v>
      </c>
      <c r="U848" t="s">
        <v>57</v>
      </c>
      <c r="V848" t="s">
        <v>30</v>
      </c>
      <c r="W848" t="s">
        <v>53</v>
      </c>
    </row>
    <row r="849" spans="1:23" x14ac:dyDescent="0.3">
      <c r="A849">
        <v>5785</v>
      </c>
      <c r="B849" t="s">
        <v>80</v>
      </c>
      <c r="C849" s="1">
        <v>45361</v>
      </c>
      <c r="D849" s="1">
        <v>45615</v>
      </c>
      <c r="E849">
        <v>7.99</v>
      </c>
      <c r="F849">
        <v>220</v>
      </c>
      <c r="G849" t="s">
        <v>24</v>
      </c>
      <c r="H849">
        <v>2</v>
      </c>
      <c r="I849">
        <v>1</v>
      </c>
      <c r="J849" t="b">
        <v>0</v>
      </c>
      <c r="K849">
        <v>998</v>
      </c>
      <c r="L849">
        <v>187</v>
      </c>
      <c r="M849" t="s">
        <v>48</v>
      </c>
      <c r="N849" t="s">
        <v>40</v>
      </c>
      <c r="O849" t="s">
        <v>56</v>
      </c>
      <c r="P849">
        <v>17</v>
      </c>
      <c r="Q849">
        <v>4.4000000000000004</v>
      </c>
      <c r="R849" t="b">
        <v>0</v>
      </c>
      <c r="S849" t="s">
        <v>28</v>
      </c>
      <c r="T849">
        <v>1786</v>
      </c>
      <c r="U849" t="s">
        <v>51</v>
      </c>
      <c r="V849" t="s">
        <v>68</v>
      </c>
      <c r="W849" t="s">
        <v>53</v>
      </c>
    </row>
    <row r="850" spans="1:23" x14ac:dyDescent="0.3">
      <c r="A850">
        <v>4718</v>
      </c>
      <c r="B850" t="s">
        <v>94</v>
      </c>
      <c r="C850" s="1">
        <v>45190</v>
      </c>
      <c r="D850" s="1">
        <v>45621</v>
      </c>
      <c r="E850">
        <v>15.99</v>
      </c>
      <c r="F850">
        <v>21</v>
      </c>
      <c r="G850" t="s">
        <v>33</v>
      </c>
      <c r="H850">
        <v>5</v>
      </c>
      <c r="I850">
        <v>1</v>
      </c>
      <c r="J850" t="b">
        <v>1</v>
      </c>
      <c r="K850">
        <v>484</v>
      </c>
      <c r="L850">
        <v>112</v>
      </c>
      <c r="M850" t="s">
        <v>48</v>
      </c>
      <c r="N850" t="s">
        <v>49</v>
      </c>
      <c r="O850" t="s">
        <v>27</v>
      </c>
      <c r="P850">
        <v>88</v>
      </c>
      <c r="Q850">
        <v>3.5</v>
      </c>
      <c r="R850" t="b">
        <v>1</v>
      </c>
      <c r="S850" t="s">
        <v>28</v>
      </c>
      <c r="T850">
        <v>1683</v>
      </c>
      <c r="U850" t="s">
        <v>65</v>
      </c>
      <c r="V850" t="s">
        <v>68</v>
      </c>
      <c r="W850" t="s">
        <v>53</v>
      </c>
    </row>
    <row r="851" spans="1:23" x14ac:dyDescent="0.3">
      <c r="A851">
        <v>3992</v>
      </c>
      <c r="B851" t="s">
        <v>146</v>
      </c>
      <c r="C851" s="1">
        <v>45529</v>
      </c>
      <c r="D851" s="1">
        <v>45621</v>
      </c>
      <c r="E851">
        <v>11.99</v>
      </c>
      <c r="F851">
        <v>417</v>
      </c>
      <c r="G851" t="s">
        <v>24</v>
      </c>
      <c r="H851">
        <v>2</v>
      </c>
      <c r="I851">
        <v>5</v>
      </c>
      <c r="J851" t="b">
        <v>1</v>
      </c>
      <c r="K851">
        <v>458</v>
      </c>
      <c r="L851">
        <v>145</v>
      </c>
      <c r="M851" t="s">
        <v>63</v>
      </c>
      <c r="N851" t="s">
        <v>40</v>
      </c>
      <c r="O851" t="s">
        <v>50</v>
      </c>
      <c r="P851">
        <v>91</v>
      </c>
      <c r="Q851">
        <v>3.3</v>
      </c>
      <c r="R851" t="b">
        <v>1</v>
      </c>
      <c r="S851" t="s">
        <v>28</v>
      </c>
      <c r="T851">
        <v>996</v>
      </c>
      <c r="U851" t="s">
        <v>57</v>
      </c>
      <c r="V851" t="s">
        <v>36</v>
      </c>
      <c r="W851" t="s">
        <v>37</v>
      </c>
    </row>
    <row r="852" spans="1:23" x14ac:dyDescent="0.3">
      <c r="A852">
        <v>6100</v>
      </c>
      <c r="B852" t="s">
        <v>294</v>
      </c>
      <c r="C852" s="1">
        <v>45467</v>
      </c>
      <c r="D852" s="1">
        <v>45616</v>
      </c>
      <c r="E852">
        <v>11.99</v>
      </c>
      <c r="F852">
        <v>191</v>
      </c>
      <c r="G852" t="s">
        <v>62</v>
      </c>
      <c r="H852">
        <v>1</v>
      </c>
      <c r="I852">
        <v>4</v>
      </c>
      <c r="J852" t="b">
        <v>0</v>
      </c>
      <c r="K852">
        <v>925</v>
      </c>
      <c r="L852">
        <v>124</v>
      </c>
      <c r="M852" t="s">
        <v>63</v>
      </c>
      <c r="N852" t="s">
        <v>64</v>
      </c>
      <c r="O852" t="s">
        <v>27</v>
      </c>
      <c r="P852">
        <v>37</v>
      </c>
      <c r="Q852">
        <v>4.0999999999999996</v>
      </c>
      <c r="R852" t="b">
        <v>0</v>
      </c>
      <c r="S852" t="s">
        <v>28</v>
      </c>
      <c r="T852">
        <v>608</v>
      </c>
      <c r="U852" t="s">
        <v>29</v>
      </c>
      <c r="V852" t="s">
        <v>52</v>
      </c>
      <c r="W852" t="s">
        <v>37</v>
      </c>
    </row>
    <row r="853" spans="1:23" x14ac:dyDescent="0.3">
      <c r="A853">
        <v>8495</v>
      </c>
      <c r="B853" t="s">
        <v>378</v>
      </c>
      <c r="C853" s="1">
        <v>45300</v>
      </c>
      <c r="D853" s="1">
        <v>45622</v>
      </c>
      <c r="E853">
        <v>7.99</v>
      </c>
      <c r="F853">
        <v>460</v>
      </c>
      <c r="G853" t="s">
        <v>62</v>
      </c>
      <c r="H853">
        <v>5</v>
      </c>
      <c r="I853">
        <v>2</v>
      </c>
      <c r="J853" t="b">
        <v>0</v>
      </c>
      <c r="K853">
        <v>559</v>
      </c>
      <c r="L853">
        <v>136</v>
      </c>
      <c r="M853" t="s">
        <v>74</v>
      </c>
      <c r="N853" t="s">
        <v>49</v>
      </c>
      <c r="O853" t="s">
        <v>34</v>
      </c>
      <c r="P853">
        <v>58</v>
      </c>
      <c r="Q853">
        <v>3.6</v>
      </c>
      <c r="R853" t="b">
        <v>0</v>
      </c>
      <c r="S853" t="s">
        <v>28</v>
      </c>
      <c r="T853">
        <v>4650</v>
      </c>
      <c r="U853" t="s">
        <v>35</v>
      </c>
      <c r="V853" t="s">
        <v>68</v>
      </c>
      <c r="W853" t="s">
        <v>53</v>
      </c>
    </row>
    <row r="854" spans="1:23" x14ac:dyDescent="0.3">
      <c r="A854">
        <v>3083</v>
      </c>
      <c r="B854" t="s">
        <v>352</v>
      </c>
      <c r="C854" s="1">
        <v>45174</v>
      </c>
      <c r="D854" s="1">
        <v>45639</v>
      </c>
      <c r="E854">
        <v>7.99</v>
      </c>
      <c r="F854">
        <v>413</v>
      </c>
      <c r="G854" t="s">
        <v>46</v>
      </c>
      <c r="H854">
        <v>5</v>
      </c>
      <c r="I854">
        <v>5</v>
      </c>
      <c r="J854" t="b">
        <v>1</v>
      </c>
      <c r="K854">
        <v>895</v>
      </c>
      <c r="L854">
        <v>3</v>
      </c>
      <c r="M854" t="s">
        <v>25</v>
      </c>
      <c r="N854" t="s">
        <v>49</v>
      </c>
      <c r="O854" t="s">
        <v>34</v>
      </c>
      <c r="P854">
        <v>87</v>
      </c>
      <c r="Q854">
        <v>3.2</v>
      </c>
      <c r="R854" t="b">
        <v>1</v>
      </c>
      <c r="S854" t="s">
        <v>28</v>
      </c>
      <c r="T854">
        <v>1340</v>
      </c>
      <c r="U854" t="s">
        <v>57</v>
      </c>
      <c r="V854" t="s">
        <v>30</v>
      </c>
      <c r="W854" t="s">
        <v>31</v>
      </c>
    </row>
    <row r="855" spans="1:23" x14ac:dyDescent="0.3">
      <c r="A855">
        <v>9936</v>
      </c>
      <c r="B855" t="s">
        <v>104</v>
      </c>
      <c r="C855" s="1">
        <v>45057</v>
      </c>
      <c r="D855" s="1">
        <v>45643</v>
      </c>
      <c r="E855">
        <v>7.99</v>
      </c>
      <c r="F855">
        <v>484</v>
      </c>
      <c r="G855" t="s">
        <v>24</v>
      </c>
      <c r="H855">
        <v>1</v>
      </c>
      <c r="I855">
        <v>6</v>
      </c>
      <c r="J855" t="b">
        <v>1</v>
      </c>
      <c r="K855">
        <v>570</v>
      </c>
      <c r="L855">
        <v>18</v>
      </c>
      <c r="M855" t="s">
        <v>63</v>
      </c>
      <c r="N855" t="s">
        <v>49</v>
      </c>
      <c r="O855" t="s">
        <v>27</v>
      </c>
      <c r="P855">
        <v>5</v>
      </c>
      <c r="Q855">
        <v>4.5999999999999996</v>
      </c>
      <c r="R855" t="b">
        <v>1</v>
      </c>
      <c r="S855" t="s">
        <v>28</v>
      </c>
      <c r="T855">
        <v>1821</v>
      </c>
      <c r="U855" t="s">
        <v>29</v>
      </c>
      <c r="V855" t="s">
        <v>36</v>
      </c>
      <c r="W855" t="s">
        <v>53</v>
      </c>
    </row>
    <row r="856" spans="1:23" x14ac:dyDescent="0.3">
      <c r="A856">
        <v>2418</v>
      </c>
      <c r="B856" t="s">
        <v>125</v>
      </c>
      <c r="C856" s="1">
        <v>45539</v>
      </c>
      <c r="D856" s="1">
        <v>45615</v>
      </c>
      <c r="E856">
        <v>15.99</v>
      </c>
      <c r="F856">
        <v>227</v>
      </c>
      <c r="G856" t="s">
        <v>79</v>
      </c>
      <c r="H856">
        <v>1</v>
      </c>
      <c r="I856">
        <v>4</v>
      </c>
      <c r="J856" t="b">
        <v>1</v>
      </c>
      <c r="K856">
        <v>187</v>
      </c>
      <c r="L856">
        <v>48</v>
      </c>
      <c r="M856" t="s">
        <v>25</v>
      </c>
      <c r="N856" t="s">
        <v>49</v>
      </c>
      <c r="O856" t="s">
        <v>67</v>
      </c>
      <c r="P856">
        <v>6</v>
      </c>
      <c r="Q856">
        <v>3.4</v>
      </c>
      <c r="R856" t="b">
        <v>1</v>
      </c>
      <c r="S856" t="s">
        <v>28</v>
      </c>
      <c r="T856">
        <v>3020</v>
      </c>
      <c r="U856" t="s">
        <v>57</v>
      </c>
      <c r="V856" t="s">
        <v>60</v>
      </c>
      <c r="W856" t="s">
        <v>37</v>
      </c>
    </row>
    <row r="857" spans="1:23" x14ac:dyDescent="0.3">
      <c r="A857">
        <v>4089</v>
      </c>
      <c r="B857" t="s">
        <v>88</v>
      </c>
      <c r="C857" s="1">
        <v>45634</v>
      </c>
      <c r="D857" s="1">
        <v>45643</v>
      </c>
      <c r="E857">
        <v>11.99</v>
      </c>
      <c r="F857">
        <v>313</v>
      </c>
      <c r="G857" t="s">
        <v>43</v>
      </c>
      <c r="H857">
        <v>5</v>
      </c>
      <c r="I857">
        <v>6</v>
      </c>
      <c r="J857" t="b">
        <v>1</v>
      </c>
      <c r="K857">
        <v>900</v>
      </c>
      <c r="L857">
        <v>135</v>
      </c>
      <c r="M857" t="s">
        <v>39</v>
      </c>
      <c r="N857" t="s">
        <v>40</v>
      </c>
      <c r="O857" t="s">
        <v>67</v>
      </c>
      <c r="P857">
        <v>87</v>
      </c>
      <c r="Q857">
        <v>4.8</v>
      </c>
      <c r="R857" t="b">
        <v>0</v>
      </c>
      <c r="S857" t="s">
        <v>28</v>
      </c>
      <c r="T857">
        <v>1243</v>
      </c>
      <c r="U857" t="s">
        <v>29</v>
      </c>
      <c r="V857" t="s">
        <v>68</v>
      </c>
      <c r="W857" t="s">
        <v>75</v>
      </c>
    </row>
    <row r="858" spans="1:23" x14ac:dyDescent="0.3">
      <c r="A858">
        <v>8876</v>
      </c>
      <c r="B858" t="s">
        <v>379</v>
      </c>
      <c r="C858" s="1">
        <v>45033</v>
      </c>
      <c r="D858" s="1">
        <v>45619</v>
      </c>
      <c r="E858">
        <v>11.99</v>
      </c>
      <c r="F858">
        <v>491</v>
      </c>
      <c r="G858" t="s">
        <v>55</v>
      </c>
      <c r="H858">
        <v>2</v>
      </c>
      <c r="I858">
        <v>3</v>
      </c>
      <c r="J858" t="b">
        <v>1</v>
      </c>
      <c r="K858">
        <v>194</v>
      </c>
      <c r="L858">
        <v>187</v>
      </c>
      <c r="M858" t="s">
        <v>48</v>
      </c>
      <c r="N858" t="s">
        <v>26</v>
      </c>
      <c r="O858" t="s">
        <v>67</v>
      </c>
      <c r="P858">
        <v>44</v>
      </c>
      <c r="Q858">
        <v>4.4000000000000004</v>
      </c>
      <c r="R858" t="b">
        <v>1</v>
      </c>
      <c r="S858" t="s">
        <v>28</v>
      </c>
      <c r="T858">
        <v>540</v>
      </c>
      <c r="U858" t="s">
        <v>29</v>
      </c>
      <c r="V858" t="s">
        <v>36</v>
      </c>
      <c r="W858" t="s">
        <v>75</v>
      </c>
    </row>
    <row r="859" spans="1:23" x14ac:dyDescent="0.3">
      <c r="A859">
        <v>3959</v>
      </c>
      <c r="B859" t="s">
        <v>229</v>
      </c>
      <c r="C859" s="1">
        <v>45286</v>
      </c>
      <c r="D859" s="1">
        <v>45642</v>
      </c>
      <c r="E859">
        <v>15.99</v>
      </c>
      <c r="F859">
        <v>50</v>
      </c>
      <c r="G859" t="s">
        <v>43</v>
      </c>
      <c r="H859">
        <v>4</v>
      </c>
      <c r="I859">
        <v>2</v>
      </c>
      <c r="J859" t="b">
        <v>1</v>
      </c>
      <c r="K859">
        <v>155</v>
      </c>
      <c r="L859">
        <v>115</v>
      </c>
      <c r="M859" t="s">
        <v>25</v>
      </c>
      <c r="N859" t="s">
        <v>40</v>
      </c>
      <c r="O859" t="s">
        <v>34</v>
      </c>
      <c r="P859">
        <v>92</v>
      </c>
      <c r="Q859">
        <v>4.3</v>
      </c>
      <c r="R859" t="b">
        <v>0</v>
      </c>
      <c r="S859" t="s">
        <v>28</v>
      </c>
      <c r="T859">
        <v>2583</v>
      </c>
      <c r="U859" t="s">
        <v>35</v>
      </c>
      <c r="V859" t="s">
        <v>60</v>
      </c>
      <c r="W859" t="s">
        <v>75</v>
      </c>
    </row>
    <row r="860" spans="1:23" x14ac:dyDescent="0.3">
      <c r="A860">
        <v>2011</v>
      </c>
      <c r="B860" t="s">
        <v>380</v>
      </c>
      <c r="C860" s="1">
        <v>45060</v>
      </c>
      <c r="D860" s="1">
        <v>45630</v>
      </c>
      <c r="E860">
        <v>7.99</v>
      </c>
      <c r="F860">
        <v>73</v>
      </c>
      <c r="G860" t="s">
        <v>79</v>
      </c>
      <c r="H860">
        <v>2</v>
      </c>
      <c r="I860">
        <v>1</v>
      </c>
      <c r="J860" t="b">
        <v>1</v>
      </c>
      <c r="K860">
        <v>184</v>
      </c>
      <c r="L860">
        <v>172</v>
      </c>
      <c r="M860" t="s">
        <v>48</v>
      </c>
      <c r="N860" t="s">
        <v>64</v>
      </c>
      <c r="O860" t="s">
        <v>56</v>
      </c>
      <c r="P860">
        <v>41</v>
      </c>
      <c r="Q860">
        <v>4.8</v>
      </c>
      <c r="R860" t="b">
        <v>0</v>
      </c>
      <c r="S860" t="s">
        <v>28</v>
      </c>
      <c r="T860">
        <v>3463</v>
      </c>
      <c r="U860" t="s">
        <v>29</v>
      </c>
      <c r="V860" t="s">
        <v>30</v>
      </c>
      <c r="W860" t="s">
        <v>53</v>
      </c>
    </row>
    <row r="861" spans="1:23" x14ac:dyDescent="0.3">
      <c r="A861">
        <v>7896</v>
      </c>
      <c r="B861" t="s">
        <v>109</v>
      </c>
      <c r="C861" s="1">
        <v>45462</v>
      </c>
      <c r="D861" s="1">
        <v>45625</v>
      </c>
      <c r="E861">
        <v>11.99</v>
      </c>
      <c r="F861">
        <v>139</v>
      </c>
      <c r="G861" t="s">
        <v>43</v>
      </c>
      <c r="H861">
        <v>4</v>
      </c>
      <c r="I861">
        <v>5</v>
      </c>
      <c r="J861" t="b">
        <v>1</v>
      </c>
      <c r="K861">
        <v>539</v>
      </c>
      <c r="L861">
        <v>152</v>
      </c>
      <c r="M861" t="s">
        <v>39</v>
      </c>
      <c r="N861" t="s">
        <v>40</v>
      </c>
      <c r="O861" t="s">
        <v>34</v>
      </c>
      <c r="P861">
        <v>48</v>
      </c>
      <c r="Q861">
        <v>3.8</v>
      </c>
      <c r="R861" t="b">
        <v>1</v>
      </c>
      <c r="S861" t="s">
        <v>28</v>
      </c>
      <c r="T861">
        <v>4130</v>
      </c>
      <c r="U861" t="s">
        <v>35</v>
      </c>
      <c r="V861" t="s">
        <v>30</v>
      </c>
      <c r="W861" t="s">
        <v>75</v>
      </c>
    </row>
    <row r="862" spans="1:23" x14ac:dyDescent="0.3">
      <c r="A862">
        <v>5495</v>
      </c>
      <c r="B862" t="s">
        <v>381</v>
      </c>
      <c r="C862" s="1">
        <v>45308</v>
      </c>
      <c r="D862" s="1">
        <v>45625</v>
      </c>
      <c r="E862">
        <v>11.99</v>
      </c>
      <c r="F862">
        <v>327</v>
      </c>
      <c r="G862" t="s">
        <v>46</v>
      </c>
      <c r="H862">
        <v>2</v>
      </c>
      <c r="I862">
        <v>6</v>
      </c>
      <c r="J862" t="b">
        <v>1</v>
      </c>
      <c r="K862">
        <v>182</v>
      </c>
      <c r="L862">
        <v>14</v>
      </c>
      <c r="M862" t="s">
        <v>25</v>
      </c>
      <c r="N862" t="s">
        <v>40</v>
      </c>
      <c r="O862" t="s">
        <v>67</v>
      </c>
      <c r="P862">
        <v>90</v>
      </c>
      <c r="Q862">
        <v>3.4</v>
      </c>
      <c r="R862" t="b">
        <v>0</v>
      </c>
      <c r="S862" t="s">
        <v>28</v>
      </c>
      <c r="T862">
        <v>3918</v>
      </c>
      <c r="U862" t="s">
        <v>57</v>
      </c>
      <c r="V862" t="s">
        <v>52</v>
      </c>
      <c r="W862" t="s">
        <v>31</v>
      </c>
    </row>
    <row r="863" spans="1:23" x14ac:dyDescent="0.3">
      <c r="A863">
        <v>6219</v>
      </c>
      <c r="B863" t="s">
        <v>200</v>
      </c>
      <c r="C863" s="1">
        <v>45495</v>
      </c>
      <c r="D863" s="1">
        <v>45642</v>
      </c>
      <c r="E863">
        <v>11.99</v>
      </c>
      <c r="F863">
        <v>206</v>
      </c>
      <c r="G863" t="s">
        <v>33</v>
      </c>
      <c r="H863">
        <v>4</v>
      </c>
      <c r="I863">
        <v>1</v>
      </c>
      <c r="J863" t="b">
        <v>0</v>
      </c>
      <c r="K863">
        <v>981</v>
      </c>
      <c r="L863">
        <v>60</v>
      </c>
      <c r="M863" t="s">
        <v>44</v>
      </c>
      <c r="N863" t="s">
        <v>26</v>
      </c>
      <c r="O863" t="s">
        <v>56</v>
      </c>
      <c r="P863">
        <v>41</v>
      </c>
      <c r="Q863">
        <v>4.4000000000000004</v>
      </c>
      <c r="R863" t="b">
        <v>1</v>
      </c>
      <c r="S863" t="s">
        <v>28</v>
      </c>
      <c r="T863">
        <v>4264</v>
      </c>
      <c r="U863" t="s">
        <v>35</v>
      </c>
      <c r="V863" t="s">
        <v>36</v>
      </c>
      <c r="W863" t="s">
        <v>31</v>
      </c>
    </row>
    <row r="864" spans="1:23" x14ac:dyDescent="0.3">
      <c r="A864">
        <v>4458</v>
      </c>
      <c r="B864" t="s">
        <v>382</v>
      </c>
      <c r="C864" s="1">
        <v>45225</v>
      </c>
      <c r="D864" s="1">
        <v>45616</v>
      </c>
      <c r="E864">
        <v>15.99</v>
      </c>
      <c r="F864">
        <v>23</v>
      </c>
      <c r="G864" t="s">
        <v>43</v>
      </c>
      <c r="H864">
        <v>3</v>
      </c>
      <c r="I864">
        <v>3</v>
      </c>
      <c r="J864" t="b">
        <v>1</v>
      </c>
      <c r="K864">
        <v>489</v>
      </c>
      <c r="L864">
        <v>7</v>
      </c>
      <c r="M864" t="s">
        <v>48</v>
      </c>
      <c r="N864" t="s">
        <v>40</v>
      </c>
      <c r="O864" t="s">
        <v>41</v>
      </c>
      <c r="P864">
        <v>54</v>
      </c>
      <c r="Q864">
        <v>4.5</v>
      </c>
      <c r="R864" t="b">
        <v>1</v>
      </c>
      <c r="S864" t="s">
        <v>28</v>
      </c>
      <c r="T864">
        <v>1485</v>
      </c>
      <c r="U864" t="s">
        <v>65</v>
      </c>
      <c r="V864" t="s">
        <v>52</v>
      </c>
      <c r="W864" t="s">
        <v>37</v>
      </c>
    </row>
    <row r="865" spans="1:23" x14ac:dyDescent="0.3">
      <c r="A865">
        <v>4115</v>
      </c>
      <c r="B865" t="s">
        <v>383</v>
      </c>
      <c r="C865" s="1">
        <v>45620</v>
      </c>
      <c r="D865" s="1">
        <v>45620</v>
      </c>
      <c r="E865">
        <v>15.99</v>
      </c>
      <c r="F865">
        <v>158</v>
      </c>
      <c r="G865" t="s">
        <v>62</v>
      </c>
      <c r="H865">
        <v>1</v>
      </c>
      <c r="I865">
        <v>5</v>
      </c>
      <c r="J865" t="b">
        <v>1</v>
      </c>
      <c r="K865">
        <v>603</v>
      </c>
      <c r="L865">
        <v>72</v>
      </c>
      <c r="M865" t="s">
        <v>48</v>
      </c>
      <c r="N865" t="s">
        <v>49</v>
      </c>
      <c r="O865" t="s">
        <v>27</v>
      </c>
      <c r="P865">
        <v>88</v>
      </c>
      <c r="Q865">
        <v>3.3</v>
      </c>
      <c r="R865" t="b">
        <v>0</v>
      </c>
      <c r="S865" t="s">
        <v>28</v>
      </c>
      <c r="T865">
        <v>3508</v>
      </c>
      <c r="U865" t="s">
        <v>51</v>
      </c>
      <c r="V865" t="s">
        <v>68</v>
      </c>
      <c r="W865" t="s">
        <v>75</v>
      </c>
    </row>
    <row r="866" spans="1:23" x14ac:dyDescent="0.3">
      <c r="A866">
        <v>6586</v>
      </c>
      <c r="B866" t="s">
        <v>372</v>
      </c>
      <c r="C866" s="1">
        <v>44952</v>
      </c>
      <c r="D866" s="1">
        <v>45641</v>
      </c>
      <c r="E866">
        <v>15.99</v>
      </c>
      <c r="F866">
        <v>459</v>
      </c>
      <c r="G866" t="s">
        <v>62</v>
      </c>
      <c r="H866">
        <v>2</v>
      </c>
      <c r="I866">
        <v>1</v>
      </c>
      <c r="J866" t="b">
        <v>0</v>
      </c>
      <c r="K866">
        <v>445</v>
      </c>
      <c r="L866">
        <v>153</v>
      </c>
      <c r="M866" t="s">
        <v>74</v>
      </c>
      <c r="N866" t="s">
        <v>26</v>
      </c>
      <c r="O866" t="s">
        <v>27</v>
      </c>
      <c r="P866">
        <v>13</v>
      </c>
      <c r="Q866">
        <v>4.2</v>
      </c>
      <c r="R866" t="b">
        <v>0</v>
      </c>
      <c r="S866" t="s">
        <v>28</v>
      </c>
      <c r="T866">
        <v>3433</v>
      </c>
      <c r="U866" t="s">
        <v>35</v>
      </c>
      <c r="V866" t="s">
        <v>60</v>
      </c>
      <c r="W866" t="s">
        <v>37</v>
      </c>
    </row>
    <row r="867" spans="1:23" x14ac:dyDescent="0.3">
      <c r="A867">
        <v>3985</v>
      </c>
      <c r="B867" t="s">
        <v>187</v>
      </c>
      <c r="C867" s="1">
        <v>45455</v>
      </c>
      <c r="D867" s="1">
        <v>45638</v>
      </c>
      <c r="E867">
        <v>15.99</v>
      </c>
      <c r="F867">
        <v>30</v>
      </c>
      <c r="G867" t="s">
        <v>46</v>
      </c>
      <c r="H867">
        <v>4</v>
      </c>
      <c r="I867">
        <v>6</v>
      </c>
      <c r="J867" t="b">
        <v>0</v>
      </c>
      <c r="K867">
        <v>233</v>
      </c>
      <c r="L867">
        <v>10</v>
      </c>
      <c r="M867" t="s">
        <v>63</v>
      </c>
      <c r="N867" t="s">
        <v>64</v>
      </c>
      <c r="O867" t="s">
        <v>50</v>
      </c>
      <c r="P867">
        <v>71</v>
      </c>
      <c r="Q867">
        <v>4.5999999999999996</v>
      </c>
      <c r="R867" t="b">
        <v>0</v>
      </c>
      <c r="S867" t="s">
        <v>28</v>
      </c>
      <c r="T867">
        <v>3610</v>
      </c>
      <c r="U867" t="s">
        <v>29</v>
      </c>
      <c r="V867" t="s">
        <v>60</v>
      </c>
      <c r="W867" t="s">
        <v>31</v>
      </c>
    </row>
    <row r="868" spans="1:23" x14ac:dyDescent="0.3">
      <c r="A868">
        <v>8501</v>
      </c>
      <c r="B868" t="s">
        <v>82</v>
      </c>
      <c r="C868" s="1">
        <v>45390</v>
      </c>
      <c r="D868" s="1">
        <v>45615</v>
      </c>
      <c r="E868">
        <v>11.99</v>
      </c>
      <c r="F868">
        <v>42</v>
      </c>
      <c r="G868" t="s">
        <v>46</v>
      </c>
      <c r="H868">
        <v>5</v>
      </c>
      <c r="I868">
        <v>2</v>
      </c>
      <c r="J868" t="b">
        <v>1</v>
      </c>
      <c r="K868">
        <v>464</v>
      </c>
      <c r="L868">
        <v>171</v>
      </c>
      <c r="M868" t="s">
        <v>25</v>
      </c>
      <c r="N868" t="s">
        <v>64</v>
      </c>
      <c r="O868" t="s">
        <v>56</v>
      </c>
      <c r="P868">
        <v>88</v>
      </c>
      <c r="Q868">
        <v>4.5999999999999996</v>
      </c>
      <c r="R868" t="b">
        <v>1</v>
      </c>
      <c r="S868" t="s">
        <v>28</v>
      </c>
      <c r="T868">
        <v>3307</v>
      </c>
      <c r="U868" t="s">
        <v>51</v>
      </c>
      <c r="V868" t="s">
        <v>52</v>
      </c>
      <c r="W868" t="s">
        <v>53</v>
      </c>
    </row>
    <row r="869" spans="1:23" x14ac:dyDescent="0.3">
      <c r="A869">
        <v>4048</v>
      </c>
      <c r="B869" t="s">
        <v>125</v>
      </c>
      <c r="C869" s="1">
        <v>45445</v>
      </c>
      <c r="D869" s="1">
        <v>45643</v>
      </c>
      <c r="E869">
        <v>11.99</v>
      </c>
      <c r="F869">
        <v>242</v>
      </c>
      <c r="G869" t="s">
        <v>55</v>
      </c>
      <c r="H869">
        <v>3</v>
      </c>
      <c r="I869">
        <v>1</v>
      </c>
      <c r="J869" t="b">
        <v>0</v>
      </c>
      <c r="K869">
        <v>273</v>
      </c>
      <c r="L869">
        <v>96</v>
      </c>
      <c r="M869" t="s">
        <v>63</v>
      </c>
      <c r="N869" t="s">
        <v>49</v>
      </c>
      <c r="O869" t="s">
        <v>67</v>
      </c>
      <c r="P869">
        <v>34</v>
      </c>
      <c r="Q869">
        <v>4.9000000000000004</v>
      </c>
      <c r="R869" t="b">
        <v>1</v>
      </c>
      <c r="S869" t="s">
        <v>28</v>
      </c>
      <c r="T869">
        <v>868</v>
      </c>
      <c r="U869" t="s">
        <v>51</v>
      </c>
      <c r="V869" t="s">
        <v>52</v>
      </c>
      <c r="W869" t="s">
        <v>53</v>
      </c>
    </row>
    <row r="870" spans="1:23" x14ac:dyDescent="0.3">
      <c r="A870">
        <v>4466</v>
      </c>
      <c r="B870" t="s">
        <v>99</v>
      </c>
      <c r="C870" s="1">
        <v>45571</v>
      </c>
      <c r="D870" s="1">
        <v>45623</v>
      </c>
      <c r="E870">
        <v>11.99</v>
      </c>
      <c r="F870">
        <v>25</v>
      </c>
      <c r="G870" t="s">
        <v>33</v>
      </c>
      <c r="H870">
        <v>5</v>
      </c>
      <c r="I870">
        <v>2</v>
      </c>
      <c r="J870" t="b">
        <v>0</v>
      </c>
      <c r="K870">
        <v>162</v>
      </c>
      <c r="L870">
        <v>147</v>
      </c>
      <c r="M870" t="s">
        <v>63</v>
      </c>
      <c r="N870" t="s">
        <v>40</v>
      </c>
      <c r="O870" t="s">
        <v>56</v>
      </c>
      <c r="P870">
        <v>82</v>
      </c>
      <c r="Q870">
        <v>4.3</v>
      </c>
      <c r="R870" t="b">
        <v>0</v>
      </c>
      <c r="S870" t="s">
        <v>28</v>
      </c>
      <c r="T870">
        <v>4358</v>
      </c>
      <c r="U870" t="s">
        <v>51</v>
      </c>
      <c r="V870" t="s">
        <v>36</v>
      </c>
      <c r="W870" t="s">
        <v>31</v>
      </c>
    </row>
    <row r="871" spans="1:23" x14ac:dyDescent="0.3">
      <c r="A871">
        <v>5479</v>
      </c>
      <c r="B871" t="s">
        <v>121</v>
      </c>
      <c r="C871" s="1">
        <v>44989</v>
      </c>
      <c r="D871" s="1">
        <v>45634</v>
      </c>
      <c r="E871">
        <v>7.99</v>
      </c>
      <c r="F871">
        <v>140</v>
      </c>
      <c r="G871" t="s">
        <v>79</v>
      </c>
      <c r="H871">
        <v>4</v>
      </c>
      <c r="I871">
        <v>4</v>
      </c>
      <c r="J871" t="b">
        <v>0</v>
      </c>
      <c r="K871">
        <v>218</v>
      </c>
      <c r="L871">
        <v>5</v>
      </c>
      <c r="M871" t="s">
        <v>48</v>
      </c>
      <c r="N871" t="s">
        <v>26</v>
      </c>
      <c r="O871" t="s">
        <v>67</v>
      </c>
      <c r="P871">
        <v>86</v>
      </c>
      <c r="Q871">
        <v>3.6</v>
      </c>
      <c r="R871" t="b">
        <v>0</v>
      </c>
      <c r="S871" t="s">
        <v>28</v>
      </c>
      <c r="T871">
        <v>4552</v>
      </c>
      <c r="U871" t="s">
        <v>35</v>
      </c>
      <c r="V871" t="s">
        <v>68</v>
      </c>
      <c r="W871" t="s">
        <v>31</v>
      </c>
    </row>
    <row r="872" spans="1:23" x14ac:dyDescent="0.3">
      <c r="A872">
        <v>2480</v>
      </c>
      <c r="B872" t="s">
        <v>341</v>
      </c>
      <c r="C872" s="1">
        <v>45164</v>
      </c>
      <c r="D872" s="1">
        <v>45643</v>
      </c>
      <c r="E872">
        <v>15.99</v>
      </c>
      <c r="F872">
        <v>192</v>
      </c>
      <c r="G872" t="s">
        <v>62</v>
      </c>
      <c r="H872">
        <v>5</v>
      </c>
      <c r="I872">
        <v>3</v>
      </c>
      <c r="J872" t="b">
        <v>0</v>
      </c>
      <c r="K872">
        <v>39</v>
      </c>
      <c r="L872">
        <v>18</v>
      </c>
      <c r="M872" t="s">
        <v>44</v>
      </c>
      <c r="N872" t="s">
        <v>64</v>
      </c>
      <c r="O872" t="s">
        <v>34</v>
      </c>
      <c r="P872">
        <v>75</v>
      </c>
      <c r="Q872">
        <v>3.3</v>
      </c>
      <c r="R872" t="b">
        <v>1</v>
      </c>
      <c r="S872" t="s">
        <v>28</v>
      </c>
      <c r="T872">
        <v>3003</v>
      </c>
      <c r="U872" t="s">
        <v>35</v>
      </c>
      <c r="V872" t="s">
        <v>52</v>
      </c>
      <c r="W872" t="s">
        <v>53</v>
      </c>
    </row>
    <row r="873" spans="1:23" x14ac:dyDescent="0.3">
      <c r="A873">
        <v>6288</v>
      </c>
      <c r="B873" t="s">
        <v>175</v>
      </c>
      <c r="C873" s="1">
        <v>45384</v>
      </c>
      <c r="D873" s="1">
        <v>45637</v>
      </c>
      <c r="E873">
        <v>15.99</v>
      </c>
      <c r="F873">
        <v>267</v>
      </c>
      <c r="G873" t="s">
        <v>79</v>
      </c>
      <c r="H873">
        <v>1</v>
      </c>
      <c r="I873">
        <v>2</v>
      </c>
      <c r="J873" t="b">
        <v>0</v>
      </c>
      <c r="K873">
        <v>107</v>
      </c>
      <c r="L873">
        <v>140</v>
      </c>
      <c r="M873" t="s">
        <v>59</v>
      </c>
      <c r="N873" t="s">
        <v>26</v>
      </c>
      <c r="O873" t="s">
        <v>67</v>
      </c>
      <c r="P873">
        <v>7</v>
      </c>
      <c r="Q873">
        <v>4.8</v>
      </c>
      <c r="R873" t="b">
        <v>0</v>
      </c>
      <c r="S873" t="s">
        <v>28</v>
      </c>
      <c r="T873">
        <v>783</v>
      </c>
      <c r="U873" t="s">
        <v>51</v>
      </c>
      <c r="V873" t="s">
        <v>36</v>
      </c>
      <c r="W873" t="s">
        <v>37</v>
      </c>
    </row>
    <row r="874" spans="1:23" x14ac:dyDescent="0.3">
      <c r="A874">
        <v>9973</v>
      </c>
      <c r="B874" t="s">
        <v>146</v>
      </c>
      <c r="C874" s="1">
        <v>45030</v>
      </c>
      <c r="D874" s="1">
        <v>45641</v>
      </c>
      <c r="E874">
        <v>11.99</v>
      </c>
      <c r="F874">
        <v>410</v>
      </c>
      <c r="G874" t="s">
        <v>79</v>
      </c>
      <c r="H874">
        <v>4</v>
      </c>
      <c r="I874">
        <v>4</v>
      </c>
      <c r="J874" t="b">
        <v>0</v>
      </c>
      <c r="K874">
        <v>513</v>
      </c>
      <c r="L874">
        <v>52</v>
      </c>
      <c r="M874" t="s">
        <v>39</v>
      </c>
      <c r="N874" t="s">
        <v>40</v>
      </c>
      <c r="O874" t="s">
        <v>67</v>
      </c>
      <c r="P874">
        <v>19</v>
      </c>
      <c r="Q874">
        <v>4.7</v>
      </c>
      <c r="R874" t="b">
        <v>0</v>
      </c>
      <c r="S874" t="s">
        <v>28</v>
      </c>
      <c r="T874">
        <v>3578</v>
      </c>
      <c r="U874" t="s">
        <v>51</v>
      </c>
      <c r="V874" t="s">
        <v>36</v>
      </c>
      <c r="W874" t="s">
        <v>31</v>
      </c>
    </row>
    <row r="875" spans="1:23" x14ac:dyDescent="0.3">
      <c r="A875">
        <v>6078</v>
      </c>
      <c r="B875" t="s">
        <v>335</v>
      </c>
      <c r="C875" s="1">
        <v>45558</v>
      </c>
      <c r="D875" s="1">
        <v>45641</v>
      </c>
      <c r="E875">
        <v>7.99</v>
      </c>
      <c r="F875">
        <v>281</v>
      </c>
      <c r="G875" t="s">
        <v>62</v>
      </c>
      <c r="H875">
        <v>4</v>
      </c>
      <c r="I875">
        <v>5</v>
      </c>
      <c r="J875" t="b">
        <v>0</v>
      </c>
      <c r="K875">
        <v>905</v>
      </c>
      <c r="L875">
        <v>128</v>
      </c>
      <c r="M875" t="s">
        <v>63</v>
      </c>
      <c r="N875" t="s">
        <v>64</v>
      </c>
      <c r="O875" t="s">
        <v>34</v>
      </c>
      <c r="P875">
        <v>70</v>
      </c>
      <c r="Q875">
        <v>4.3</v>
      </c>
      <c r="R875" t="b">
        <v>0</v>
      </c>
      <c r="S875" t="s">
        <v>28</v>
      </c>
      <c r="T875">
        <v>1952</v>
      </c>
      <c r="U875" t="s">
        <v>57</v>
      </c>
      <c r="V875" t="s">
        <v>52</v>
      </c>
      <c r="W875" t="s">
        <v>37</v>
      </c>
    </row>
    <row r="876" spans="1:23" x14ac:dyDescent="0.3">
      <c r="A876">
        <v>5362</v>
      </c>
      <c r="B876" t="s">
        <v>207</v>
      </c>
      <c r="C876" s="1">
        <v>45358</v>
      </c>
      <c r="D876" s="1">
        <v>45623</v>
      </c>
      <c r="E876">
        <v>15.99</v>
      </c>
      <c r="F876">
        <v>478</v>
      </c>
      <c r="G876" t="s">
        <v>62</v>
      </c>
      <c r="H876">
        <v>4</v>
      </c>
      <c r="I876">
        <v>3</v>
      </c>
      <c r="J876" t="b">
        <v>1</v>
      </c>
      <c r="K876">
        <v>551</v>
      </c>
      <c r="L876">
        <v>96</v>
      </c>
      <c r="M876" t="s">
        <v>44</v>
      </c>
      <c r="N876" t="s">
        <v>64</v>
      </c>
      <c r="O876" t="s">
        <v>50</v>
      </c>
      <c r="P876">
        <v>65</v>
      </c>
      <c r="Q876">
        <v>4.5999999999999996</v>
      </c>
      <c r="R876" t="b">
        <v>1</v>
      </c>
      <c r="S876" t="s">
        <v>28</v>
      </c>
      <c r="T876">
        <v>860</v>
      </c>
      <c r="U876" t="s">
        <v>57</v>
      </c>
      <c r="V876" t="s">
        <v>68</v>
      </c>
      <c r="W876" t="s">
        <v>53</v>
      </c>
    </row>
    <row r="877" spans="1:23" x14ac:dyDescent="0.3">
      <c r="A877">
        <v>1687</v>
      </c>
      <c r="B877" t="s">
        <v>92</v>
      </c>
      <c r="C877" s="1">
        <v>45401</v>
      </c>
      <c r="D877" s="1">
        <v>45620</v>
      </c>
      <c r="E877">
        <v>7.99</v>
      </c>
      <c r="F877">
        <v>44</v>
      </c>
      <c r="G877" t="s">
        <v>24</v>
      </c>
      <c r="H877">
        <v>4</v>
      </c>
      <c r="I877">
        <v>5</v>
      </c>
      <c r="J877" t="b">
        <v>1</v>
      </c>
      <c r="K877">
        <v>190</v>
      </c>
      <c r="L877">
        <v>193</v>
      </c>
      <c r="M877" t="s">
        <v>74</v>
      </c>
      <c r="N877" t="s">
        <v>26</v>
      </c>
      <c r="O877" t="s">
        <v>27</v>
      </c>
      <c r="P877">
        <v>13</v>
      </c>
      <c r="Q877">
        <v>3.1</v>
      </c>
      <c r="R877" t="b">
        <v>0</v>
      </c>
      <c r="S877" t="s">
        <v>28</v>
      </c>
      <c r="T877">
        <v>3</v>
      </c>
      <c r="U877" t="s">
        <v>57</v>
      </c>
      <c r="V877" t="s">
        <v>52</v>
      </c>
      <c r="W877" t="s">
        <v>31</v>
      </c>
    </row>
    <row r="878" spans="1:23" x14ac:dyDescent="0.3">
      <c r="A878">
        <v>8986</v>
      </c>
      <c r="B878" t="s">
        <v>249</v>
      </c>
      <c r="C878" s="1">
        <v>45627</v>
      </c>
      <c r="D878" s="1">
        <v>45642</v>
      </c>
      <c r="E878">
        <v>15.99</v>
      </c>
      <c r="F878">
        <v>250</v>
      </c>
      <c r="G878" t="s">
        <v>24</v>
      </c>
      <c r="H878">
        <v>1</v>
      </c>
      <c r="I878">
        <v>2</v>
      </c>
      <c r="J878" t="b">
        <v>1</v>
      </c>
      <c r="K878">
        <v>69</v>
      </c>
      <c r="L878">
        <v>35</v>
      </c>
      <c r="M878" t="s">
        <v>39</v>
      </c>
      <c r="N878" t="s">
        <v>49</v>
      </c>
      <c r="O878" t="s">
        <v>34</v>
      </c>
      <c r="P878">
        <v>13</v>
      </c>
      <c r="Q878">
        <v>3.3</v>
      </c>
      <c r="R878" t="b">
        <v>1</v>
      </c>
      <c r="S878" t="s">
        <v>28</v>
      </c>
      <c r="T878">
        <v>1836</v>
      </c>
      <c r="U878" t="s">
        <v>51</v>
      </c>
      <c r="V878" t="s">
        <v>36</v>
      </c>
      <c r="W878" t="s">
        <v>37</v>
      </c>
    </row>
    <row r="879" spans="1:23" x14ac:dyDescent="0.3">
      <c r="A879">
        <v>5994</v>
      </c>
      <c r="B879" t="s">
        <v>279</v>
      </c>
      <c r="C879" s="1">
        <v>45220</v>
      </c>
      <c r="D879" s="1">
        <v>45630</v>
      </c>
      <c r="E879">
        <v>7.99</v>
      </c>
      <c r="F879">
        <v>225</v>
      </c>
      <c r="G879" t="s">
        <v>33</v>
      </c>
      <c r="H879">
        <v>5</v>
      </c>
      <c r="I879">
        <v>5</v>
      </c>
      <c r="J879" t="b">
        <v>0</v>
      </c>
      <c r="K879">
        <v>274</v>
      </c>
      <c r="L879">
        <v>83</v>
      </c>
      <c r="M879" t="s">
        <v>44</v>
      </c>
      <c r="N879" t="s">
        <v>49</v>
      </c>
      <c r="O879" t="s">
        <v>34</v>
      </c>
      <c r="P879">
        <v>45</v>
      </c>
      <c r="Q879">
        <v>3.9</v>
      </c>
      <c r="R879" t="b">
        <v>0</v>
      </c>
      <c r="S879" t="s">
        <v>28</v>
      </c>
      <c r="T879">
        <v>808</v>
      </c>
      <c r="U879" t="s">
        <v>29</v>
      </c>
      <c r="V879" t="s">
        <v>30</v>
      </c>
      <c r="W879" t="s">
        <v>75</v>
      </c>
    </row>
    <row r="880" spans="1:23" x14ac:dyDescent="0.3">
      <c r="A880">
        <v>6293</v>
      </c>
      <c r="B880" t="s">
        <v>146</v>
      </c>
      <c r="C880" s="1">
        <v>45551</v>
      </c>
      <c r="D880" s="1">
        <v>45617</v>
      </c>
      <c r="E880">
        <v>15.99</v>
      </c>
      <c r="F880">
        <v>473</v>
      </c>
      <c r="G880" t="s">
        <v>43</v>
      </c>
      <c r="H880">
        <v>4</v>
      </c>
      <c r="I880">
        <v>4</v>
      </c>
      <c r="J880" t="b">
        <v>0</v>
      </c>
      <c r="K880">
        <v>605</v>
      </c>
      <c r="L880">
        <v>93</v>
      </c>
      <c r="M880" t="s">
        <v>63</v>
      </c>
      <c r="N880" t="s">
        <v>40</v>
      </c>
      <c r="O880" t="s">
        <v>41</v>
      </c>
      <c r="P880">
        <v>13</v>
      </c>
      <c r="Q880">
        <v>4.8</v>
      </c>
      <c r="R880" t="b">
        <v>0</v>
      </c>
      <c r="S880" t="s">
        <v>28</v>
      </c>
      <c r="T880">
        <v>2141</v>
      </c>
      <c r="U880" t="s">
        <v>35</v>
      </c>
      <c r="V880" t="s">
        <v>30</v>
      </c>
      <c r="W880" t="s">
        <v>31</v>
      </c>
    </row>
    <row r="881" spans="1:23" x14ac:dyDescent="0.3">
      <c r="A881">
        <v>7558</v>
      </c>
      <c r="B881" t="s">
        <v>228</v>
      </c>
      <c r="C881" s="1">
        <v>45609</v>
      </c>
      <c r="D881" s="1">
        <v>45634</v>
      </c>
      <c r="E881">
        <v>11.99</v>
      </c>
      <c r="F881">
        <v>236</v>
      </c>
      <c r="G881" t="s">
        <v>43</v>
      </c>
      <c r="H881">
        <v>1</v>
      </c>
      <c r="I881">
        <v>5</v>
      </c>
      <c r="J881" t="b">
        <v>1</v>
      </c>
      <c r="K881">
        <v>225</v>
      </c>
      <c r="L881">
        <v>94</v>
      </c>
      <c r="M881" t="s">
        <v>63</v>
      </c>
      <c r="N881" t="s">
        <v>40</v>
      </c>
      <c r="O881" t="s">
        <v>56</v>
      </c>
      <c r="P881">
        <v>61</v>
      </c>
      <c r="Q881">
        <v>3.7</v>
      </c>
      <c r="R881" t="b">
        <v>0</v>
      </c>
      <c r="S881" t="s">
        <v>28</v>
      </c>
      <c r="T881">
        <v>1254</v>
      </c>
      <c r="U881" t="s">
        <v>57</v>
      </c>
      <c r="V881" t="s">
        <v>30</v>
      </c>
      <c r="W881" t="s">
        <v>37</v>
      </c>
    </row>
    <row r="882" spans="1:23" x14ac:dyDescent="0.3">
      <c r="A882">
        <v>1805</v>
      </c>
      <c r="B882" t="s">
        <v>72</v>
      </c>
      <c r="C882" s="1">
        <v>44961</v>
      </c>
      <c r="D882" s="1">
        <v>45626</v>
      </c>
      <c r="E882">
        <v>11.99</v>
      </c>
      <c r="F882">
        <v>349</v>
      </c>
      <c r="G882" t="s">
        <v>62</v>
      </c>
      <c r="H882">
        <v>4</v>
      </c>
      <c r="I882">
        <v>4</v>
      </c>
      <c r="J882" t="b">
        <v>1</v>
      </c>
      <c r="K882">
        <v>386</v>
      </c>
      <c r="L882">
        <v>195</v>
      </c>
      <c r="M882" t="s">
        <v>25</v>
      </c>
      <c r="N882" t="s">
        <v>64</v>
      </c>
      <c r="O882" t="s">
        <v>34</v>
      </c>
      <c r="P882">
        <v>59</v>
      </c>
      <c r="Q882">
        <v>4.5999999999999996</v>
      </c>
      <c r="R882" t="b">
        <v>0</v>
      </c>
      <c r="S882" t="s">
        <v>28</v>
      </c>
      <c r="T882">
        <v>2864</v>
      </c>
      <c r="U882" t="s">
        <v>57</v>
      </c>
      <c r="V882" t="s">
        <v>30</v>
      </c>
      <c r="W882" t="s">
        <v>31</v>
      </c>
    </row>
    <row r="883" spans="1:23" x14ac:dyDescent="0.3">
      <c r="A883">
        <v>1661</v>
      </c>
      <c r="B883" t="s">
        <v>230</v>
      </c>
      <c r="C883" s="1">
        <v>45032</v>
      </c>
      <c r="D883" s="1">
        <v>45634</v>
      </c>
      <c r="E883">
        <v>15.99</v>
      </c>
      <c r="F883">
        <v>139</v>
      </c>
      <c r="G883" t="s">
        <v>62</v>
      </c>
      <c r="H883">
        <v>4</v>
      </c>
      <c r="I883">
        <v>5</v>
      </c>
      <c r="J883" t="b">
        <v>1</v>
      </c>
      <c r="K883">
        <v>442</v>
      </c>
      <c r="L883">
        <v>110</v>
      </c>
      <c r="M883" t="s">
        <v>39</v>
      </c>
      <c r="N883" t="s">
        <v>49</v>
      </c>
      <c r="O883" t="s">
        <v>27</v>
      </c>
      <c r="P883">
        <v>91</v>
      </c>
      <c r="Q883">
        <v>4.7</v>
      </c>
      <c r="R883" t="b">
        <v>1</v>
      </c>
      <c r="S883" t="s">
        <v>28</v>
      </c>
      <c r="T883">
        <v>4589</v>
      </c>
      <c r="U883" t="s">
        <v>29</v>
      </c>
      <c r="V883" t="s">
        <v>68</v>
      </c>
      <c r="W883" t="s">
        <v>37</v>
      </c>
    </row>
    <row r="884" spans="1:23" x14ac:dyDescent="0.3">
      <c r="A884">
        <v>8960</v>
      </c>
      <c r="B884" t="s">
        <v>352</v>
      </c>
      <c r="C884" s="1">
        <v>45307</v>
      </c>
      <c r="D884" s="1">
        <v>45628</v>
      </c>
      <c r="E884">
        <v>15.99</v>
      </c>
      <c r="F884">
        <v>278</v>
      </c>
      <c r="G884" t="s">
        <v>79</v>
      </c>
      <c r="H884">
        <v>3</v>
      </c>
      <c r="I884">
        <v>2</v>
      </c>
      <c r="J884" t="b">
        <v>1</v>
      </c>
      <c r="K884">
        <v>382</v>
      </c>
      <c r="L884">
        <v>25</v>
      </c>
      <c r="M884" t="s">
        <v>44</v>
      </c>
      <c r="N884" t="s">
        <v>26</v>
      </c>
      <c r="O884" t="s">
        <v>67</v>
      </c>
      <c r="P884">
        <v>72</v>
      </c>
      <c r="Q884">
        <v>4.4000000000000004</v>
      </c>
      <c r="R884" t="b">
        <v>0</v>
      </c>
      <c r="S884" t="s">
        <v>28</v>
      </c>
      <c r="T884">
        <v>2932</v>
      </c>
      <c r="U884" t="s">
        <v>29</v>
      </c>
      <c r="V884" t="s">
        <v>68</v>
      </c>
      <c r="W884" t="s">
        <v>75</v>
      </c>
    </row>
    <row r="885" spans="1:23" x14ac:dyDescent="0.3">
      <c r="A885">
        <v>6131</v>
      </c>
      <c r="B885" t="s">
        <v>69</v>
      </c>
      <c r="C885" s="1">
        <v>45503</v>
      </c>
      <c r="D885" s="1">
        <v>45643</v>
      </c>
      <c r="E885">
        <v>7.99</v>
      </c>
      <c r="F885">
        <v>242</v>
      </c>
      <c r="G885" t="s">
        <v>55</v>
      </c>
      <c r="H885">
        <v>5</v>
      </c>
      <c r="I885">
        <v>2</v>
      </c>
      <c r="J885" t="b">
        <v>1</v>
      </c>
      <c r="K885">
        <v>156</v>
      </c>
      <c r="L885">
        <v>166</v>
      </c>
      <c r="M885" t="s">
        <v>74</v>
      </c>
      <c r="N885" t="s">
        <v>64</v>
      </c>
      <c r="O885" t="s">
        <v>27</v>
      </c>
      <c r="P885">
        <v>53</v>
      </c>
      <c r="Q885">
        <v>5</v>
      </c>
      <c r="R885" t="b">
        <v>0</v>
      </c>
      <c r="S885" t="s">
        <v>28</v>
      </c>
      <c r="T885">
        <v>1697</v>
      </c>
      <c r="U885" t="s">
        <v>65</v>
      </c>
      <c r="V885" t="s">
        <v>52</v>
      </c>
      <c r="W885" t="s">
        <v>31</v>
      </c>
    </row>
    <row r="886" spans="1:23" x14ac:dyDescent="0.3">
      <c r="A886">
        <v>4114</v>
      </c>
      <c r="B886" t="s">
        <v>213</v>
      </c>
      <c r="C886" s="1">
        <v>45260</v>
      </c>
      <c r="D886" s="1">
        <v>45640</v>
      </c>
      <c r="E886">
        <v>11.99</v>
      </c>
      <c r="F886">
        <v>251</v>
      </c>
      <c r="G886" t="s">
        <v>55</v>
      </c>
      <c r="H886">
        <v>5</v>
      </c>
      <c r="I886">
        <v>6</v>
      </c>
      <c r="J886" t="b">
        <v>1</v>
      </c>
      <c r="K886">
        <v>687</v>
      </c>
      <c r="L886">
        <v>160</v>
      </c>
      <c r="M886" t="s">
        <v>48</v>
      </c>
      <c r="N886" t="s">
        <v>40</v>
      </c>
      <c r="O886" t="s">
        <v>56</v>
      </c>
      <c r="P886">
        <v>88</v>
      </c>
      <c r="Q886">
        <v>4.5</v>
      </c>
      <c r="R886" t="b">
        <v>0</v>
      </c>
      <c r="S886" t="s">
        <v>28</v>
      </c>
      <c r="T886">
        <v>1411</v>
      </c>
      <c r="U886" t="s">
        <v>65</v>
      </c>
      <c r="V886" t="s">
        <v>52</v>
      </c>
      <c r="W886" t="s">
        <v>37</v>
      </c>
    </row>
    <row r="887" spans="1:23" x14ac:dyDescent="0.3">
      <c r="A887">
        <v>4833</v>
      </c>
      <c r="B887" t="s">
        <v>98</v>
      </c>
      <c r="C887" s="1">
        <v>45395</v>
      </c>
      <c r="D887" s="1">
        <v>45636</v>
      </c>
      <c r="E887">
        <v>7.99</v>
      </c>
      <c r="F887">
        <v>268</v>
      </c>
      <c r="G887" t="s">
        <v>33</v>
      </c>
      <c r="H887">
        <v>4</v>
      </c>
      <c r="I887">
        <v>4</v>
      </c>
      <c r="J887" t="b">
        <v>1</v>
      </c>
      <c r="K887">
        <v>778</v>
      </c>
      <c r="L887">
        <v>122</v>
      </c>
      <c r="M887" t="s">
        <v>39</v>
      </c>
      <c r="N887" t="s">
        <v>49</v>
      </c>
      <c r="O887" t="s">
        <v>27</v>
      </c>
      <c r="P887">
        <v>12</v>
      </c>
      <c r="Q887">
        <v>3.8</v>
      </c>
      <c r="R887" t="b">
        <v>1</v>
      </c>
      <c r="S887" t="s">
        <v>28</v>
      </c>
      <c r="T887">
        <v>3437</v>
      </c>
      <c r="U887" t="s">
        <v>57</v>
      </c>
      <c r="V887" t="s">
        <v>36</v>
      </c>
      <c r="W887" t="s">
        <v>37</v>
      </c>
    </row>
    <row r="888" spans="1:23" x14ac:dyDescent="0.3">
      <c r="A888">
        <v>2401</v>
      </c>
      <c r="B888" t="s">
        <v>245</v>
      </c>
      <c r="C888" s="1">
        <v>45571</v>
      </c>
      <c r="D888" s="1">
        <v>45628</v>
      </c>
      <c r="E888">
        <v>7.99</v>
      </c>
      <c r="F888">
        <v>322</v>
      </c>
      <c r="G888" t="s">
        <v>62</v>
      </c>
      <c r="H888">
        <v>4</v>
      </c>
      <c r="I888">
        <v>6</v>
      </c>
      <c r="J888" t="b">
        <v>0</v>
      </c>
      <c r="K888">
        <v>616</v>
      </c>
      <c r="L888">
        <v>45</v>
      </c>
      <c r="M888" t="s">
        <v>63</v>
      </c>
      <c r="N888" t="s">
        <v>26</v>
      </c>
      <c r="O888" t="s">
        <v>50</v>
      </c>
      <c r="P888">
        <v>22</v>
      </c>
      <c r="Q888">
        <v>4.9000000000000004</v>
      </c>
      <c r="R888" t="b">
        <v>1</v>
      </c>
      <c r="S888" t="s">
        <v>28</v>
      </c>
      <c r="T888">
        <v>4509</v>
      </c>
      <c r="U888" t="s">
        <v>51</v>
      </c>
      <c r="V888" t="s">
        <v>30</v>
      </c>
      <c r="W888" t="s">
        <v>37</v>
      </c>
    </row>
    <row r="889" spans="1:23" x14ac:dyDescent="0.3">
      <c r="A889">
        <v>1037</v>
      </c>
      <c r="B889" t="s">
        <v>106</v>
      </c>
      <c r="C889" s="1">
        <v>45102</v>
      </c>
      <c r="D889" s="1">
        <v>45626</v>
      </c>
      <c r="E889">
        <v>7.99</v>
      </c>
      <c r="F889">
        <v>356</v>
      </c>
      <c r="G889" t="s">
        <v>46</v>
      </c>
      <c r="H889">
        <v>3</v>
      </c>
      <c r="I889">
        <v>3</v>
      </c>
      <c r="J889" t="b">
        <v>1</v>
      </c>
      <c r="K889">
        <v>314</v>
      </c>
      <c r="L889">
        <v>50</v>
      </c>
      <c r="M889" t="s">
        <v>39</v>
      </c>
      <c r="N889" t="s">
        <v>49</v>
      </c>
      <c r="O889" t="s">
        <v>41</v>
      </c>
      <c r="P889">
        <v>7</v>
      </c>
      <c r="Q889">
        <v>4.9000000000000004</v>
      </c>
      <c r="R889" t="b">
        <v>1</v>
      </c>
      <c r="S889" t="s">
        <v>28</v>
      </c>
      <c r="T889">
        <v>3165</v>
      </c>
      <c r="U889" t="s">
        <v>51</v>
      </c>
      <c r="V889" t="s">
        <v>36</v>
      </c>
      <c r="W889" t="s">
        <v>53</v>
      </c>
    </row>
    <row r="890" spans="1:23" x14ac:dyDescent="0.3">
      <c r="A890">
        <v>2675</v>
      </c>
      <c r="B890" t="s">
        <v>384</v>
      </c>
      <c r="C890" s="1">
        <v>44975</v>
      </c>
      <c r="D890" s="1">
        <v>45630</v>
      </c>
      <c r="E890">
        <v>15.99</v>
      </c>
      <c r="F890">
        <v>28</v>
      </c>
      <c r="G890" t="s">
        <v>46</v>
      </c>
      <c r="H890">
        <v>2</v>
      </c>
      <c r="I890">
        <v>1</v>
      </c>
      <c r="J890" t="b">
        <v>1</v>
      </c>
      <c r="K890">
        <v>666</v>
      </c>
      <c r="L890">
        <v>65</v>
      </c>
      <c r="M890" t="s">
        <v>74</v>
      </c>
      <c r="N890" t="s">
        <v>26</v>
      </c>
      <c r="O890" t="s">
        <v>34</v>
      </c>
      <c r="P890">
        <v>21</v>
      </c>
      <c r="Q890">
        <v>4.3</v>
      </c>
      <c r="R890" t="b">
        <v>0</v>
      </c>
      <c r="S890" t="s">
        <v>28</v>
      </c>
      <c r="T890">
        <v>2538</v>
      </c>
      <c r="U890" t="s">
        <v>35</v>
      </c>
      <c r="V890" t="s">
        <v>52</v>
      </c>
      <c r="W890" t="s">
        <v>31</v>
      </c>
    </row>
    <row r="891" spans="1:23" x14ac:dyDescent="0.3">
      <c r="A891">
        <v>1665</v>
      </c>
      <c r="B891" t="s">
        <v>93</v>
      </c>
      <c r="C891" s="1">
        <v>45350</v>
      </c>
      <c r="D891" s="1">
        <v>45643</v>
      </c>
      <c r="E891">
        <v>11.99</v>
      </c>
      <c r="F891">
        <v>43</v>
      </c>
      <c r="G891" t="s">
        <v>62</v>
      </c>
      <c r="H891">
        <v>5</v>
      </c>
      <c r="I891">
        <v>2</v>
      </c>
      <c r="J891" t="b">
        <v>0</v>
      </c>
      <c r="K891">
        <v>767</v>
      </c>
      <c r="L891">
        <v>83</v>
      </c>
      <c r="M891" t="s">
        <v>59</v>
      </c>
      <c r="N891" t="s">
        <v>64</v>
      </c>
      <c r="O891" t="s">
        <v>34</v>
      </c>
      <c r="P891">
        <v>58</v>
      </c>
      <c r="Q891">
        <v>3</v>
      </c>
      <c r="R891" t="b">
        <v>1</v>
      </c>
      <c r="S891" t="s">
        <v>28</v>
      </c>
      <c r="T891">
        <v>245</v>
      </c>
      <c r="U891" t="s">
        <v>35</v>
      </c>
      <c r="V891" t="s">
        <v>30</v>
      </c>
      <c r="W891" t="s">
        <v>75</v>
      </c>
    </row>
    <row r="892" spans="1:23" x14ac:dyDescent="0.3">
      <c r="A892">
        <v>5671</v>
      </c>
      <c r="B892" t="s">
        <v>177</v>
      </c>
      <c r="C892" s="1">
        <v>45073</v>
      </c>
      <c r="D892" s="1">
        <v>45625</v>
      </c>
      <c r="E892">
        <v>11.99</v>
      </c>
      <c r="F892">
        <v>391</v>
      </c>
      <c r="G892" t="s">
        <v>33</v>
      </c>
      <c r="H892">
        <v>3</v>
      </c>
      <c r="I892">
        <v>3</v>
      </c>
      <c r="J892" t="b">
        <v>1</v>
      </c>
      <c r="K892">
        <v>811</v>
      </c>
      <c r="L892">
        <v>3</v>
      </c>
      <c r="M892" t="s">
        <v>25</v>
      </c>
      <c r="N892" t="s">
        <v>26</v>
      </c>
      <c r="O892" t="s">
        <v>67</v>
      </c>
      <c r="P892">
        <v>17</v>
      </c>
      <c r="Q892">
        <v>4.2</v>
      </c>
      <c r="R892" t="b">
        <v>0</v>
      </c>
      <c r="S892" t="s">
        <v>28</v>
      </c>
      <c r="T892">
        <v>1364</v>
      </c>
      <c r="U892" t="s">
        <v>51</v>
      </c>
      <c r="V892" t="s">
        <v>30</v>
      </c>
      <c r="W892" t="s">
        <v>53</v>
      </c>
    </row>
    <row r="893" spans="1:23" x14ac:dyDescent="0.3">
      <c r="A893">
        <v>5153</v>
      </c>
      <c r="B893" t="s">
        <v>165</v>
      </c>
      <c r="C893" s="1">
        <v>45469</v>
      </c>
      <c r="D893" s="1">
        <v>45644</v>
      </c>
      <c r="E893">
        <v>7.99</v>
      </c>
      <c r="F893">
        <v>300</v>
      </c>
      <c r="G893" t="s">
        <v>43</v>
      </c>
      <c r="H893">
        <v>1</v>
      </c>
      <c r="I893">
        <v>4</v>
      </c>
      <c r="J893" t="b">
        <v>1</v>
      </c>
      <c r="K893">
        <v>413</v>
      </c>
      <c r="L893">
        <v>154</v>
      </c>
      <c r="M893" t="s">
        <v>39</v>
      </c>
      <c r="N893" t="s">
        <v>26</v>
      </c>
      <c r="O893" t="s">
        <v>67</v>
      </c>
      <c r="P893">
        <v>64</v>
      </c>
      <c r="Q893">
        <v>4.0999999999999996</v>
      </c>
      <c r="R893" t="b">
        <v>0</v>
      </c>
      <c r="S893" t="s">
        <v>28</v>
      </c>
      <c r="T893">
        <v>732</v>
      </c>
      <c r="U893" t="s">
        <v>35</v>
      </c>
      <c r="V893" t="s">
        <v>68</v>
      </c>
      <c r="W893" t="s">
        <v>37</v>
      </c>
    </row>
    <row r="894" spans="1:23" x14ac:dyDescent="0.3">
      <c r="A894">
        <v>1114</v>
      </c>
      <c r="B894" t="s">
        <v>203</v>
      </c>
      <c r="C894" s="1">
        <v>44928</v>
      </c>
      <c r="D894" s="1">
        <v>45641</v>
      </c>
      <c r="E894">
        <v>11.99</v>
      </c>
      <c r="F894">
        <v>75</v>
      </c>
      <c r="G894" t="s">
        <v>55</v>
      </c>
      <c r="H894">
        <v>3</v>
      </c>
      <c r="I894">
        <v>3</v>
      </c>
      <c r="J894" t="b">
        <v>0</v>
      </c>
      <c r="K894">
        <v>324</v>
      </c>
      <c r="L894">
        <v>175</v>
      </c>
      <c r="M894" t="s">
        <v>25</v>
      </c>
      <c r="N894" t="s">
        <v>40</v>
      </c>
      <c r="O894" t="s">
        <v>34</v>
      </c>
      <c r="P894">
        <v>18</v>
      </c>
      <c r="Q894">
        <v>3.3</v>
      </c>
      <c r="R894" t="b">
        <v>0</v>
      </c>
      <c r="S894" t="s">
        <v>28</v>
      </c>
      <c r="T894">
        <v>4976</v>
      </c>
      <c r="U894" t="s">
        <v>65</v>
      </c>
      <c r="V894" t="s">
        <v>60</v>
      </c>
      <c r="W894" t="s">
        <v>37</v>
      </c>
    </row>
    <row r="895" spans="1:23" x14ac:dyDescent="0.3">
      <c r="A895">
        <v>6180</v>
      </c>
      <c r="B895" t="s">
        <v>384</v>
      </c>
      <c r="C895" s="1">
        <v>45513</v>
      </c>
      <c r="D895" s="1">
        <v>45628</v>
      </c>
      <c r="E895">
        <v>11.99</v>
      </c>
      <c r="F895">
        <v>154</v>
      </c>
      <c r="G895" t="s">
        <v>79</v>
      </c>
      <c r="H895">
        <v>1</v>
      </c>
      <c r="I895">
        <v>5</v>
      </c>
      <c r="J895" t="b">
        <v>1</v>
      </c>
      <c r="K895">
        <v>52</v>
      </c>
      <c r="L895">
        <v>108</v>
      </c>
      <c r="M895" t="s">
        <v>63</v>
      </c>
      <c r="N895" t="s">
        <v>49</v>
      </c>
      <c r="O895" t="s">
        <v>34</v>
      </c>
      <c r="P895">
        <v>94</v>
      </c>
      <c r="Q895">
        <v>4.0999999999999996</v>
      </c>
      <c r="R895" t="b">
        <v>0</v>
      </c>
      <c r="S895" t="s">
        <v>28</v>
      </c>
      <c r="T895">
        <v>4176</v>
      </c>
      <c r="U895" t="s">
        <v>65</v>
      </c>
      <c r="V895" t="s">
        <v>52</v>
      </c>
      <c r="W895" t="s">
        <v>31</v>
      </c>
    </row>
    <row r="896" spans="1:23" x14ac:dyDescent="0.3">
      <c r="A896">
        <v>8237</v>
      </c>
      <c r="B896" t="s">
        <v>47</v>
      </c>
      <c r="C896" s="1">
        <v>45065</v>
      </c>
      <c r="D896" s="1">
        <v>45633</v>
      </c>
      <c r="E896">
        <v>7.99</v>
      </c>
      <c r="F896">
        <v>179</v>
      </c>
      <c r="G896" t="s">
        <v>62</v>
      </c>
      <c r="H896">
        <v>2</v>
      </c>
      <c r="I896">
        <v>6</v>
      </c>
      <c r="J896" t="b">
        <v>0</v>
      </c>
      <c r="K896">
        <v>680</v>
      </c>
      <c r="L896">
        <v>50</v>
      </c>
      <c r="M896" t="s">
        <v>25</v>
      </c>
      <c r="N896" t="s">
        <v>49</v>
      </c>
      <c r="O896" t="s">
        <v>56</v>
      </c>
      <c r="P896">
        <v>52</v>
      </c>
      <c r="Q896">
        <v>3.4</v>
      </c>
      <c r="R896" t="b">
        <v>0</v>
      </c>
      <c r="S896" t="s">
        <v>28</v>
      </c>
      <c r="T896">
        <v>2919</v>
      </c>
      <c r="U896" t="s">
        <v>29</v>
      </c>
      <c r="V896" t="s">
        <v>36</v>
      </c>
      <c r="W896" t="s">
        <v>31</v>
      </c>
    </row>
    <row r="897" spans="1:23" x14ac:dyDescent="0.3">
      <c r="A897">
        <v>9500</v>
      </c>
      <c r="B897" t="s">
        <v>385</v>
      </c>
      <c r="C897" s="1">
        <v>45182</v>
      </c>
      <c r="D897" s="1">
        <v>45636</v>
      </c>
      <c r="E897">
        <v>11.99</v>
      </c>
      <c r="F897">
        <v>147</v>
      </c>
      <c r="G897" t="s">
        <v>46</v>
      </c>
      <c r="H897">
        <v>1</v>
      </c>
      <c r="I897">
        <v>1</v>
      </c>
      <c r="J897" t="b">
        <v>1</v>
      </c>
      <c r="K897">
        <v>780</v>
      </c>
      <c r="L897">
        <v>76</v>
      </c>
      <c r="M897" t="s">
        <v>25</v>
      </c>
      <c r="N897" t="s">
        <v>49</v>
      </c>
      <c r="O897" t="s">
        <v>41</v>
      </c>
      <c r="P897">
        <v>21</v>
      </c>
      <c r="Q897">
        <v>4.4000000000000004</v>
      </c>
      <c r="R897" t="b">
        <v>1</v>
      </c>
      <c r="S897" t="s">
        <v>28</v>
      </c>
      <c r="T897">
        <v>3081</v>
      </c>
      <c r="U897" t="s">
        <v>65</v>
      </c>
      <c r="V897" t="s">
        <v>36</v>
      </c>
      <c r="W897" t="s">
        <v>31</v>
      </c>
    </row>
    <row r="898" spans="1:23" x14ac:dyDescent="0.3">
      <c r="A898">
        <v>7476</v>
      </c>
      <c r="B898" t="s">
        <v>32</v>
      </c>
      <c r="C898" s="1">
        <v>45093</v>
      </c>
      <c r="D898" s="1">
        <v>45623</v>
      </c>
      <c r="E898">
        <v>11.99</v>
      </c>
      <c r="F898">
        <v>235</v>
      </c>
      <c r="G898" t="s">
        <v>55</v>
      </c>
      <c r="H898">
        <v>3</v>
      </c>
      <c r="I898">
        <v>1</v>
      </c>
      <c r="J898" t="b">
        <v>1</v>
      </c>
      <c r="K898">
        <v>569</v>
      </c>
      <c r="L898">
        <v>176</v>
      </c>
      <c r="M898" t="s">
        <v>74</v>
      </c>
      <c r="N898" t="s">
        <v>40</v>
      </c>
      <c r="O898" t="s">
        <v>67</v>
      </c>
      <c r="P898">
        <v>18</v>
      </c>
      <c r="Q898">
        <v>3.8</v>
      </c>
      <c r="R898" t="b">
        <v>1</v>
      </c>
      <c r="S898" t="s">
        <v>28</v>
      </c>
      <c r="T898">
        <v>3138</v>
      </c>
      <c r="U898" t="s">
        <v>35</v>
      </c>
      <c r="V898" t="s">
        <v>30</v>
      </c>
      <c r="W898" t="s">
        <v>75</v>
      </c>
    </row>
    <row r="899" spans="1:23" x14ac:dyDescent="0.3">
      <c r="A899">
        <v>9908</v>
      </c>
      <c r="B899" t="s">
        <v>346</v>
      </c>
      <c r="C899" s="1">
        <v>44929</v>
      </c>
      <c r="D899" s="1">
        <v>45630</v>
      </c>
      <c r="E899">
        <v>11.99</v>
      </c>
      <c r="F899">
        <v>390</v>
      </c>
      <c r="G899" t="s">
        <v>79</v>
      </c>
      <c r="H899">
        <v>3</v>
      </c>
      <c r="I899">
        <v>1</v>
      </c>
      <c r="J899" t="b">
        <v>0</v>
      </c>
      <c r="K899">
        <v>256</v>
      </c>
      <c r="L899">
        <v>183</v>
      </c>
      <c r="M899" t="s">
        <v>63</v>
      </c>
      <c r="N899" t="s">
        <v>49</v>
      </c>
      <c r="O899" t="s">
        <v>34</v>
      </c>
      <c r="P899">
        <v>89</v>
      </c>
      <c r="Q899">
        <v>3.2</v>
      </c>
      <c r="R899" t="b">
        <v>1</v>
      </c>
      <c r="S899" t="s">
        <v>28</v>
      </c>
      <c r="T899">
        <v>1180</v>
      </c>
      <c r="U899" t="s">
        <v>51</v>
      </c>
      <c r="V899" t="s">
        <v>60</v>
      </c>
      <c r="W899" t="s">
        <v>37</v>
      </c>
    </row>
    <row r="900" spans="1:23" x14ac:dyDescent="0.3">
      <c r="A900">
        <v>1534</v>
      </c>
      <c r="B900" t="s">
        <v>47</v>
      </c>
      <c r="C900" s="1">
        <v>45495</v>
      </c>
      <c r="D900" s="1">
        <v>45644</v>
      </c>
      <c r="E900">
        <v>7.99</v>
      </c>
      <c r="F900">
        <v>116</v>
      </c>
      <c r="G900" t="s">
        <v>24</v>
      </c>
      <c r="H900">
        <v>1</v>
      </c>
      <c r="I900">
        <v>4</v>
      </c>
      <c r="J900" t="b">
        <v>0</v>
      </c>
      <c r="K900">
        <v>799</v>
      </c>
      <c r="L900">
        <v>137</v>
      </c>
      <c r="M900" t="s">
        <v>25</v>
      </c>
      <c r="N900" t="s">
        <v>49</v>
      </c>
      <c r="O900" t="s">
        <v>41</v>
      </c>
      <c r="P900">
        <v>78</v>
      </c>
      <c r="Q900">
        <v>4.5999999999999996</v>
      </c>
      <c r="R900" t="b">
        <v>1</v>
      </c>
      <c r="S900" t="s">
        <v>28</v>
      </c>
      <c r="T900">
        <v>4518</v>
      </c>
      <c r="U900" t="s">
        <v>35</v>
      </c>
      <c r="V900" t="s">
        <v>68</v>
      </c>
      <c r="W900" t="s">
        <v>37</v>
      </c>
    </row>
    <row r="901" spans="1:23" x14ac:dyDescent="0.3">
      <c r="A901">
        <v>4613</v>
      </c>
      <c r="B901" t="s">
        <v>85</v>
      </c>
      <c r="C901" s="1">
        <v>44988</v>
      </c>
      <c r="D901" s="1">
        <v>45630</v>
      </c>
      <c r="E901">
        <v>15.99</v>
      </c>
      <c r="F901">
        <v>492</v>
      </c>
      <c r="G901" t="s">
        <v>24</v>
      </c>
      <c r="H901">
        <v>1</v>
      </c>
      <c r="I901">
        <v>2</v>
      </c>
      <c r="J901" t="b">
        <v>0</v>
      </c>
      <c r="K901">
        <v>237</v>
      </c>
      <c r="L901">
        <v>55</v>
      </c>
      <c r="M901" t="s">
        <v>59</v>
      </c>
      <c r="N901" t="s">
        <v>64</v>
      </c>
      <c r="O901" t="s">
        <v>41</v>
      </c>
      <c r="P901">
        <v>15</v>
      </c>
      <c r="Q901">
        <v>4.9000000000000004</v>
      </c>
      <c r="R901" t="b">
        <v>1</v>
      </c>
      <c r="S901" t="s">
        <v>28</v>
      </c>
      <c r="T901">
        <v>3843</v>
      </c>
      <c r="U901" t="s">
        <v>29</v>
      </c>
      <c r="V901" t="s">
        <v>30</v>
      </c>
      <c r="W901" t="s">
        <v>37</v>
      </c>
    </row>
    <row r="902" spans="1:23" x14ac:dyDescent="0.3">
      <c r="A902">
        <v>5063</v>
      </c>
      <c r="B902" t="s">
        <v>278</v>
      </c>
      <c r="C902" s="1">
        <v>45447</v>
      </c>
      <c r="D902" s="1">
        <v>45618</v>
      </c>
      <c r="E902">
        <v>7.99</v>
      </c>
      <c r="F902">
        <v>159</v>
      </c>
      <c r="G902" t="s">
        <v>24</v>
      </c>
      <c r="H902">
        <v>4</v>
      </c>
      <c r="I902">
        <v>5</v>
      </c>
      <c r="J902" t="b">
        <v>1</v>
      </c>
      <c r="K902">
        <v>138</v>
      </c>
      <c r="L902">
        <v>3</v>
      </c>
      <c r="M902" t="s">
        <v>63</v>
      </c>
      <c r="N902" t="s">
        <v>40</v>
      </c>
      <c r="O902" t="s">
        <v>27</v>
      </c>
      <c r="P902">
        <v>12</v>
      </c>
      <c r="Q902">
        <v>3.9</v>
      </c>
      <c r="R902" t="b">
        <v>1</v>
      </c>
      <c r="S902" t="s">
        <v>28</v>
      </c>
      <c r="T902">
        <v>3604</v>
      </c>
      <c r="U902" t="s">
        <v>57</v>
      </c>
      <c r="V902" t="s">
        <v>36</v>
      </c>
      <c r="W902" t="s">
        <v>53</v>
      </c>
    </row>
    <row r="903" spans="1:23" x14ac:dyDescent="0.3">
      <c r="A903">
        <v>4548</v>
      </c>
      <c r="B903" t="s">
        <v>157</v>
      </c>
      <c r="C903" s="1">
        <v>45085</v>
      </c>
      <c r="D903" s="1">
        <v>45616</v>
      </c>
      <c r="E903">
        <v>7.99</v>
      </c>
      <c r="F903">
        <v>279</v>
      </c>
      <c r="G903" t="s">
        <v>79</v>
      </c>
      <c r="H903">
        <v>4</v>
      </c>
      <c r="I903">
        <v>6</v>
      </c>
      <c r="J903" t="b">
        <v>0</v>
      </c>
      <c r="K903">
        <v>636</v>
      </c>
      <c r="L903">
        <v>176</v>
      </c>
      <c r="M903" t="s">
        <v>74</v>
      </c>
      <c r="N903" t="s">
        <v>64</v>
      </c>
      <c r="O903" t="s">
        <v>67</v>
      </c>
      <c r="P903">
        <v>32</v>
      </c>
      <c r="Q903">
        <v>3.7</v>
      </c>
      <c r="R903" t="b">
        <v>1</v>
      </c>
      <c r="S903" t="s">
        <v>28</v>
      </c>
      <c r="T903">
        <v>4445</v>
      </c>
      <c r="U903" t="s">
        <v>29</v>
      </c>
      <c r="V903" t="s">
        <v>36</v>
      </c>
      <c r="W903" t="s">
        <v>75</v>
      </c>
    </row>
    <row r="904" spans="1:23" x14ac:dyDescent="0.3">
      <c r="A904">
        <v>7556</v>
      </c>
      <c r="B904" t="s">
        <v>330</v>
      </c>
      <c r="C904" s="1">
        <v>45490</v>
      </c>
      <c r="D904" s="1">
        <v>45622</v>
      </c>
      <c r="E904">
        <v>15.99</v>
      </c>
      <c r="F904">
        <v>386</v>
      </c>
      <c r="G904" t="s">
        <v>24</v>
      </c>
      <c r="H904">
        <v>2</v>
      </c>
      <c r="I904">
        <v>6</v>
      </c>
      <c r="J904" t="b">
        <v>1</v>
      </c>
      <c r="K904">
        <v>461</v>
      </c>
      <c r="L904">
        <v>178</v>
      </c>
      <c r="M904" t="s">
        <v>25</v>
      </c>
      <c r="N904" t="s">
        <v>64</v>
      </c>
      <c r="O904" t="s">
        <v>27</v>
      </c>
      <c r="P904">
        <v>79</v>
      </c>
      <c r="Q904">
        <v>3.7</v>
      </c>
      <c r="R904" t="b">
        <v>0</v>
      </c>
      <c r="S904" t="s">
        <v>28</v>
      </c>
      <c r="T904">
        <v>1587</v>
      </c>
      <c r="U904" t="s">
        <v>65</v>
      </c>
      <c r="V904" t="s">
        <v>30</v>
      </c>
      <c r="W904" t="s">
        <v>75</v>
      </c>
    </row>
    <row r="905" spans="1:23" x14ac:dyDescent="0.3">
      <c r="A905">
        <v>1846</v>
      </c>
      <c r="B905" t="s">
        <v>386</v>
      </c>
      <c r="C905" s="1">
        <v>45464</v>
      </c>
      <c r="D905" s="1">
        <v>45633</v>
      </c>
      <c r="E905">
        <v>15.99</v>
      </c>
      <c r="F905">
        <v>332</v>
      </c>
      <c r="G905" t="s">
        <v>43</v>
      </c>
      <c r="H905">
        <v>1</v>
      </c>
      <c r="I905">
        <v>6</v>
      </c>
      <c r="J905" t="b">
        <v>0</v>
      </c>
      <c r="K905">
        <v>20</v>
      </c>
      <c r="L905">
        <v>128</v>
      </c>
      <c r="M905" t="s">
        <v>59</v>
      </c>
      <c r="N905" t="s">
        <v>49</v>
      </c>
      <c r="O905" t="s">
        <v>56</v>
      </c>
      <c r="P905">
        <v>50</v>
      </c>
      <c r="Q905">
        <v>5</v>
      </c>
      <c r="R905" t="b">
        <v>0</v>
      </c>
      <c r="S905" t="s">
        <v>28</v>
      </c>
      <c r="T905">
        <v>4400</v>
      </c>
      <c r="U905" t="s">
        <v>51</v>
      </c>
      <c r="V905" t="s">
        <v>60</v>
      </c>
      <c r="W905" t="s">
        <v>31</v>
      </c>
    </row>
    <row r="906" spans="1:23" x14ac:dyDescent="0.3">
      <c r="A906">
        <v>7088</v>
      </c>
      <c r="B906" t="s">
        <v>88</v>
      </c>
      <c r="C906" s="1">
        <v>45292</v>
      </c>
      <c r="D906" s="1">
        <v>45617</v>
      </c>
      <c r="E906">
        <v>11.99</v>
      </c>
      <c r="F906">
        <v>176</v>
      </c>
      <c r="G906" t="s">
        <v>46</v>
      </c>
      <c r="H906">
        <v>5</v>
      </c>
      <c r="I906">
        <v>5</v>
      </c>
      <c r="J906" t="b">
        <v>1</v>
      </c>
      <c r="K906">
        <v>276</v>
      </c>
      <c r="L906">
        <v>138</v>
      </c>
      <c r="M906" t="s">
        <v>59</v>
      </c>
      <c r="N906" t="s">
        <v>26</v>
      </c>
      <c r="O906" t="s">
        <v>50</v>
      </c>
      <c r="P906">
        <v>56</v>
      </c>
      <c r="Q906">
        <v>4.7</v>
      </c>
      <c r="R906" t="b">
        <v>0</v>
      </c>
      <c r="S906" t="s">
        <v>28</v>
      </c>
      <c r="T906">
        <v>2891</v>
      </c>
      <c r="U906" t="s">
        <v>29</v>
      </c>
      <c r="V906" t="s">
        <v>52</v>
      </c>
      <c r="W906" t="s">
        <v>53</v>
      </c>
    </row>
    <row r="907" spans="1:23" x14ac:dyDescent="0.3">
      <c r="A907">
        <v>1179</v>
      </c>
      <c r="B907" t="s">
        <v>242</v>
      </c>
      <c r="C907" s="1">
        <v>45450</v>
      </c>
      <c r="D907" s="1">
        <v>45644</v>
      </c>
      <c r="E907">
        <v>11.99</v>
      </c>
      <c r="F907">
        <v>221</v>
      </c>
      <c r="G907" t="s">
        <v>79</v>
      </c>
      <c r="H907">
        <v>4</v>
      </c>
      <c r="I907">
        <v>1</v>
      </c>
      <c r="J907" t="b">
        <v>1</v>
      </c>
      <c r="K907">
        <v>603</v>
      </c>
      <c r="L907">
        <v>141</v>
      </c>
      <c r="M907" t="s">
        <v>63</v>
      </c>
      <c r="N907" t="s">
        <v>64</v>
      </c>
      <c r="O907" t="s">
        <v>27</v>
      </c>
      <c r="P907">
        <v>44</v>
      </c>
      <c r="Q907">
        <v>3.3</v>
      </c>
      <c r="R907" t="b">
        <v>1</v>
      </c>
      <c r="S907" t="s">
        <v>28</v>
      </c>
      <c r="T907">
        <v>1363</v>
      </c>
      <c r="U907" t="s">
        <v>29</v>
      </c>
      <c r="V907" t="s">
        <v>30</v>
      </c>
      <c r="W907" t="s">
        <v>75</v>
      </c>
    </row>
    <row r="908" spans="1:23" x14ac:dyDescent="0.3">
      <c r="A908">
        <v>2190</v>
      </c>
      <c r="B908" t="s">
        <v>374</v>
      </c>
      <c r="C908" s="1">
        <v>45291</v>
      </c>
      <c r="D908" s="1">
        <v>45631</v>
      </c>
      <c r="E908">
        <v>7.99</v>
      </c>
      <c r="F908">
        <v>263</v>
      </c>
      <c r="G908" t="s">
        <v>55</v>
      </c>
      <c r="H908">
        <v>4</v>
      </c>
      <c r="I908">
        <v>1</v>
      </c>
      <c r="J908" t="b">
        <v>1</v>
      </c>
      <c r="K908">
        <v>799</v>
      </c>
      <c r="L908">
        <v>14</v>
      </c>
      <c r="M908" t="s">
        <v>25</v>
      </c>
      <c r="N908" t="s">
        <v>49</v>
      </c>
      <c r="O908" t="s">
        <v>41</v>
      </c>
      <c r="P908">
        <v>32</v>
      </c>
      <c r="Q908">
        <v>3.3</v>
      </c>
      <c r="R908" t="b">
        <v>0</v>
      </c>
      <c r="S908" t="s">
        <v>28</v>
      </c>
      <c r="T908">
        <v>2323</v>
      </c>
      <c r="U908" t="s">
        <v>51</v>
      </c>
      <c r="V908" t="s">
        <v>68</v>
      </c>
      <c r="W908" t="s">
        <v>37</v>
      </c>
    </row>
    <row r="909" spans="1:23" x14ac:dyDescent="0.3">
      <c r="A909">
        <v>2847</v>
      </c>
      <c r="B909" t="s">
        <v>78</v>
      </c>
      <c r="C909" s="1">
        <v>45192</v>
      </c>
      <c r="D909" s="1">
        <v>45623</v>
      </c>
      <c r="E909">
        <v>15.99</v>
      </c>
      <c r="F909">
        <v>222</v>
      </c>
      <c r="G909" t="s">
        <v>46</v>
      </c>
      <c r="H909">
        <v>1</v>
      </c>
      <c r="I909">
        <v>3</v>
      </c>
      <c r="J909" t="b">
        <v>0</v>
      </c>
      <c r="K909">
        <v>785</v>
      </c>
      <c r="L909">
        <v>147</v>
      </c>
      <c r="M909" t="s">
        <v>74</v>
      </c>
      <c r="N909" t="s">
        <v>49</v>
      </c>
      <c r="O909" t="s">
        <v>41</v>
      </c>
      <c r="P909">
        <v>21</v>
      </c>
      <c r="Q909">
        <v>4.8</v>
      </c>
      <c r="R909" t="b">
        <v>1</v>
      </c>
      <c r="S909" t="s">
        <v>28</v>
      </c>
      <c r="T909">
        <v>4291</v>
      </c>
      <c r="U909" t="s">
        <v>51</v>
      </c>
      <c r="V909" t="s">
        <v>60</v>
      </c>
      <c r="W909" t="s">
        <v>53</v>
      </c>
    </row>
    <row r="910" spans="1:23" x14ac:dyDescent="0.3">
      <c r="A910">
        <v>6570</v>
      </c>
      <c r="B910" t="s">
        <v>195</v>
      </c>
      <c r="C910" s="1">
        <v>45634</v>
      </c>
      <c r="D910" s="1">
        <v>45638</v>
      </c>
      <c r="E910">
        <v>11.99</v>
      </c>
      <c r="F910">
        <v>39</v>
      </c>
      <c r="G910" t="s">
        <v>79</v>
      </c>
      <c r="H910">
        <v>5</v>
      </c>
      <c r="I910">
        <v>3</v>
      </c>
      <c r="J910" t="b">
        <v>1</v>
      </c>
      <c r="K910">
        <v>28</v>
      </c>
      <c r="L910">
        <v>189</v>
      </c>
      <c r="M910" t="s">
        <v>39</v>
      </c>
      <c r="N910" t="s">
        <v>49</v>
      </c>
      <c r="O910" t="s">
        <v>67</v>
      </c>
      <c r="P910">
        <v>26</v>
      </c>
      <c r="Q910">
        <v>4.5999999999999996</v>
      </c>
      <c r="R910" t="b">
        <v>1</v>
      </c>
      <c r="S910" t="s">
        <v>28</v>
      </c>
      <c r="T910">
        <v>4938</v>
      </c>
      <c r="U910" t="s">
        <v>29</v>
      </c>
      <c r="V910" t="s">
        <v>68</v>
      </c>
      <c r="W910" t="s">
        <v>37</v>
      </c>
    </row>
    <row r="911" spans="1:23" x14ac:dyDescent="0.3">
      <c r="A911">
        <v>1149</v>
      </c>
      <c r="B911" t="s">
        <v>109</v>
      </c>
      <c r="C911" s="1">
        <v>45075</v>
      </c>
      <c r="D911" s="1">
        <v>45624</v>
      </c>
      <c r="E911">
        <v>11.99</v>
      </c>
      <c r="F911">
        <v>445</v>
      </c>
      <c r="G911" t="s">
        <v>24</v>
      </c>
      <c r="H911">
        <v>3</v>
      </c>
      <c r="I911">
        <v>2</v>
      </c>
      <c r="J911" t="b">
        <v>1</v>
      </c>
      <c r="K911">
        <v>637</v>
      </c>
      <c r="L911">
        <v>14</v>
      </c>
      <c r="M911" t="s">
        <v>25</v>
      </c>
      <c r="N911" t="s">
        <v>40</v>
      </c>
      <c r="O911" t="s">
        <v>67</v>
      </c>
      <c r="P911">
        <v>50</v>
      </c>
      <c r="Q911">
        <v>3.2</v>
      </c>
      <c r="R911" t="b">
        <v>1</v>
      </c>
      <c r="S911" t="s">
        <v>28</v>
      </c>
      <c r="T911">
        <v>913</v>
      </c>
      <c r="U911" t="s">
        <v>35</v>
      </c>
      <c r="V911" t="s">
        <v>60</v>
      </c>
      <c r="W911" t="s">
        <v>31</v>
      </c>
    </row>
    <row r="912" spans="1:23" x14ac:dyDescent="0.3">
      <c r="A912">
        <v>1336</v>
      </c>
      <c r="B912" t="s">
        <v>108</v>
      </c>
      <c r="C912" s="1">
        <v>45407</v>
      </c>
      <c r="D912" s="1">
        <v>45636</v>
      </c>
      <c r="E912">
        <v>11.99</v>
      </c>
      <c r="F912">
        <v>164</v>
      </c>
      <c r="G912" t="s">
        <v>43</v>
      </c>
      <c r="H912">
        <v>3</v>
      </c>
      <c r="I912">
        <v>3</v>
      </c>
      <c r="J912" t="b">
        <v>1</v>
      </c>
      <c r="K912">
        <v>79</v>
      </c>
      <c r="L912">
        <v>130</v>
      </c>
      <c r="M912" t="s">
        <v>39</v>
      </c>
      <c r="N912" t="s">
        <v>26</v>
      </c>
      <c r="O912" t="s">
        <v>67</v>
      </c>
      <c r="P912">
        <v>47</v>
      </c>
      <c r="Q912">
        <v>3.9</v>
      </c>
      <c r="R912" t="b">
        <v>0</v>
      </c>
      <c r="S912" t="s">
        <v>28</v>
      </c>
      <c r="T912">
        <v>3925</v>
      </c>
      <c r="U912" t="s">
        <v>57</v>
      </c>
      <c r="V912" t="s">
        <v>68</v>
      </c>
      <c r="W912" t="s">
        <v>53</v>
      </c>
    </row>
    <row r="913" spans="1:23" x14ac:dyDescent="0.3">
      <c r="A913">
        <v>6956</v>
      </c>
      <c r="B913" t="s">
        <v>188</v>
      </c>
      <c r="C913" s="1">
        <v>45343</v>
      </c>
      <c r="D913" s="1">
        <v>45620</v>
      </c>
      <c r="E913">
        <v>15.99</v>
      </c>
      <c r="F913">
        <v>101</v>
      </c>
      <c r="G913" t="s">
        <v>43</v>
      </c>
      <c r="H913">
        <v>5</v>
      </c>
      <c r="I913">
        <v>1</v>
      </c>
      <c r="J913" t="b">
        <v>1</v>
      </c>
      <c r="K913">
        <v>175</v>
      </c>
      <c r="L913">
        <v>125</v>
      </c>
      <c r="M913" t="s">
        <v>48</v>
      </c>
      <c r="N913" t="s">
        <v>40</v>
      </c>
      <c r="O913" t="s">
        <v>41</v>
      </c>
      <c r="P913">
        <v>44</v>
      </c>
      <c r="Q913">
        <v>3.6</v>
      </c>
      <c r="R913" t="b">
        <v>1</v>
      </c>
      <c r="S913" t="s">
        <v>28</v>
      </c>
      <c r="T913">
        <v>2517</v>
      </c>
      <c r="U913" t="s">
        <v>57</v>
      </c>
      <c r="V913" t="s">
        <v>68</v>
      </c>
      <c r="W913" t="s">
        <v>37</v>
      </c>
    </row>
    <row r="914" spans="1:23" x14ac:dyDescent="0.3">
      <c r="A914">
        <v>7015</v>
      </c>
      <c r="B914" t="s">
        <v>370</v>
      </c>
      <c r="C914" s="1">
        <v>45567</v>
      </c>
      <c r="D914" s="1">
        <v>45635</v>
      </c>
      <c r="E914">
        <v>11.99</v>
      </c>
      <c r="F914">
        <v>424</v>
      </c>
      <c r="G914" t="s">
        <v>33</v>
      </c>
      <c r="H914">
        <v>1</v>
      </c>
      <c r="I914">
        <v>3</v>
      </c>
      <c r="J914" t="b">
        <v>1</v>
      </c>
      <c r="K914">
        <v>684</v>
      </c>
      <c r="L914">
        <v>127</v>
      </c>
      <c r="M914" t="s">
        <v>63</v>
      </c>
      <c r="N914" t="s">
        <v>64</v>
      </c>
      <c r="O914" t="s">
        <v>41</v>
      </c>
      <c r="P914">
        <v>97</v>
      </c>
      <c r="Q914">
        <v>4.5999999999999996</v>
      </c>
      <c r="R914" t="b">
        <v>0</v>
      </c>
      <c r="S914" t="s">
        <v>28</v>
      </c>
      <c r="T914">
        <v>2070</v>
      </c>
      <c r="U914" t="s">
        <v>57</v>
      </c>
      <c r="V914" t="s">
        <v>36</v>
      </c>
      <c r="W914" t="s">
        <v>31</v>
      </c>
    </row>
    <row r="915" spans="1:23" x14ac:dyDescent="0.3">
      <c r="A915">
        <v>4104</v>
      </c>
      <c r="B915" t="s">
        <v>387</v>
      </c>
      <c r="C915" s="1">
        <v>45129</v>
      </c>
      <c r="D915" s="1">
        <v>45616</v>
      </c>
      <c r="E915">
        <v>15.99</v>
      </c>
      <c r="F915">
        <v>182</v>
      </c>
      <c r="G915" t="s">
        <v>43</v>
      </c>
      <c r="H915">
        <v>4</v>
      </c>
      <c r="I915">
        <v>5</v>
      </c>
      <c r="J915" t="b">
        <v>0</v>
      </c>
      <c r="K915">
        <v>247</v>
      </c>
      <c r="L915">
        <v>197</v>
      </c>
      <c r="M915" t="s">
        <v>25</v>
      </c>
      <c r="N915" t="s">
        <v>64</v>
      </c>
      <c r="O915" t="s">
        <v>67</v>
      </c>
      <c r="P915">
        <v>90</v>
      </c>
      <c r="Q915">
        <v>4.7</v>
      </c>
      <c r="R915" t="b">
        <v>0</v>
      </c>
      <c r="S915" t="s">
        <v>28</v>
      </c>
      <c r="T915">
        <v>4726</v>
      </c>
      <c r="U915" t="s">
        <v>57</v>
      </c>
      <c r="V915" t="s">
        <v>30</v>
      </c>
      <c r="W915" t="s">
        <v>37</v>
      </c>
    </row>
    <row r="916" spans="1:23" x14ac:dyDescent="0.3">
      <c r="A916">
        <v>9413</v>
      </c>
      <c r="B916" t="s">
        <v>93</v>
      </c>
      <c r="C916" s="1">
        <v>45165</v>
      </c>
      <c r="D916" s="1">
        <v>45629</v>
      </c>
      <c r="E916">
        <v>15.99</v>
      </c>
      <c r="F916">
        <v>115</v>
      </c>
      <c r="G916" t="s">
        <v>43</v>
      </c>
      <c r="H916">
        <v>2</v>
      </c>
      <c r="I916">
        <v>3</v>
      </c>
      <c r="J916" t="b">
        <v>1</v>
      </c>
      <c r="K916">
        <v>741</v>
      </c>
      <c r="L916">
        <v>68</v>
      </c>
      <c r="M916" t="s">
        <v>25</v>
      </c>
      <c r="N916" t="s">
        <v>64</v>
      </c>
      <c r="O916" t="s">
        <v>27</v>
      </c>
      <c r="P916">
        <v>30</v>
      </c>
      <c r="Q916">
        <v>5</v>
      </c>
      <c r="R916" t="b">
        <v>1</v>
      </c>
      <c r="S916" t="s">
        <v>28</v>
      </c>
      <c r="T916">
        <v>1536</v>
      </c>
      <c r="U916" t="s">
        <v>29</v>
      </c>
      <c r="V916" t="s">
        <v>30</v>
      </c>
      <c r="W916" t="s">
        <v>53</v>
      </c>
    </row>
    <row r="917" spans="1:23" x14ac:dyDescent="0.3">
      <c r="A917">
        <v>8300</v>
      </c>
      <c r="B917" t="s">
        <v>169</v>
      </c>
      <c r="C917" s="1">
        <v>45406</v>
      </c>
      <c r="D917" s="1">
        <v>45639</v>
      </c>
      <c r="E917">
        <v>15.99</v>
      </c>
      <c r="F917">
        <v>33</v>
      </c>
      <c r="G917" t="s">
        <v>46</v>
      </c>
      <c r="H917">
        <v>1</v>
      </c>
      <c r="I917">
        <v>4</v>
      </c>
      <c r="J917" t="b">
        <v>0</v>
      </c>
      <c r="K917">
        <v>623</v>
      </c>
      <c r="L917">
        <v>53</v>
      </c>
      <c r="M917" t="s">
        <v>39</v>
      </c>
      <c r="N917" t="s">
        <v>49</v>
      </c>
      <c r="O917" t="s">
        <v>56</v>
      </c>
      <c r="P917">
        <v>17</v>
      </c>
      <c r="Q917">
        <v>3.5</v>
      </c>
      <c r="R917" t="b">
        <v>0</v>
      </c>
      <c r="S917" t="s">
        <v>28</v>
      </c>
      <c r="T917">
        <v>2113</v>
      </c>
      <c r="U917" t="s">
        <v>35</v>
      </c>
      <c r="V917" t="s">
        <v>68</v>
      </c>
      <c r="W917" t="s">
        <v>75</v>
      </c>
    </row>
    <row r="918" spans="1:23" x14ac:dyDescent="0.3">
      <c r="A918">
        <v>5126</v>
      </c>
      <c r="B918" t="s">
        <v>176</v>
      </c>
      <c r="C918" s="1">
        <v>45418</v>
      </c>
      <c r="D918" s="1">
        <v>45629</v>
      </c>
      <c r="E918">
        <v>7.99</v>
      </c>
      <c r="F918">
        <v>259</v>
      </c>
      <c r="G918" t="s">
        <v>33</v>
      </c>
      <c r="H918">
        <v>1</v>
      </c>
      <c r="I918">
        <v>1</v>
      </c>
      <c r="J918" t="b">
        <v>1</v>
      </c>
      <c r="K918">
        <v>327</v>
      </c>
      <c r="L918">
        <v>76</v>
      </c>
      <c r="M918" t="s">
        <v>44</v>
      </c>
      <c r="N918" t="s">
        <v>26</v>
      </c>
      <c r="O918" t="s">
        <v>67</v>
      </c>
      <c r="P918">
        <v>9</v>
      </c>
      <c r="Q918">
        <v>4.3</v>
      </c>
      <c r="R918" t="b">
        <v>1</v>
      </c>
      <c r="S918" t="s">
        <v>28</v>
      </c>
      <c r="T918">
        <v>428</v>
      </c>
      <c r="U918" t="s">
        <v>65</v>
      </c>
      <c r="V918" t="s">
        <v>36</v>
      </c>
      <c r="W918" t="s">
        <v>75</v>
      </c>
    </row>
    <row r="919" spans="1:23" x14ac:dyDescent="0.3">
      <c r="A919">
        <v>1754</v>
      </c>
      <c r="B919" t="s">
        <v>61</v>
      </c>
      <c r="C919" s="1">
        <v>45456</v>
      </c>
      <c r="D919" s="1">
        <v>45616</v>
      </c>
      <c r="E919">
        <v>15.99</v>
      </c>
      <c r="F919">
        <v>309</v>
      </c>
      <c r="G919" t="s">
        <v>79</v>
      </c>
      <c r="H919">
        <v>5</v>
      </c>
      <c r="I919">
        <v>6</v>
      </c>
      <c r="J919" t="b">
        <v>0</v>
      </c>
      <c r="K919">
        <v>760</v>
      </c>
      <c r="L919">
        <v>72</v>
      </c>
      <c r="M919" t="s">
        <v>74</v>
      </c>
      <c r="N919" t="s">
        <v>49</v>
      </c>
      <c r="O919" t="s">
        <v>67</v>
      </c>
      <c r="P919">
        <v>91</v>
      </c>
      <c r="Q919">
        <v>4.8</v>
      </c>
      <c r="R919" t="b">
        <v>1</v>
      </c>
      <c r="S919" t="s">
        <v>28</v>
      </c>
      <c r="T919">
        <v>2336</v>
      </c>
      <c r="U919" t="s">
        <v>51</v>
      </c>
      <c r="V919" t="s">
        <v>60</v>
      </c>
      <c r="W919" t="s">
        <v>75</v>
      </c>
    </row>
    <row r="920" spans="1:23" x14ac:dyDescent="0.3">
      <c r="A920">
        <v>7089</v>
      </c>
      <c r="B920" t="s">
        <v>220</v>
      </c>
      <c r="C920" s="1">
        <v>44988</v>
      </c>
      <c r="D920" s="1">
        <v>45637</v>
      </c>
      <c r="E920">
        <v>7.99</v>
      </c>
      <c r="F920">
        <v>367</v>
      </c>
      <c r="G920" t="s">
        <v>79</v>
      </c>
      <c r="H920">
        <v>1</v>
      </c>
      <c r="I920">
        <v>3</v>
      </c>
      <c r="J920" t="b">
        <v>0</v>
      </c>
      <c r="K920">
        <v>522</v>
      </c>
      <c r="L920">
        <v>10</v>
      </c>
      <c r="M920" t="s">
        <v>25</v>
      </c>
      <c r="N920" t="s">
        <v>26</v>
      </c>
      <c r="O920" t="s">
        <v>41</v>
      </c>
      <c r="P920">
        <v>70</v>
      </c>
      <c r="Q920">
        <v>3.8</v>
      </c>
      <c r="R920" t="b">
        <v>0</v>
      </c>
      <c r="S920" t="s">
        <v>28</v>
      </c>
      <c r="T920">
        <v>2344</v>
      </c>
      <c r="U920" t="s">
        <v>35</v>
      </c>
      <c r="V920" t="s">
        <v>36</v>
      </c>
      <c r="W920" t="s">
        <v>53</v>
      </c>
    </row>
    <row r="921" spans="1:23" x14ac:dyDescent="0.3">
      <c r="A921">
        <v>1697</v>
      </c>
      <c r="B921" t="s">
        <v>81</v>
      </c>
      <c r="C921" s="1">
        <v>45190</v>
      </c>
      <c r="D921" s="1">
        <v>45623</v>
      </c>
      <c r="E921">
        <v>7.99</v>
      </c>
      <c r="F921">
        <v>472</v>
      </c>
      <c r="G921" t="s">
        <v>24</v>
      </c>
      <c r="H921">
        <v>5</v>
      </c>
      <c r="I921">
        <v>2</v>
      </c>
      <c r="J921" t="b">
        <v>1</v>
      </c>
      <c r="K921">
        <v>76</v>
      </c>
      <c r="L921">
        <v>157</v>
      </c>
      <c r="M921" t="s">
        <v>25</v>
      </c>
      <c r="N921" t="s">
        <v>40</v>
      </c>
      <c r="O921" t="s">
        <v>67</v>
      </c>
      <c r="P921">
        <v>6</v>
      </c>
      <c r="Q921">
        <v>3.1</v>
      </c>
      <c r="R921" t="b">
        <v>1</v>
      </c>
      <c r="S921" t="s">
        <v>28</v>
      </c>
      <c r="T921">
        <v>1351</v>
      </c>
      <c r="U921" t="s">
        <v>57</v>
      </c>
      <c r="V921" t="s">
        <v>68</v>
      </c>
      <c r="W921" t="s">
        <v>75</v>
      </c>
    </row>
    <row r="922" spans="1:23" x14ac:dyDescent="0.3">
      <c r="A922">
        <v>4768</v>
      </c>
      <c r="B922" t="s">
        <v>305</v>
      </c>
      <c r="C922" s="1">
        <v>45264</v>
      </c>
      <c r="D922" s="1">
        <v>45619</v>
      </c>
      <c r="E922">
        <v>15.99</v>
      </c>
      <c r="F922">
        <v>449</v>
      </c>
      <c r="G922" t="s">
        <v>46</v>
      </c>
      <c r="H922">
        <v>5</v>
      </c>
      <c r="I922">
        <v>4</v>
      </c>
      <c r="J922" t="b">
        <v>0</v>
      </c>
      <c r="K922">
        <v>61</v>
      </c>
      <c r="L922">
        <v>61</v>
      </c>
      <c r="M922" t="s">
        <v>63</v>
      </c>
      <c r="N922" t="s">
        <v>40</v>
      </c>
      <c r="O922" t="s">
        <v>67</v>
      </c>
      <c r="P922">
        <v>88</v>
      </c>
      <c r="Q922">
        <v>3.7</v>
      </c>
      <c r="R922" t="b">
        <v>1</v>
      </c>
      <c r="S922" t="s">
        <v>28</v>
      </c>
      <c r="T922">
        <v>165</v>
      </c>
      <c r="U922" t="s">
        <v>65</v>
      </c>
      <c r="V922" t="s">
        <v>60</v>
      </c>
      <c r="W922" t="s">
        <v>75</v>
      </c>
    </row>
    <row r="923" spans="1:23" x14ac:dyDescent="0.3">
      <c r="A923">
        <v>4205</v>
      </c>
      <c r="B923" t="s">
        <v>167</v>
      </c>
      <c r="C923" s="1">
        <v>45274</v>
      </c>
      <c r="D923" s="1">
        <v>45632</v>
      </c>
      <c r="E923">
        <v>15.99</v>
      </c>
      <c r="F923">
        <v>302</v>
      </c>
      <c r="G923" t="s">
        <v>62</v>
      </c>
      <c r="H923">
        <v>4</v>
      </c>
      <c r="I923">
        <v>4</v>
      </c>
      <c r="J923" t="b">
        <v>1</v>
      </c>
      <c r="K923">
        <v>800</v>
      </c>
      <c r="L923">
        <v>101</v>
      </c>
      <c r="M923" t="s">
        <v>25</v>
      </c>
      <c r="N923" t="s">
        <v>64</v>
      </c>
      <c r="O923" t="s">
        <v>56</v>
      </c>
      <c r="P923">
        <v>89</v>
      </c>
      <c r="Q923">
        <v>4.3</v>
      </c>
      <c r="R923" t="b">
        <v>0</v>
      </c>
      <c r="S923" t="s">
        <v>28</v>
      </c>
      <c r="T923">
        <v>3411</v>
      </c>
      <c r="U923" t="s">
        <v>35</v>
      </c>
      <c r="V923" t="s">
        <v>68</v>
      </c>
      <c r="W923" t="s">
        <v>37</v>
      </c>
    </row>
    <row r="924" spans="1:23" x14ac:dyDescent="0.3">
      <c r="A924">
        <v>8844</v>
      </c>
      <c r="B924" t="s">
        <v>100</v>
      </c>
      <c r="C924" s="1">
        <v>45559</v>
      </c>
      <c r="D924" s="1">
        <v>45644</v>
      </c>
      <c r="E924">
        <v>7.99</v>
      </c>
      <c r="F924">
        <v>70</v>
      </c>
      <c r="G924" t="s">
        <v>43</v>
      </c>
      <c r="H924">
        <v>3</v>
      </c>
      <c r="I924">
        <v>6</v>
      </c>
      <c r="J924" t="b">
        <v>1</v>
      </c>
      <c r="K924">
        <v>226</v>
      </c>
      <c r="L924">
        <v>104</v>
      </c>
      <c r="M924" t="s">
        <v>25</v>
      </c>
      <c r="N924" t="s">
        <v>40</v>
      </c>
      <c r="O924" t="s">
        <v>34</v>
      </c>
      <c r="P924">
        <v>59</v>
      </c>
      <c r="Q924">
        <v>3.3</v>
      </c>
      <c r="R924" t="b">
        <v>1</v>
      </c>
      <c r="S924" t="s">
        <v>28</v>
      </c>
      <c r="T924">
        <v>615</v>
      </c>
      <c r="U924" t="s">
        <v>57</v>
      </c>
      <c r="V924" t="s">
        <v>60</v>
      </c>
      <c r="W924" t="s">
        <v>31</v>
      </c>
    </row>
    <row r="925" spans="1:23" x14ac:dyDescent="0.3">
      <c r="A925">
        <v>1103</v>
      </c>
      <c r="B925" t="s">
        <v>250</v>
      </c>
      <c r="C925" s="1">
        <v>45054</v>
      </c>
      <c r="D925" s="1">
        <v>45628</v>
      </c>
      <c r="E925">
        <v>7.99</v>
      </c>
      <c r="F925">
        <v>157</v>
      </c>
      <c r="G925" t="s">
        <v>43</v>
      </c>
      <c r="H925">
        <v>2</v>
      </c>
      <c r="I925">
        <v>1</v>
      </c>
      <c r="J925" t="b">
        <v>0</v>
      </c>
      <c r="K925">
        <v>792</v>
      </c>
      <c r="L925">
        <v>141</v>
      </c>
      <c r="M925" t="s">
        <v>39</v>
      </c>
      <c r="N925" t="s">
        <v>49</v>
      </c>
      <c r="O925" t="s">
        <v>50</v>
      </c>
      <c r="P925">
        <v>18</v>
      </c>
      <c r="Q925">
        <v>4.2</v>
      </c>
      <c r="R925" t="b">
        <v>0</v>
      </c>
      <c r="S925" t="s">
        <v>28</v>
      </c>
      <c r="T925">
        <v>1538</v>
      </c>
      <c r="U925" t="s">
        <v>29</v>
      </c>
      <c r="V925" t="s">
        <v>68</v>
      </c>
      <c r="W925" t="s">
        <v>75</v>
      </c>
    </row>
    <row r="926" spans="1:23" x14ac:dyDescent="0.3">
      <c r="A926">
        <v>2180</v>
      </c>
      <c r="B926" t="s">
        <v>388</v>
      </c>
      <c r="C926" s="1">
        <v>45032</v>
      </c>
      <c r="D926" s="1">
        <v>45620</v>
      </c>
      <c r="E926">
        <v>7.99</v>
      </c>
      <c r="F926">
        <v>17</v>
      </c>
      <c r="G926" t="s">
        <v>55</v>
      </c>
      <c r="H926">
        <v>5</v>
      </c>
      <c r="I926">
        <v>5</v>
      </c>
      <c r="J926" t="b">
        <v>0</v>
      </c>
      <c r="K926">
        <v>498</v>
      </c>
      <c r="L926">
        <v>67</v>
      </c>
      <c r="M926" t="s">
        <v>44</v>
      </c>
      <c r="N926" t="s">
        <v>26</v>
      </c>
      <c r="O926" t="s">
        <v>41</v>
      </c>
      <c r="P926">
        <v>67</v>
      </c>
      <c r="Q926">
        <v>3</v>
      </c>
      <c r="R926" t="b">
        <v>1</v>
      </c>
      <c r="S926" t="s">
        <v>28</v>
      </c>
      <c r="T926">
        <v>1835</v>
      </c>
      <c r="U926" t="s">
        <v>51</v>
      </c>
      <c r="V926" t="s">
        <v>30</v>
      </c>
      <c r="W926" t="s">
        <v>31</v>
      </c>
    </row>
    <row r="927" spans="1:23" x14ac:dyDescent="0.3">
      <c r="A927">
        <v>6607</v>
      </c>
      <c r="B927" t="s">
        <v>389</v>
      </c>
      <c r="C927" s="1">
        <v>44939</v>
      </c>
      <c r="D927" s="1">
        <v>45628</v>
      </c>
      <c r="E927">
        <v>15.99</v>
      </c>
      <c r="F927">
        <v>173</v>
      </c>
      <c r="G927" t="s">
        <v>33</v>
      </c>
      <c r="H927">
        <v>1</v>
      </c>
      <c r="I927">
        <v>3</v>
      </c>
      <c r="J927" t="b">
        <v>1</v>
      </c>
      <c r="K927">
        <v>950</v>
      </c>
      <c r="L927">
        <v>163</v>
      </c>
      <c r="M927" t="s">
        <v>74</v>
      </c>
      <c r="N927" t="s">
        <v>40</v>
      </c>
      <c r="O927" t="s">
        <v>67</v>
      </c>
      <c r="P927">
        <v>96</v>
      </c>
      <c r="Q927">
        <v>4.9000000000000004</v>
      </c>
      <c r="R927" t="b">
        <v>1</v>
      </c>
      <c r="S927" t="s">
        <v>28</v>
      </c>
      <c r="T927">
        <v>3515</v>
      </c>
      <c r="U927" t="s">
        <v>51</v>
      </c>
      <c r="V927" t="s">
        <v>30</v>
      </c>
      <c r="W927" t="s">
        <v>31</v>
      </c>
    </row>
    <row r="928" spans="1:23" x14ac:dyDescent="0.3">
      <c r="A928">
        <v>7949</v>
      </c>
      <c r="B928" t="s">
        <v>240</v>
      </c>
      <c r="C928" s="1">
        <v>44937</v>
      </c>
      <c r="D928" s="1">
        <v>45617</v>
      </c>
      <c r="E928">
        <v>11.99</v>
      </c>
      <c r="F928">
        <v>301</v>
      </c>
      <c r="G928" t="s">
        <v>62</v>
      </c>
      <c r="H928">
        <v>5</v>
      </c>
      <c r="I928">
        <v>4</v>
      </c>
      <c r="J928" t="b">
        <v>0</v>
      </c>
      <c r="K928">
        <v>906</v>
      </c>
      <c r="L928">
        <v>141</v>
      </c>
      <c r="M928" t="s">
        <v>59</v>
      </c>
      <c r="N928" t="s">
        <v>49</v>
      </c>
      <c r="O928" t="s">
        <v>27</v>
      </c>
      <c r="P928">
        <v>56</v>
      </c>
      <c r="Q928">
        <v>4.5</v>
      </c>
      <c r="R928" t="b">
        <v>1</v>
      </c>
      <c r="S928" t="s">
        <v>28</v>
      </c>
      <c r="T928">
        <v>1657</v>
      </c>
      <c r="U928" t="s">
        <v>35</v>
      </c>
      <c r="V928" t="s">
        <v>30</v>
      </c>
      <c r="W928" t="s">
        <v>75</v>
      </c>
    </row>
    <row r="929" spans="1:23" x14ac:dyDescent="0.3">
      <c r="A929">
        <v>5337</v>
      </c>
      <c r="B929" t="s">
        <v>289</v>
      </c>
      <c r="C929" s="1">
        <v>45520</v>
      </c>
      <c r="D929" s="1">
        <v>45624</v>
      </c>
      <c r="E929">
        <v>7.99</v>
      </c>
      <c r="F929">
        <v>357</v>
      </c>
      <c r="G929" t="s">
        <v>55</v>
      </c>
      <c r="H929">
        <v>2</v>
      </c>
      <c r="I929">
        <v>4</v>
      </c>
      <c r="J929" t="b">
        <v>1</v>
      </c>
      <c r="K929">
        <v>245</v>
      </c>
      <c r="L929">
        <v>116</v>
      </c>
      <c r="M929" t="s">
        <v>74</v>
      </c>
      <c r="N929" t="s">
        <v>64</v>
      </c>
      <c r="O929" t="s">
        <v>41</v>
      </c>
      <c r="P929">
        <v>71</v>
      </c>
      <c r="Q929">
        <v>4.2</v>
      </c>
      <c r="R929" t="b">
        <v>1</v>
      </c>
      <c r="S929" t="s">
        <v>28</v>
      </c>
      <c r="T929">
        <v>2209</v>
      </c>
      <c r="U929" t="s">
        <v>29</v>
      </c>
      <c r="V929" t="s">
        <v>52</v>
      </c>
      <c r="W929" t="s">
        <v>31</v>
      </c>
    </row>
    <row r="930" spans="1:23" x14ac:dyDescent="0.3">
      <c r="A930">
        <v>8477</v>
      </c>
      <c r="B930" t="s">
        <v>152</v>
      </c>
      <c r="C930" s="1">
        <v>45125</v>
      </c>
      <c r="D930" s="1">
        <v>45628</v>
      </c>
      <c r="E930">
        <v>7.99</v>
      </c>
      <c r="F930">
        <v>48</v>
      </c>
      <c r="G930" t="s">
        <v>33</v>
      </c>
      <c r="H930">
        <v>4</v>
      </c>
      <c r="I930">
        <v>2</v>
      </c>
      <c r="J930" t="b">
        <v>0</v>
      </c>
      <c r="K930">
        <v>33</v>
      </c>
      <c r="L930">
        <v>7</v>
      </c>
      <c r="M930" t="s">
        <v>25</v>
      </c>
      <c r="N930" t="s">
        <v>26</v>
      </c>
      <c r="O930" t="s">
        <v>34</v>
      </c>
      <c r="P930">
        <v>13</v>
      </c>
      <c r="Q930">
        <v>4.8</v>
      </c>
      <c r="R930" t="b">
        <v>1</v>
      </c>
      <c r="S930" t="s">
        <v>28</v>
      </c>
      <c r="T930">
        <v>1327</v>
      </c>
      <c r="U930" t="s">
        <v>51</v>
      </c>
      <c r="V930" t="s">
        <v>60</v>
      </c>
      <c r="W930" t="s">
        <v>53</v>
      </c>
    </row>
    <row r="931" spans="1:23" x14ac:dyDescent="0.3">
      <c r="A931">
        <v>7673</v>
      </c>
      <c r="B931" t="s">
        <v>390</v>
      </c>
      <c r="C931" s="1">
        <v>45156</v>
      </c>
      <c r="D931" s="1">
        <v>45618</v>
      </c>
      <c r="E931">
        <v>7.99</v>
      </c>
      <c r="F931">
        <v>351</v>
      </c>
      <c r="G931" t="s">
        <v>24</v>
      </c>
      <c r="H931">
        <v>4</v>
      </c>
      <c r="I931">
        <v>2</v>
      </c>
      <c r="J931" t="b">
        <v>0</v>
      </c>
      <c r="K931">
        <v>70</v>
      </c>
      <c r="L931">
        <v>41</v>
      </c>
      <c r="M931" t="s">
        <v>63</v>
      </c>
      <c r="N931" t="s">
        <v>64</v>
      </c>
      <c r="O931" t="s">
        <v>50</v>
      </c>
      <c r="P931">
        <v>78</v>
      </c>
      <c r="Q931">
        <v>3.7</v>
      </c>
      <c r="R931" t="b">
        <v>0</v>
      </c>
      <c r="S931" t="s">
        <v>28</v>
      </c>
      <c r="T931">
        <v>4337</v>
      </c>
      <c r="U931" t="s">
        <v>29</v>
      </c>
      <c r="V931" t="s">
        <v>68</v>
      </c>
      <c r="W931" t="s">
        <v>37</v>
      </c>
    </row>
    <row r="932" spans="1:23" x14ac:dyDescent="0.3">
      <c r="A932">
        <v>6113</v>
      </c>
      <c r="B932" t="s">
        <v>391</v>
      </c>
      <c r="C932" s="1">
        <v>45236</v>
      </c>
      <c r="D932" s="1">
        <v>45640</v>
      </c>
      <c r="E932">
        <v>11.99</v>
      </c>
      <c r="F932">
        <v>491</v>
      </c>
      <c r="G932" t="s">
        <v>62</v>
      </c>
      <c r="H932">
        <v>3</v>
      </c>
      <c r="I932">
        <v>4</v>
      </c>
      <c r="J932" t="b">
        <v>1</v>
      </c>
      <c r="K932">
        <v>779</v>
      </c>
      <c r="L932">
        <v>86</v>
      </c>
      <c r="M932" t="s">
        <v>44</v>
      </c>
      <c r="N932" t="s">
        <v>64</v>
      </c>
      <c r="O932" t="s">
        <v>27</v>
      </c>
      <c r="P932">
        <v>85</v>
      </c>
      <c r="Q932">
        <v>4.7</v>
      </c>
      <c r="R932" t="b">
        <v>1</v>
      </c>
      <c r="S932" t="s">
        <v>28</v>
      </c>
      <c r="T932">
        <v>398</v>
      </c>
      <c r="U932" t="s">
        <v>57</v>
      </c>
      <c r="V932" t="s">
        <v>68</v>
      </c>
      <c r="W932" t="s">
        <v>37</v>
      </c>
    </row>
    <row r="933" spans="1:23" x14ac:dyDescent="0.3">
      <c r="A933">
        <v>7457</v>
      </c>
      <c r="B933" t="s">
        <v>282</v>
      </c>
      <c r="C933" s="1">
        <v>45028</v>
      </c>
      <c r="D933" s="1">
        <v>45625</v>
      </c>
      <c r="E933">
        <v>11.99</v>
      </c>
      <c r="F933">
        <v>164</v>
      </c>
      <c r="G933" t="s">
        <v>43</v>
      </c>
      <c r="H933">
        <v>2</v>
      </c>
      <c r="I933">
        <v>1</v>
      </c>
      <c r="J933" t="b">
        <v>1</v>
      </c>
      <c r="K933">
        <v>536</v>
      </c>
      <c r="L933">
        <v>150</v>
      </c>
      <c r="M933" t="s">
        <v>44</v>
      </c>
      <c r="N933" t="s">
        <v>40</v>
      </c>
      <c r="O933" t="s">
        <v>41</v>
      </c>
      <c r="P933">
        <v>7</v>
      </c>
      <c r="Q933">
        <v>3.2</v>
      </c>
      <c r="R933" t="b">
        <v>1</v>
      </c>
      <c r="S933" t="s">
        <v>28</v>
      </c>
      <c r="T933">
        <v>1508</v>
      </c>
      <c r="U933" t="s">
        <v>29</v>
      </c>
      <c r="V933" t="s">
        <v>60</v>
      </c>
      <c r="W933" t="s">
        <v>53</v>
      </c>
    </row>
    <row r="934" spans="1:23" x14ac:dyDescent="0.3">
      <c r="A934">
        <v>6639</v>
      </c>
      <c r="B934" t="s">
        <v>244</v>
      </c>
      <c r="C934" s="1">
        <v>45278</v>
      </c>
      <c r="D934" s="1">
        <v>45644</v>
      </c>
      <c r="E934">
        <v>7.99</v>
      </c>
      <c r="F934">
        <v>304</v>
      </c>
      <c r="G934" t="s">
        <v>24</v>
      </c>
      <c r="H934">
        <v>1</v>
      </c>
      <c r="I934">
        <v>6</v>
      </c>
      <c r="J934" t="b">
        <v>1</v>
      </c>
      <c r="K934">
        <v>902</v>
      </c>
      <c r="L934">
        <v>20</v>
      </c>
      <c r="M934" t="s">
        <v>63</v>
      </c>
      <c r="N934" t="s">
        <v>26</v>
      </c>
      <c r="O934" t="s">
        <v>41</v>
      </c>
      <c r="P934">
        <v>62</v>
      </c>
      <c r="Q934">
        <v>3.9</v>
      </c>
      <c r="R934" t="b">
        <v>1</v>
      </c>
      <c r="S934" t="s">
        <v>28</v>
      </c>
      <c r="T934">
        <v>249</v>
      </c>
      <c r="U934" t="s">
        <v>35</v>
      </c>
      <c r="V934" t="s">
        <v>30</v>
      </c>
      <c r="W934" t="s">
        <v>37</v>
      </c>
    </row>
    <row r="935" spans="1:23" x14ac:dyDescent="0.3">
      <c r="A935">
        <v>5220</v>
      </c>
      <c r="B935" t="s">
        <v>140</v>
      </c>
      <c r="C935" s="1">
        <v>45151</v>
      </c>
      <c r="D935" s="1">
        <v>45634</v>
      </c>
      <c r="E935">
        <v>7.99</v>
      </c>
      <c r="F935">
        <v>166</v>
      </c>
      <c r="G935" t="s">
        <v>55</v>
      </c>
      <c r="H935">
        <v>2</v>
      </c>
      <c r="I935">
        <v>3</v>
      </c>
      <c r="J935" t="b">
        <v>1</v>
      </c>
      <c r="K935">
        <v>493</v>
      </c>
      <c r="L935">
        <v>168</v>
      </c>
      <c r="M935" t="s">
        <v>25</v>
      </c>
      <c r="N935" t="s">
        <v>26</v>
      </c>
      <c r="O935" t="s">
        <v>56</v>
      </c>
      <c r="P935">
        <v>55</v>
      </c>
      <c r="Q935">
        <v>3.4</v>
      </c>
      <c r="R935" t="b">
        <v>1</v>
      </c>
      <c r="S935" t="s">
        <v>28</v>
      </c>
      <c r="T935">
        <v>954</v>
      </c>
      <c r="U935" t="s">
        <v>57</v>
      </c>
      <c r="V935" t="s">
        <v>52</v>
      </c>
      <c r="W935" t="s">
        <v>37</v>
      </c>
    </row>
    <row r="936" spans="1:23" x14ac:dyDescent="0.3">
      <c r="A936">
        <v>6970</v>
      </c>
      <c r="B936" t="s">
        <v>227</v>
      </c>
      <c r="C936" s="1">
        <v>45643</v>
      </c>
      <c r="D936" s="1">
        <v>45631</v>
      </c>
      <c r="E936">
        <v>7.99</v>
      </c>
      <c r="F936">
        <v>225</v>
      </c>
      <c r="G936" t="s">
        <v>79</v>
      </c>
      <c r="H936">
        <v>3</v>
      </c>
      <c r="I936">
        <v>3</v>
      </c>
      <c r="J936" t="b">
        <v>1</v>
      </c>
      <c r="K936">
        <v>589</v>
      </c>
      <c r="L936">
        <v>103</v>
      </c>
      <c r="M936" t="s">
        <v>39</v>
      </c>
      <c r="N936" t="s">
        <v>49</v>
      </c>
      <c r="O936" t="s">
        <v>27</v>
      </c>
      <c r="P936">
        <v>93</v>
      </c>
      <c r="Q936">
        <v>3.2</v>
      </c>
      <c r="R936" t="b">
        <v>1</v>
      </c>
      <c r="S936" t="s">
        <v>28</v>
      </c>
      <c r="T936">
        <v>3313</v>
      </c>
      <c r="U936" t="s">
        <v>51</v>
      </c>
      <c r="V936" t="s">
        <v>30</v>
      </c>
      <c r="W936" t="s">
        <v>53</v>
      </c>
    </row>
    <row r="937" spans="1:23" x14ac:dyDescent="0.3">
      <c r="A937">
        <v>6705</v>
      </c>
      <c r="B937" t="s">
        <v>92</v>
      </c>
      <c r="C937" s="1">
        <v>45563</v>
      </c>
      <c r="D937" s="1">
        <v>45635</v>
      </c>
      <c r="E937">
        <v>7.99</v>
      </c>
      <c r="F937">
        <v>163</v>
      </c>
      <c r="G937" t="s">
        <v>79</v>
      </c>
      <c r="H937">
        <v>2</v>
      </c>
      <c r="I937">
        <v>6</v>
      </c>
      <c r="J937" t="b">
        <v>1</v>
      </c>
      <c r="K937">
        <v>206</v>
      </c>
      <c r="L937">
        <v>132</v>
      </c>
      <c r="M937" t="s">
        <v>63</v>
      </c>
      <c r="N937" t="s">
        <v>40</v>
      </c>
      <c r="O937" t="s">
        <v>27</v>
      </c>
      <c r="P937">
        <v>63</v>
      </c>
      <c r="Q937">
        <v>3.5</v>
      </c>
      <c r="R937" t="b">
        <v>1</v>
      </c>
      <c r="S937" t="s">
        <v>28</v>
      </c>
      <c r="T937">
        <v>1790</v>
      </c>
      <c r="U937" t="s">
        <v>35</v>
      </c>
      <c r="V937" t="s">
        <v>30</v>
      </c>
      <c r="W937" t="s">
        <v>37</v>
      </c>
    </row>
    <row r="938" spans="1:23" x14ac:dyDescent="0.3">
      <c r="A938">
        <v>2477</v>
      </c>
      <c r="B938" t="s">
        <v>226</v>
      </c>
      <c r="C938" s="1">
        <v>44998</v>
      </c>
      <c r="D938" s="1">
        <v>45622</v>
      </c>
      <c r="E938">
        <v>15.99</v>
      </c>
      <c r="F938">
        <v>419</v>
      </c>
      <c r="G938" t="s">
        <v>43</v>
      </c>
      <c r="H938">
        <v>2</v>
      </c>
      <c r="I938">
        <v>6</v>
      </c>
      <c r="J938" t="b">
        <v>1</v>
      </c>
      <c r="K938">
        <v>752</v>
      </c>
      <c r="L938">
        <v>21</v>
      </c>
      <c r="M938" t="s">
        <v>25</v>
      </c>
      <c r="N938" t="s">
        <v>40</v>
      </c>
      <c r="O938" t="s">
        <v>27</v>
      </c>
      <c r="P938">
        <v>94</v>
      </c>
      <c r="Q938">
        <v>3.9</v>
      </c>
      <c r="R938" t="b">
        <v>0</v>
      </c>
      <c r="S938" t="s">
        <v>28</v>
      </c>
      <c r="T938">
        <v>2864</v>
      </c>
      <c r="U938" t="s">
        <v>35</v>
      </c>
      <c r="V938" t="s">
        <v>30</v>
      </c>
      <c r="W938" t="s">
        <v>75</v>
      </c>
    </row>
    <row r="939" spans="1:23" x14ac:dyDescent="0.3">
      <c r="A939">
        <v>6236</v>
      </c>
      <c r="B939" t="s">
        <v>363</v>
      </c>
      <c r="C939" s="1">
        <v>44983</v>
      </c>
      <c r="D939" s="1">
        <v>45618</v>
      </c>
      <c r="E939">
        <v>11.99</v>
      </c>
      <c r="F939">
        <v>293</v>
      </c>
      <c r="G939" t="s">
        <v>24</v>
      </c>
      <c r="H939">
        <v>2</v>
      </c>
      <c r="I939">
        <v>3</v>
      </c>
      <c r="J939" t="b">
        <v>0</v>
      </c>
      <c r="K939">
        <v>514</v>
      </c>
      <c r="L939">
        <v>68</v>
      </c>
      <c r="M939" t="s">
        <v>48</v>
      </c>
      <c r="N939" t="s">
        <v>49</v>
      </c>
      <c r="O939" t="s">
        <v>41</v>
      </c>
      <c r="P939">
        <v>4</v>
      </c>
      <c r="Q939">
        <v>4.7</v>
      </c>
      <c r="R939" t="b">
        <v>0</v>
      </c>
      <c r="S939" t="s">
        <v>28</v>
      </c>
      <c r="T939">
        <v>1872</v>
      </c>
      <c r="U939" t="s">
        <v>65</v>
      </c>
      <c r="V939" t="s">
        <v>36</v>
      </c>
      <c r="W939" t="s">
        <v>31</v>
      </c>
    </row>
    <row r="940" spans="1:23" x14ac:dyDescent="0.3">
      <c r="A940">
        <v>4079</v>
      </c>
      <c r="B940" t="s">
        <v>392</v>
      </c>
      <c r="C940" s="1">
        <v>44942</v>
      </c>
      <c r="D940" s="1">
        <v>45641</v>
      </c>
      <c r="E940">
        <v>7.99</v>
      </c>
      <c r="F940">
        <v>171</v>
      </c>
      <c r="G940" t="s">
        <v>55</v>
      </c>
      <c r="H940">
        <v>3</v>
      </c>
      <c r="I940">
        <v>6</v>
      </c>
      <c r="J940" t="b">
        <v>1</v>
      </c>
      <c r="K940">
        <v>858</v>
      </c>
      <c r="L940">
        <v>58</v>
      </c>
      <c r="M940" t="s">
        <v>63</v>
      </c>
      <c r="N940" t="s">
        <v>40</v>
      </c>
      <c r="O940" t="s">
        <v>34</v>
      </c>
      <c r="P940">
        <v>21</v>
      </c>
      <c r="Q940">
        <v>4.5</v>
      </c>
      <c r="R940" t="b">
        <v>1</v>
      </c>
      <c r="S940" t="s">
        <v>28</v>
      </c>
      <c r="T940">
        <v>2521</v>
      </c>
      <c r="U940" t="s">
        <v>29</v>
      </c>
      <c r="V940" t="s">
        <v>60</v>
      </c>
      <c r="W940" t="s">
        <v>75</v>
      </c>
    </row>
    <row r="941" spans="1:23" x14ac:dyDescent="0.3">
      <c r="A941">
        <v>7927</v>
      </c>
      <c r="B941" t="s">
        <v>327</v>
      </c>
      <c r="C941" s="1">
        <v>44937</v>
      </c>
      <c r="D941" s="1">
        <v>45616</v>
      </c>
      <c r="E941">
        <v>7.99</v>
      </c>
      <c r="F941">
        <v>438</v>
      </c>
      <c r="G941" t="s">
        <v>46</v>
      </c>
      <c r="H941">
        <v>4</v>
      </c>
      <c r="I941">
        <v>3</v>
      </c>
      <c r="J941" t="b">
        <v>0</v>
      </c>
      <c r="K941">
        <v>970</v>
      </c>
      <c r="L941">
        <v>59</v>
      </c>
      <c r="M941" t="s">
        <v>63</v>
      </c>
      <c r="N941" t="s">
        <v>49</v>
      </c>
      <c r="O941" t="s">
        <v>50</v>
      </c>
      <c r="P941">
        <v>78</v>
      </c>
      <c r="Q941">
        <v>4.5999999999999996</v>
      </c>
      <c r="R941" t="b">
        <v>1</v>
      </c>
      <c r="S941" t="s">
        <v>28</v>
      </c>
      <c r="T941">
        <v>4426</v>
      </c>
      <c r="U941" t="s">
        <v>65</v>
      </c>
      <c r="V941" t="s">
        <v>68</v>
      </c>
      <c r="W941" t="s">
        <v>31</v>
      </c>
    </row>
    <row r="942" spans="1:23" x14ac:dyDescent="0.3">
      <c r="A942">
        <v>5059</v>
      </c>
      <c r="B942" t="s">
        <v>38</v>
      </c>
      <c r="C942" s="1">
        <v>45538</v>
      </c>
      <c r="D942" s="1">
        <v>45623</v>
      </c>
      <c r="E942">
        <v>11.99</v>
      </c>
      <c r="F942">
        <v>247</v>
      </c>
      <c r="G942" t="s">
        <v>62</v>
      </c>
      <c r="H942">
        <v>4</v>
      </c>
      <c r="I942">
        <v>4</v>
      </c>
      <c r="J942" t="b">
        <v>0</v>
      </c>
      <c r="K942">
        <v>510</v>
      </c>
      <c r="L942">
        <v>87</v>
      </c>
      <c r="M942" t="s">
        <v>59</v>
      </c>
      <c r="N942" t="s">
        <v>40</v>
      </c>
      <c r="O942" t="s">
        <v>41</v>
      </c>
      <c r="P942">
        <v>99</v>
      </c>
      <c r="Q942">
        <v>3.5</v>
      </c>
      <c r="R942" t="b">
        <v>0</v>
      </c>
      <c r="S942" t="s">
        <v>28</v>
      </c>
      <c r="T942">
        <v>3100</v>
      </c>
      <c r="U942" t="s">
        <v>51</v>
      </c>
      <c r="V942" t="s">
        <v>60</v>
      </c>
      <c r="W942" t="s">
        <v>75</v>
      </c>
    </row>
    <row r="943" spans="1:23" x14ac:dyDescent="0.3">
      <c r="A943">
        <v>4210</v>
      </c>
      <c r="B943" t="s">
        <v>184</v>
      </c>
      <c r="C943" s="1">
        <v>45259</v>
      </c>
      <c r="D943" s="1">
        <v>45622</v>
      </c>
      <c r="E943">
        <v>11.99</v>
      </c>
      <c r="F943">
        <v>85</v>
      </c>
      <c r="G943" t="s">
        <v>55</v>
      </c>
      <c r="H943">
        <v>1</v>
      </c>
      <c r="I943">
        <v>2</v>
      </c>
      <c r="J943" t="b">
        <v>0</v>
      </c>
      <c r="K943">
        <v>770</v>
      </c>
      <c r="L943">
        <v>132</v>
      </c>
      <c r="M943" t="s">
        <v>44</v>
      </c>
      <c r="N943" t="s">
        <v>40</v>
      </c>
      <c r="O943" t="s">
        <v>50</v>
      </c>
      <c r="P943">
        <v>99</v>
      </c>
      <c r="Q943">
        <v>4.4000000000000004</v>
      </c>
      <c r="R943" t="b">
        <v>0</v>
      </c>
      <c r="S943" t="s">
        <v>28</v>
      </c>
      <c r="T943">
        <v>4273</v>
      </c>
      <c r="U943" t="s">
        <v>65</v>
      </c>
      <c r="V943" t="s">
        <v>30</v>
      </c>
      <c r="W943" t="s">
        <v>53</v>
      </c>
    </row>
    <row r="944" spans="1:23" x14ac:dyDescent="0.3">
      <c r="A944">
        <v>5054</v>
      </c>
      <c r="B944" t="s">
        <v>38</v>
      </c>
      <c r="C944" s="1">
        <v>44937</v>
      </c>
      <c r="D944" s="1">
        <v>45626</v>
      </c>
      <c r="E944">
        <v>11.99</v>
      </c>
      <c r="F944">
        <v>203</v>
      </c>
      <c r="G944" t="s">
        <v>46</v>
      </c>
      <c r="H944">
        <v>5</v>
      </c>
      <c r="I944">
        <v>2</v>
      </c>
      <c r="J944" t="b">
        <v>0</v>
      </c>
      <c r="K944">
        <v>903</v>
      </c>
      <c r="L944">
        <v>19</v>
      </c>
      <c r="M944" t="s">
        <v>39</v>
      </c>
      <c r="N944" t="s">
        <v>49</v>
      </c>
      <c r="O944" t="s">
        <v>27</v>
      </c>
      <c r="P944">
        <v>76</v>
      </c>
      <c r="Q944">
        <v>4.5999999999999996</v>
      </c>
      <c r="R944" t="b">
        <v>0</v>
      </c>
      <c r="S944" t="s">
        <v>28</v>
      </c>
      <c r="T944">
        <v>1254</v>
      </c>
      <c r="U944" t="s">
        <v>57</v>
      </c>
      <c r="V944" t="s">
        <v>60</v>
      </c>
      <c r="W944" t="s">
        <v>53</v>
      </c>
    </row>
    <row r="945" spans="1:23" x14ac:dyDescent="0.3">
      <c r="A945">
        <v>5836</v>
      </c>
      <c r="B945" t="s">
        <v>286</v>
      </c>
      <c r="C945" s="1">
        <v>45512</v>
      </c>
      <c r="D945" s="1">
        <v>45617</v>
      </c>
      <c r="E945">
        <v>15.99</v>
      </c>
      <c r="F945">
        <v>219</v>
      </c>
      <c r="G945" t="s">
        <v>43</v>
      </c>
      <c r="H945">
        <v>1</v>
      </c>
      <c r="I945">
        <v>5</v>
      </c>
      <c r="J945" t="b">
        <v>1</v>
      </c>
      <c r="K945">
        <v>347</v>
      </c>
      <c r="L945">
        <v>55</v>
      </c>
      <c r="M945" t="s">
        <v>74</v>
      </c>
      <c r="N945" t="s">
        <v>64</v>
      </c>
      <c r="O945" t="s">
        <v>41</v>
      </c>
      <c r="P945">
        <v>64</v>
      </c>
      <c r="Q945">
        <v>4.5999999999999996</v>
      </c>
      <c r="R945" t="b">
        <v>1</v>
      </c>
      <c r="S945" t="s">
        <v>28</v>
      </c>
      <c r="T945">
        <v>4817</v>
      </c>
      <c r="U945" t="s">
        <v>51</v>
      </c>
      <c r="V945" t="s">
        <v>30</v>
      </c>
      <c r="W945" t="s">
        <v>37</v>
      </c>
    </row>
    <row r="946" spans="1:23" x14ac:dyDescent="0.3">
      <c r="A946">
        <v>8612</v>
      </c>
      <c r="B946" t="s">
        <v>195</v>
      </c>
      <c r="C946" s="1">
        <v>45344</v>
      </c>
      <c r="D946" s="1">
        <v>45644</v>
      </c>
      <c r="E946">
        <v>7.99</v>
      </c>
      <c r="F946">
        <v>285</v>
      </c>
      <c r="G946" t="s">
        <v>62</v>
      </c>
      <c r="H946">
        <v>5</v>
      </c>
      <c r="I946">
        <v>5</v>
      </c>
      <c r="J946" t="b">
        <v>0</v>
      </c>
      <c r="K946">
        <v>600</v>
      </c>
      <c r="L946">
        <v>109</v>
      </c>
      <c r="M946" t="s">
        <v>63</v>
      </c>
      <c r="N946" t="s">
        <v>64</v>
      </c>
      <c r="O946" t="s">
        <v>41</v>
      </c>
      <c r="P946">
        <v>76</v>
      </c>
      <c r="Q946">
        <v>4</v>
      </c>
      <c r="R946" t="b">
        <v>0</v>
      </c>
      <c r="S946" t="s">
        <v>28</v>
      </c>
      <c r="T946">
        <v>2330</v>
      </c>
      <c r="U946" t="s">
        <v>29</v>
      </c>
      <c r="V946" t="s">
        <v>36</v>
      </c>
      <c r="W946" t="s">
        <v>53</v>
      </c>
    </row>
    <row r="947" spans="1:23" x14ac:dyDescent="0.3">
      <c r="A947">
        <v>7445</v>
      </c>
      <c r="B947" t="s">
        <v>91</v>
      </c>
      <c r="C947" s="1">
        <v>45249</v>
      </c>
      <c r="D947" s="1">
        <v>45619</v>
      </c>
      <c r="E947">
        <v>15.99</v>
      </c>
      <c r="F947">
        <v>115</v>
      </c>
      <c r="G947" t="s">
        <v>55</v>
      </c>
      <c r="H947">
        <v>2</v>
      </c>
      <c r="I947">
        <v>6</v>
      </c>
      <c r="J947" t="b">
        <v>1</v>
      </c>
      <c r="K947">
        <v>583</v>
      </c>
      <c r="L947">
        <v>127</v>
      </c>
      <c r="M947" t="s">
        <v>25</v>
      </c>
      <c r="N947" t="s">
        <v>49</v>
      </c>
      <c r="O947" t="s">
        <v>56</v>
      </c>
      <c r="P947">
        <v>0</v>
      </c>
      <c r="Q947">
        <v>3.6</v>
      </c>
      <c r="R947" t="b">
        <v>0</v>
      </c>
      <c r="S947" t="s">
        <v>28</v>
      </c>
      <c r="T947">
        <v>244</v>
      </c>
      <c r="U947" t="s">
        <v>35</v>
      </c>
      <c r="V947" t="s">
        <v>30</v>
      </c>
      <c r="W947" t="s">
        <v>31</v>
      </c>
    </row>
    <row r="948" spans="1:23" x14ac:dyDescent="0.3">
      <c r="A948">
        <v>6135</v>
      </c>
      <c r="B948" t="s">
        <v>84</v>
      </c>
      <c r="C948" s="1">
        <v>45575</v>
      </c>
      <c r="D948" s="1">
        <v>45617</v>
      </c>
      <c r="E948">
        <v>7.99</v>
      </c>
      <c r="F948">
        <v>322</v>
      </c>
      <c r="G948" t="s">
        <v>33</v>
      </c>
      <c r="H948">
        <v>1</v>
      </c>
      <c r="I948">
        <v>5</v>
      </c>
      <c r="J948" t="b">
        <v>1</v>
      </c>
      <c r="K948">
        <v>446</v>
      </c>
      <c r="L948">
        <v>114</v>
      </c>
      <c r="M948" t="s">
        <v>59</v>
      </c>
      <c r="N948" t="s">
        <v>49</v>
      </c>
      <c r="O948" t="s">
        <v>56</v>
      </c>
      <c r="P948">
        <v>84</v>
      </c>
      <c r="Q948">
        <v>4.5</v>
      </c>
      <c r="R948" t="b">
        <v>1</v>
      </c>
      <c r="S948" t="s">
        <v>28</v>
      </c>
      <c r="T948">
        <v>1539</v>
      </c>
      <c r="U948" t="s">
        <v>65</v>
      </c>
      <c r="V948" t="s">
        <v>36</v>
      </c>
      <c r="W948" t="s">
        <v>31</v>
      </c>
    </row>
    <row r="949" spans="1:23" x14ac:dyDescent="0.3">
      <c r="A949">
        <v>3168</v>
      </c>
      <c r="B949" t="s">
        <v>229</v>
      </c>
      <c r="C949" s="1">
        <v>45389</v>
      </c>
      <c r="D949" s="1">
        <v>45617</v>
      </c>
      <c r="E949">
        <v>7.99</v>
      </c>
      <c r="F949">
        <v>348</v>
      </c>
      <c r="G949" t="s">
        <v>24</v>
      </c>
      <c r="H949">
        <v>2</v>
      </c>
      <c r="I949">
        <v>2</v>
      </c>
      <c r="J949" t="b">
        <v>1</v>
      </c>
      <c r="K949">
        <v>797</v>
      </c>
      <c r="L949">
        <v>81</v>
      </c>
      <c r="M949" t="s">
        <v>59</v>
      </c>
      <c r="N949" t="s">
        <v>26</v>
      </c>
      <c r="O949" t="s">
        <v>50</v>
      </c>
      <c r="P949">
        <v>12</v>
      </c>
      <c r="Q949">
        <v>5</v>
      </c>
      <c r="R949" t="b">
        <v>1</v>
      </c>
      <c r="S949" t="s">
        <v>28</v>
      </c>
      <c r="T949">
        <v>2657</v>
      </c>
      <c r="U949" t="s">
        <v>51</v>
      </c>
      <c r="V949" t="s">
        <v>60</v>
      </c>
      <c r="W949" t="s">
        <v>53</v>
      </c>
    </row>
    <row r="950" spans="1:23" x14ac:dyDescent="0.3">
      <c r="A950">
        <v>2981</v>
      </c>
      <c r="B950" t="s">
        <v>393</v>
      </c>
      <c r="C950" s="1">
        <v>45419</v>
      </c>
      <c r="D950" s="1">
        <v>45629</v>
      </c>
      <c r="E950">
        <v>11.99</v>
      </c>
      <c r="F950">
        <v>482</v>
      </c>
      <c r="G950" t="s">
        <v>43</v>
      </c>
      <c r="H950">
        <v>5</v>
      </c>
      <c r="I950">
        <v>2</v>
      </c>
      <c r="J950" t="b">
        <v>1</v>
      </c>
      <c r="K950">
        <v>665</v>
      </c>
      <c r="L950">
        <v>96</v>
      </c>
      <c r="M950" t="s">
        <v>74</v>
      </c>
      <c r="N950" t="s">
        <v>40</v>
      </c>
      <c r="O950" t="s">
        <v>50</v>
      </c>
      <c r="P950">
        <v>24</v>
      </c>
      <c r="Q950">
        <v>4.7</v>
      </c>
      <c r="R950" t="b">
        <v>1</v>
      </c>
      <c r="S950" t="s">
        <v>28</v>
      </c>
      <c r="T950">
        <v>4851</v>
      </c>
      <c r="U950" t="s">
        <v>29</v>
      </c>
      <c r="V950" t="s">
        <v>52</v>
      </c>
      <c r="W950" t="s">
        <v>75</v>
      </c>
    </row>
    <row r="951" spans="1:23" x14ac:dyDescent="0.3">
      <c r="A951">
        <v>7739</v>
      </c>
      <c r="B951" t="s">
        <v>165</v>
      </c>
      <c r="C951" s="1">
        <v>44997</v>
      </c>
      <c r="D951" s="1">
        <v>45637</v>
      </c>
      <c r="E951">
        <v>7.99</v>
      </c>
      <c r="F951">
        <v>384</v>
      </c>
      <c r="G951" t="s">
        <v>43</v>
      </c>
      <c r="H951">
        <v>4</v>
      </c>
      <c r="I951">
        <v>3</v>
      </c>
      <c r="J951" t="b">
        <v>1</v>
      </c>
      <c r="K951">
        <v>188</v>
      </c>
      <c r="L951">
        <v>140</v>
      </c>
      <c r="M951" t="s">
        <v>74</v>
      </c>
      <c r="N951" t="s">
        <v>64</v>
      </c>
      <c r="O951" t="s">
        <v>67</v>
      </c>
      <c r="P951">
        <v>78</v>
      </c>
      <c r="Q951">
        <v>3.9</v>
      </c>
      <c r="R951" t="b">
        <v>0</v>
      </c>
      <c r="S951" t="s">
        <v>28</v>
      </c>
      <c r="T951">
        <v>2341</v>
      </c>
      <c r="U951" t="s">
        <v>29</v>
      </c>
      <c r="V951" t="s">
        <v>36</v>
      </c>
      <c r="W951" t="s">
        <v>75</v>
      </c>
    </row>
    <row r="952" spans="1:23" x14ac:dyDescent="0.3">
      <c r="A952">
        <v>5905</v>
      </c>
      <c r="B952" t="s">
        <v>214</v>
      </c>
      <c r="C952" s="1">
        <v>45357</v>
      </c>
      <c r="D952" s="1">
        <v>45635</v>
      </c>
      <c r="E952">
        <v>15.99</v>
      </c>
      <c r="F952">
        <v>178</v>
      </c>
      <c r="G952" t="s">
        <v>62</v>
      </c>
      <c r="H952">
        <v>5</v>
      </c>
      <c r="I952">
        <v>5</v>
      </c>
      <c r="J952" t="b">
        <v>0</v>
      </c>
      <c r="K952">
        <v>489</v>
      </c>
      <c r="L952">
        <v>6</v>
      </c>
      <c r="M952" t="s">
        <v>48</v>
      </c>
      <c r="N952" t="s">
        <v>26</v>
      </c>
      <c r="O952" t="s">
        <v>50</v>
      </c>
      <c r="P952">
        <v>72</v>
      </c>
      <c r="Q952">
        <v>4.5</v>
      </c>
      <c r="R952" t="b">
        <v>0</v>
      </c>
      <c r="S952" t="s">
        <v>28</v>
      </c>
      <c r="T952">
        <v>3356</v>
      </c>
      <c r="U952" t="s">
        <v>65</v>
      </c>
      <c r="V952" t="s">
        <v>68</v>
      </c>
      <c r="W952" t="s">
        <v>31</v>
      </c>
    </row>
    <row r="953" spans="1:23" x14ac:dyDescent="0.3">
      <c r="A953">
        <v>1443</v>
      </c>
      <c r="B953" t="s">
        <v>228</v>
      </c>
      <c r="C953" s="1">
        <v>45098</v>
      </c>
      <c r="D953" s="1">
        <v>45643</v>
      </c>
      <c r="E953">
        <v>11.99</v>
      </c>
      <c r="F953">
        <v>91</v>
      </c>
      <c r="G953" t="s">
        <v>33</v>
      </c>
      <c r="H953">
        <v>1</v>
      </c>
      <c r="I953">
        <v>2</v>
      </c>
      <c r="J953" t="b">
        <v>0</v>
      </c>
      <c r="K953">
        <v>377</v>
      </c>
      <c r="L953">
        <v>14</v>
      </c>
      <c r="M953" t="s">
        <v>25</v>
      </c>
      <c r="N953" t="s">
        <v>49</v>
      </c>
      <c r="O953" t="s">
        <v>34</v>
      </c>
      <c r="P953">
        <v>53</v>
      </c>
      <c r="Q953">
        <v>4.5999999999999996</v>
      </c>
      <c r="R953" t="b">
        <v>0</v>
      </c>
      <c r="S953" t="s">
        <v>28</v>
      </c>
      <c r="T953">
        <v>228</v>
      </c>
      <c r="U953" t="s">
        <v>65</v>
      </c>
      <c r="V953" t="s">
        <v>68</v>
      </c>
      <c r="W953" t="s">
        <v>31</v>
      </c>
    </row>
    <row r="954" spans="1:23" x14ac:dyDescent="0.3">
      <c r="A954">
        <v>6181</v>
      </c>
      <c r="B954" t="s">
        <v>336</v>
      </c>
      <c r="C954" s="1">
        <v>45627</v>
      </c>
      <c r="D954" s="1">
        <v>45631</v>
      </c>
      <c r="E954">
        <v>11.99</v>
      </c>
      <c r="F954">
        <v>175</v>
      </c>
      <c r="G954" t="s">
        <v>55</v>
      </c>
      <c r="H954">
        <v>4</v>
      </c>
      <c r="I954">
        <v>3</v>
      </c>
      <c r="J954" t="b">
        <v>1</v>
      </c>
      <c r="K954">
        <v>424</v>
      </c>
      <c r="L954">
        <v>125</v>
      </c>
      <c r="M954" t="s">
        <v>44</v>
      </c>
      <c r="N954" t="s">
        <v>49</v>
      </c>
      <c r="O954" t="s">
        <v>67</v>
      </c>
      <c r="P954">
        <v>13</v>
      </c>
      <c r="Q954">
        <v>4.7</v>
      </c>
      <c r="R954" t="b">
        <v>1</v>
      </c>
      <c r="S954" t="s">
        <v>28</v>
      </c>
      <c r="T954">
        <v>2821</v>
      </c>
      <c r="U954" t="s">
        <v>51</v>
      </c>
      <c r="V954" t="s">
        <v>30</v>
      </c>
      <c r="W954" t="s">
        <v>37</v>
      </c>
    </row>
    <row r="955" spans="1:23" x14ac:dyDescent="0.3">
      <c r="A955">
        <v>8406</v>
      </c>
      <c r="B955" t="s">
        <v>394</v>
      </c>
      <c r="C955" s="1">
        <v>45249</v>
      </c>
      <c r="D955" s="1">
        <v>45640</v>
      </c>
      <c r="E955">
        <v>11.99</v>
      </c>
      <c r="F955">
        <v>187</v>
      </c>
      <c r="G955" t="s">
        <v>24</v>
      </c>
      <c r="H955">
        <v>5</v>
      </c>
      <c r="I955">
        <v>5</v>
      </c>
      <c r="J955" t="b">
        <v>1</v>
      </c>
      <c r="K955">
        <v>491</v>
      </c>
      <c r="L955">
        <v>197</v>
      </c>
      <c r="M955" t="s">
        <v>44</v>
      </c>
      <c r="N955" t="s">
        <v>26</v>
      </c>
      <c r="O955" t="s">
        <v>67</v>
      </c>
      <c r="P955">
        <v>54</v>
      </c>
      <c r="Q955">
        <v>3.3</v>
      </c>
      <c r="R955" t="b">
        <v>1</v>
      </c>
      <c r="S955" t="s">
        <v>28</v>
      </c>
      <c r="T955">
        <v>4380</v>
      </c>
      <c r="U955" t="s">
        <v>29</v>
      </c>
      <c r="V955" t="s">
        <v>30</v>
      </c>
      <c r="W955" t="s">
        <v>31</v>
      </c>
    </row>
    <row r="956" spans="1:23" x14ac:dyDescent="0.3">
      <c r="A956">
        <v>5389</v>
      </c>
      <c r="B956" t="s">
        <v>395</v>
      </c>
      <c r="C956" s="1">
        <v>45439</v>
      </c>
      <c r="D956" s="1">
        <v>45625</v>
      </c>
      <c r="E956">
        <v>11.99</v>
      </c>
      <c r="F956">
        <v>352</v>
      </c>
      <c r="G956" t="s">
        <v>33</v>
      </c>
      <c r="H956">
        <v>4</v>
      </c>
      <c r="I956">
        <v>1</v>
      </c>
      <c r="J956" t="b">
        <v>0</v>
      </c>
      <c r="K956">
        <v>521</v>
      </c>
      <c r="L956">
        <v>128</v>
      </c>
      <c r="M956" t="s">
        <v>63</v>
      </c>
      <c r="N956" t="s">
        <v>64</v>
      </c>
      <c r="O956" t="s">
        <v>56</v>
      </c>
      <c r="P956">
        <v>59</v>
      </c>
      <c r="Q956">
        <v>4.5999999999999996</v>
      </c>
      <c r="R956" t="b">
        <v>1</v>
      </c>
      <c r="S956" t="s">
        <v>28</v>
      </c>
      <c r="T956">
        <v>2131</v>
      </c>
      <c r="U956" t="s">
        <v>35</v>
      </c>
      <c r="V956" t="s">
        <v>60</v>
      </c>
      <c r="W956" t="s">
        <v>75</v>
      </c>
    </row>
    <row r="957" spans="1:23" x14ac:dyDescent="0.3">
      <c r="A957">
        <v>4586</v>
      </c>
      <c r="B957" t="s">
        <v>396</v>
      </c>
      <c r="C957" s="1">
        <v>45221</v>
      </c>
      <c r="D957" s="1">
        <v>45627</v>
      </c>
      <c r="E957">
        <v>7.99</v>
      </c>
      <c r="F957">
        <v>448</v>
      </c>
      <c r="G957" t="s">
        <v>24</v>
      </c>
      <c r="H957">
        <v>3</v>
      </c>
      <c r="I957">
        <v>4</v>
      </c>
      <c r="J957" t="b">
        <v>1</v>
      </c>
      <c r="K957">
        <v>506</v>
      </c>
      <c r="L957">
        <v>193</v>
      </c>
      <c r="M957" t="s">
        <v>63</v>
      </c>
      <c r="N957" t="s">
        <v>40</v>
      </c>
      <c r="O957" t="s">
        <v>50</v>
      </c>
      <c r="P957">
        <v>79</v>
      </c>
      <c r="Q957">
        <v>4.3</v>
      </c>
      <c r="R957" t="b">
        <v>0</v>
      </c>
      <c r="S957" t="s">
        <v>28</v>
      </c>
      <c r="T957">
        <v>3589</v>
      </c>
      <c r="U957" t="s">
        <v>51</v>
      </c>
      <c r="V957" t="s">
        <v>36</v>
      </c>
      <c r="W957" t="s">
        <v>31</v>
      </c>
    </row>
    <row r="958" spans="1:23" x14ac:dyDescent="0.3">
      <c r="A958">
        <v>4020</v>
      </c>
      <c r="B958" t="s">
        <v>378</v>
      </c>
      <c r="C958" s="1">
        <v>45371</v>
      </c>
      <c r="D958" s="1">
        <v>45628</v>
      </c>
      <c r="E958">
        <v>15.99</v>
      </c>
      <c r="F958">
        <v>81</v>
      </c>
      <c r="G958" t="s">
        <v>43</v>
      </c>
      <c r="H958">
        <v>1</v>
      </c>
      <c r="I958">
        <v>6</v>
      </c>
      <c r="J958" t="b">
        <v>0</v>
      </c>
      <c r="K958">
        <v>390</v>
      </c>
      <c r="L958">
        <v>43</v>
      </c>
      <c r="M958" t="s">
        <v>44</v>
      </c>
      <c r="N958" t="s">
        <v>40</v>
      </c>
      <c r="O958" t="s">
        <v>41</v>
      </c>
      <c r="P958">
        <v>33</v>
      </c>
      <c r="Q958">
        <v>4</v>
      </c>
      <c r="R958" t="b">
        <v>0</v>
      </c>
      <c r="S958" t="s">
        <v>28</v>
      </c>
      <c r="T958">
        <v>4162</v>
      </c>
      <c r="U958" t="s">
        <v>35</v>
      </c>
      <c r="V958" t="s">
        <v>60</v>
      </c>
      <c r="W958" t="s">
        <v>75</v>
      </c>
    </row>
    <row r="959" spans="1:23" x14ac:dyDescent="0.3">
      <c r="A959">
        <v>1635</v>
      </c>
      <c r="B959" t="s">
        <v>258</v>
      </c>
      <c r="C959" s="1">
        <v>45282</v>
      </c>
      <c r="D959" s="1">
        <v>45631</v>
      </c>
      <c r="E959">
        <v>15.99</v>
      </c>
      <c r="F959">
        <v>321</v>
      </c>
      <c r="G959" t="s">
        <v>43</v>
      </c>
      <c r="H959">
        <v>1</v>
      </c>
      <c r="I959">
        <v>5</v>
      </c>
      <c r="J959" t="b">
        <v>1</v>
      </c>
      <c r="K959">
        <v>276</v>
      </c>
      <c r="L959">
        <v>182</v>
      </c>
      <c r="M959" t="s">
        <v>59</v>
      </c>
      <c r="N959" t="s">
        <v>64</v>
      </c>
      <c r="O959" t="s">
        <v>41</v>
      </c>
      <c r="P959">
        <v>52</v>
      </c>
      <c r="Q959">
        <v>4.9000000000000004</v>
      </c>
      <c r="R959" t="b">
        <v>1</v>
      </c>
      <c r="S959" t="s">
        <v>28</v>
      </c>
      <c r="T959">
        <v>1013</v>
      </c>
      <c r="U959" t="s">
        <v>51</v>
      </c>
      <c r="V959" t="s">
        <v>30</v>
      </c>
      <c r="W959" t="s">
        <v>75</v>
      </c>
    </row>
    <row r="960" spans="1:23" x14ac:dyDescent="0.3">
      <c r="A960">
        <v>9257</v>
      </c>
      <c r="B960" t="s">
        <v>120</v>
      </c>
      <c r="C960" s="1">
        <v>45448</v>
      </c>
      <c r="D960" s="1">
        <v>45625</v>
      </c>
      <c r="E960">
        <v>7.99</v>
      </c>
      <c r="F960">
        <v>114</v>
      </c>
      <c r="G960" t="s">
        <v>55</v>
      </c>
      <c r="H960">
        <v>1</v>
      </c>
      <c r="I960">
        <v>1</v>
      </c>
      <c r="J960" t="b">
        <v>1</v>
      </c>
      <c r="K960">
        <v>896</v>
      </c>
      <c r="L960">
        <v>9</v>
      </c>
      <c r="M960" t="s">
        <v>59</v>
      </c>
      <c r="N960" t="s">
        <v>40</v>
      </c>
      <c r="O960" t="s">
        <v>41</v>
      </c>
      <c r="P960">
        <v>60</v>
      </c>
      <c r="Q960">
        <v>3.2</v>
      </c>
      <c r="R960" t="b">
        <v>0</v>
      </c>
      <c r="S960" t="s">
        <v>28</v>
      </c>
      <c r="T960">
        <v>2731</v>
      </c>
      <c r="U960" t="s">
        <v>35</v>
      </c>
      <c r="V960" t="s">
        <v>52</v>
      </c>
      <c r="W960" t="s">
        <v>53</v>
      </c>
    </row>
    <row r="961" spans="1:23" x14ac:dyDescent="0.3">
      <c r="A961">
        <v>6380</v>
      </c>
      <c r="B961" t="s">
        <v>72</v>
      </c>
      <c r="C961" s="1">
        <v>45020</v>
      </c>
      <c r="D961" s="1">
        <v>45640</v>
      </c>
      <c r="E961">
        <v>7.99</v>
      </c>
      <c r="F961">
        <v>493</v>
      </c>
      <c r="G961" t="s">
        <v>33</v>
      </c>
      <c r="H961">
        <v>5</v>
      </c>
      <c r="I961">
        <v>2</v>
      </c>
      <c r="J961" t="b">
        <v>1</v>
      </c>
      <c r="K961">
        <v>29</v>
      </c>
      <c r="L961">
        <v>82</v>
      </c>
      <c r="M961" t="s">
        <v>48</v>
      </c>
      <c r="N961" t="s">
        <v>64</v>
      </c>
      <c r="O961" t="s">
        <v>27</v>
      </c>
      <c r="P961">
        <v>64</v>
      </c>
      <c r="Q961">
        <v>3.4</v>
      </c>
      <c r="R961" t="b">
        <v>0</v>
      </c>
      <c r="S961" t="s">
        <v>28</v>
      </c>
      <c r="T961">
        <v>833</v>
      </c>
      <c r="U961" t="s">
        <v>29</v>
      </c>
      <c r="V961" t="s">
        <v>52</v>
      </c>
      <c r="W961" t="s">
        <v>37</v>
      </c>
    </row>
    <row r="962" spans="1:23" x14ac:dyDescent="0.3">
      <c r="A962">
        <v>6385</v>
      </c>
      <c r="B962" t="s">
        <v>289</v>
      </c>
      <c r="C962" s="1">
        <v>45126</v>
      </c>
      <c r="D962" s="1">
        <v>45624</v>
      </c>
      <c r="E962">
        <v>11.99</v>
      </c>
      <c r="F962">
        <v>475</v>
      </c>
      <c r="G962" t="s">
        <v>46</v>
      </c>
      <c r="H962">
        <v>1</v>
      </c>
      <c r="I962">
        <v>5</v>
      </c>
      <c r="J962" t="b">
        <v>0</v>
      </c>
      <c r="K962">
        <v>523</v>
      </c>
      <c r="L962">
        <v>30</v>
      </c>
      <c r="M962" t="s">
        <v>63</v>
      </c>
      <c r="N962" t="s">
        <v>64</v>
      </c>
      <c r="O962" t="s">
        <v>34</v>
      </c>
      <c r="P962">
        <v>2</v>
      </c>
      <c r="Q962">
        <v>4.8</v>
      </c>
      <c r="R962" t="b">
        <v>0</v>
      </c>
      <c r="S962" t="s">
        <v>28</v>
      </c>
      <c r="T962">
        <v>2428</v>
      </c>
      <c r="U962" t="s">
        <v>29</v>
      </c>
      <c r="V962" t="s">
        <v>52</v>
      </c>
      <c r="W962" t="s">
        <v>31</v>
      </c>
    </row>
    <row r="963" spans="1:23" x14ac:dyDescent="0.3">
      <c r="A963">
        <v>6858</v>
      </c>
      <c r="B963" t="s">
        <v>200</v>
      </c>
      <c r="C963" s="1">
        <v>45283</v>
      </c>
      <c r="D963" s="1">
        <v>45638</v>
      </c>
      <c r="E963">
        <v>11.99</v>
      </c>
      <c r="F963">
        <v>287</v>
      </c>
      <c r="G963" t="s">
        <v>46</v>
      </c>
      <c r="H963">
        <v>1</v>
      </c>
      <c r="I963">
        <v>2</v>
      </c>
      <c r="J963" t="b">
        <v>0</v>
      </c>
      <c r="K963">
        <v>918</v>
      </c>
      <c r="L963">
        <v>82</v>
      </c>
      <c r="M963" t="s">
        <v>48</v>
      </c>
      <c r="N963" t="s">
        <v>40</v>
      </c>
      <c r="O963" t="s">
        <v>34</v>
      </c>
      <c r="P963">
        <v>81</v>
      </c>
      <c r="Q963">
        <v>3.2</v>
      </c>
      <c r="R963" t="b">
        <v>0</v>
      </c>
      <c r="S963" t="s">
        <v>28</v>
      </c>
      <c r="T963">
        <v>4555</v>
      </c>
      <c r="U963" t="s">
        <v>51</v>
      </c>
      <c r="V963" t="s">
        <v>68</v>
      </c>
      <c r="W963" t="s">
        <v>75</v>
      </c>
    </row>
    <row r="964" spans="1:23" x14ac:dyDescent="0.3">
      <c r="A964">
        <v>8875</v>
      </c>
      <c r="B964" t="s">
        <v>258</v>
      </c>
      <c r="C964" s="1">
        <v>45013</v>
      </c>
      <c r="D964" s="1">
        <v>45643</v>
      </c>
      <c r="E964">
        <v>15.99</v>
      </c>
      <c r="F964">
        <v>138</v>
      </c>
      <c r="G964" t="s">
        <v>24</v>
      </c>
      <c r="H964">
        <v>5</v>
      </c>
      <c r="I964">
        <v>2</v>
      </c>
      <c r="J964" t="b">
        <v>0</v>
      </c>
      <c r="K964">
        <v>40</v>
      </c>
      <c r="L964">
        <v>166</v>
      </c>
      <c r="M964" t="s">
        <v>44</v>
      </c>
      <c r="N964" t="s">
        <v>64</v>
      </c>
      <c r="O964" t="s">
        <v>67</v>
      </c>
      <c r="P964">
        <v>83</v>
      </c>
      <c r="Q964">
        <v>4.2</v>
      </c>
      <c r="R964" t="b">
        <v>0</v>
      </c>
      <c r="S964" t="s">
        <v>28</v>
      </c>
      <c r="T964">
        <v>4777</v>
      </c>
      <c r="U964" t="s">
        <v>65</v>
      </c>
      <c r="V964" t="s">
        <v>36</v>
      </c>
      <c r="W964" t="s">
        <v>53</v>
      </c>
    </row>
    <row r="965" spans="1:23" x14ac:dyDescent="0.3">
      <c r="A965">
        <v>3334</v>
      </c>
      <c r="B965" t="s">
        <v>185</v>
      </c>
      <c r="C965" s="1">
        <v>45389</v>
      </c>
      <c r="D965" s="1">
        <v>45631</v>
      </c>
      <c r="E965">
        <v>15.99</v>
      </c>
      <c r="F965">
        <v>198</v>
      </c>
      <c r="G965" t="s">
        <v>24</v>
      </c>
      <c r="H965">
        <v>3</v>
      </c>
      <c r="I965">
        <v>1</v>
      </c>
      <c r="J965" t="b">
        <v>1</v>
      </c>
      <c r="K965">
        <v>614</v>
      </c>
      <c r="L965">
        <v>69</v>
      </c>
      <c r="M965" t="s">
        <v>74</v>
      </c>
      <c r="N965" t="s">
        <v>26</v>
      </c>
      <c r="O965" t="s">
        <v>50</v>
      </c>
      <c r="P965">
        <v>27</v>
      </c>
      <c r="Q965">
        <v>3.6</v>
      </c>
      <c r="R965" t="b">
        <v>1</v>
      </c>
      <c r="S965" t="s">
        <v>28</v>
      </c>
      <c r="T965">
        <v>459</v>
      </c>
      <c r="U965" t="s">
        <v>29</v>
      </c>
      <c r="V965" t="s">
        <v>36</v>
      </c>
      <c r="W965" t="s">
        <v>31</v>
      </c>
    </row>
    <row r="966" spans="1:23" x14ac:dyDescent="0.3">
      <c r="A966">
        <v>5850</v>
      </c>
      <c r="B966" t="s">
        <v>92</v>
      </c>
      <c r="C966" s="1">
        <v>45145</v>
      </c>
      <c r="D966" s="1">
        <v>45637</v>
      </c>
      <c r="E966">
        <v>15.99</v>
      </c>
      <c r="F966">
        <v>164</v>
      </c>
      <c r="G966" t="s">
        <v>24</v>
      </c>
      <c r="H966">
        <v>2</v>
      </c>
      <c r="I966">
        <v>1</v>
      </c>
      <c r="J966" t="b">
        <v>0</v>
      </c>
      <c r="K966">
        <v>833</v>
      </c>
      <c r="L966">
        <v>89</v>
      </c>
      <c r="M966" t="s">
        <v>74</v>
      </c>
      <c r="N966" t="s">
        <v>64</v>
      </c>
      <c r="O966" t="s">
        <v>50</v>
      </c>
      <c r="P966">
        <v>32</v>
      </c>
      <c r="Q966">
        <v>4.9000000000000004</v>
      </c>
      <c r="R966" t="b">
        <v>0</v>
      </c>
      <c r="S966" t="s">
        <v>28</v>
      </c>
      <c r="T966">
        <v>2644</v>
      </c>
      <c r="U966" t="s">
        <v>51</v>
      </c>
      <c r="V966" t="s">
        <v>52</v>
      </c>
      <c r="W966" t="s">
        <v>37</v>
      </c>
    </row>
    <row r="967" spans="1:23" x14ac:dyDescent="0.3">
      <c r="A967">
        <v>8593</v>
      </c>
      <c r="B967" t="s">
        <v>108</v>
      </c>
      <c r="C967" s="1">
        <v>45496</v>
      </c>
      <c r="D967" s="1">
        <v>45636</v>
      </c>
      <c r="E967">
        <v>15.99</v>
      </c>
      <c r="F967">
        <v>65</v>
      </c>
      <c r="G967" t="s">
        <v>55</v>
      </c>
      <c r="H967">
        <v>4</v>
      </c>
      <c r="I967">
        <v>3</v>
      </c>
      <c r="J967" t="b">
        <v>0</v>
      </c>
      <c r="K967">
        <v>238</v>
      </c>
      <c r="L967">
        <v>39</v>
      </c>
      <c r="M967" t="s">
        <v>74</v>
      </c>
      <c r="N967" t="s">
        <v>64</v>
      </c>
      <c r="O967" t="s">
        <v>34</v>
      </c>
      <c r="P967">
        <v>23</v>
      </c>
      <c r="Q967">
        <v>4.7</v>
      </c>
      <c r="R967" t="b">
        <v>0</v>
      </c>
      <c r="S967" t="s">
        <v>28</v>
      </c>
      <c r="T967">
        <v>2678</v>
      </c>
      <c r="U967" t="s">
        <v>51</v>
      </c>
      <c r="V967" t="s">
        <v>60</v>
      </c>
      <c r="W967" t="s">
        <v>37</v>
      </c>
    </row>
    <row r="968" spans="1:23" x14ac:dyDescent="0.3">
      <c r="A968">
        <v>6278</v>
      </c>
      <c r="B968" t="s">
        <v>220</v>
      </c>
      <c r="C968" s="1">
        <v>45095</v>
      </c>
      <c r="D968" s="1">
        <v>45621</v>
      </c>
      <c r="E968">
        <v>7.99</v>
      </c>
      <c r="F968">
        <v>388</v>
      </c>
      <c r="G968" t="s">
        <v>33</v>
      </c>
      <c r="H968">
        <v>1</v>
      </c>
      <c r="I968">
        <v>6</v>
      </c>
      <c r="J968" t="b">
        <v>1</v>
      </c>
      <c r="K968">
        <v>861</v>
      </c>
      <c r="L968">
        <v>59</v>
      </c>
      <c r="M968" t="s">
        <v>25</v>
      </c>
      <c r="N968" t="s">
        <v>40</v>
      </c>
      <c r="O968" t="s">
        <v>27</v>
      </c>
      <c r="P968">
        <v>42</v>
      </c>
      <c r="Q968">
        <v>4.4000000000000004</v>
      </c>
      <c r="R968" t="b">
        <v>0</v>
      </c>
      <c r="S968" t="s">
        <v>28</v>
      </c>
      <c r="T968">
        <v>1129</v>
      </c>
      <c r="U968" t="s">
        <v>57</v>
      </c>
      <c r="V968" t="s">
        <v>60</v>
      </c>
      <c r="W968" t="s">
        <v>53</v>
      </c>
    </row>
    <row r="969" spans="1:23" x14ac:dyDescent="0.3">
      <c r="A969">
        <v>1388</v>
      </c>
      <c r="B969" t="s">
        <v>109</v>
      </c>
      <c r="C969" s="1">
        <v>45310</v>
      </c>
      <c r="D969" s="1">
        <v>45636</v>
      </c>
      <c r="E969">
        <v>15.99</v>
      </c>
      <c r="F969">
        <v>412</v>
      </c>
      <c r="G969" t="s">
        <v>79</v>
      </c>
      <c r="H969">
        <v>3</v>
      </c>
      <c r="I969">
        <v>3</v>
      </c>
      <c r="J969" t="b">
        <v>1</v>
      </c>
      <c r="K969">
        <v>999</v>
      </c>
      <c r="L969">
        <v>127</v>
      </c>
      <c r="M969" t="s">
        <v>25</v>
      </c>
      <c r="N969" t="s">
        <v>64</v>
      </c>
      <c r="O969" t="s">
        <v>27</v>
      </c>
      <c r="P969">
        <v>4</v>
      </c>
      <c r="Q969">
        <v>4</v>
      </c>
      <c r="R969" t="b">
        <v>0</v>
      </c>
      <c r="S969" t="s">
        <v>28</v>
      </c>
      <c r="T969">
        <v>1258</v>
      </c>
      <c r="U969" t="s">
        <v>35</v>
      </c>
      <c r="V969" t="s">
        <v>52</v>
      </c>
      <c r="W969" t="s">
        <v>31</v>
      </c>
    </row>
    <row r="970" spans="1:23" x14ac:dyDescent="0.3">
      <c r="A970">
        <v>2521</v>
      </c>
      <c r="B970" t="s">
        <v>102</v>
      </c>
      <c r="C970" s="1">
        <v>45412</v>
      </c>
      <c r="D970" s="1">
        <v>45623</v>
      </c>
      <c r="E970">
        <v>15.99</v>
      </c>
      <c r="F970">
        <v>267</v>
      </c>
      <c r="G970" t="s">
        <v>24</v>
      </c>
      <c r="H970">
        <v>4</v>
      </c>
      <c r="I970">
        <v>4</v>
      </c>
      <c r="J970" t="b">
        <v>0</v>
      </c>
      <c r="K970">
        <v>118</v>
      </c>
      <c r="L970">
        <v>6</v>
      </c>
      <c r="M970" t="s">
        <v>25</v>
      </c>
      <c r="N970" t="s">
        <v>64</v>
      </c>
      <c r="O970" t="s">
        <v>56</v>
      </c>
      <c r="P970">
        <v>57</v>
      </c>
      <c r="Q970">
        <v>5</v>
      </c>
      <c r="R970" t="b">
        <v>0</v>
      </c>
      <c r="S970" t="s">
        <v>28</v>
      </c>
      <c r="T970">
        <v>3213</v>
      </c>
      <c r="U970" t="s">
        <v>29</v>
      </c>
      <c r="V970" t="s">
        <v>68</v>
      </c>
      <c r="W970" t="s">
        <v>37</v>
      </c>
    </row>
    <row r="971" spans="1:23" x14ac:dyDescent="0.3">
      <c r="A971">
        <v>1269</v>
      </c>
      <c r="B971" t="s">
        <v>397</v>
      </c>
      <c r="C971" s="1">
        <v>44935</v>
      </c>
      <c r="D971" s="1">
        <v>45625</v>
      </c>
      <c r="E971">
        <v>15.99</v>
      </c>
      <c r="F971">
        <v>29</v>
      </c>
      <c r="G971" t="s">
        <v>24</v>
      </c>
      <c r="H971">
        <v>3</v>
      </c>
      <c r="I971">
        <v>2</v>
      </c>
      <c r="J971" t="b">
        <v>0</v>
      </c>
      <c r="K971">
        <v>404</v>
      </c>
      <c r="L971">
        <v>177</v>
      </c>
      <c r="M971" t="s">
        <v>25</v>
      </c>
      <c r="N971" t="s">
        <v>64</v>
      </c>
      <c r="O971" t="s">
        <v>50</v>
      </c>
      <c r="P971">
        <v>81</v>
      </c>
      <c r="Q971">
        <v>4.4000000000000004</v>
      </c>
      <c r="R971" t="b">
        <v>0</v>
      </c>
      <c r="S971" t="s">
        <v>28</v>
      </c>
      <c r="T971">
        <v>4127</v>
      </c>
      <c r="U971" t="s">
        <v>65</v>
      </c>
      <c r="V971" t="s">
        <v>52</v>
      </c>
      <c r="W971" t="s">
        <v>37</v>
      </c>
    </row>
    <row r="972" spans="1:23" x14ac:dyDescent="0.3">
      <c r="A972">
        <v>9959</v>
      </c>
      <c r="B972" t="s">
        <v>172</v>
      </c>
      <c r="C972" s="1">
        <v>45546</v>
      </c>
      <c r="D972" s="1">
        <v>45636</v>
      </c>
      <c r="E972">
        <v>15.99</v>
      </c>
      <c r="F972">
        <v>454</v>
      </c>
      <c r="G972" t="s">
        <v>24</v>
      </c>
      <c r="H972">
        <v>5</v>
      </c>
      <c r="I972">
        <v>6</v>
      </c>
      <c r="J972" t="b">
        <v>1</v>
      </c>
      <c r="K972">
        <v>938</v>
      </c>
      <c r="L972">
        <v>75</v>
      </c>
      <c r="M972" t="s">
        <v>63</v>
      </c>
      <c r="N972" t="s">
        <v>40</v>
      </c>
      <c r="O972" t="s">
        <v>34</v>
      </c>
      <c r="P972">
        <v>51</v>
      </c>
      <c r="Q972">
        <v>3.1</v>
      </c>
      <c r="R972" t="b">
        <v>0</v>
      </c>
      <c r="S972" t="s">
        <v>28</v>
      </c>
      <c r="T972">
        <v>1961</v>
      </c>
      <c r="U972" t="s">
        <v>51</v>
      </c>
      <c r="V972" t="s">
        <v>36</v>
      </c>
      <c r="W972" t="s">
        <v>75</v>
      </c>
    </row>
    <row r="973" spans="1:23" x14ac:dyDescent="0.3">
      <c r="A973">
        <v>7549</v>
      </c>
      <c r="B973" t="s">
        <v>394</v>
      </c>
      <c r="C973" s="1">
        <v>45442</v>
      </c>
      <c r="D973" s="1">
        <v>45624</v>
      </c>
      <c r="E973">
        <v>15.99</v>
      </c>
      <c r="F973">
        <v>119</v>
      </c>
      <c r="G973" t="s">
        <v>79</v>
      </c>
      <c r="H973">
        <v>1</v>
      </c>
      <c r="I973">
        <v>5</v>
      </c>
      <c r="J973" t="b">
        <v>1</v>
      </c>
      <c r="K973">
        <v>112</v>
      </c>
      <c r="L973">
        <v>181</v>
      </c>
      <c r="M973" t="s">
        <v>74</v>
      </c>
      <c r="N973" t="s">
        <v>49</v>
      </c>
      <c r="O973" t="s">
        <v>34</v>
      </c>
      <c r="P973">
        <v>47</v>
      </c>
      <c r="Q973">
        <v>3.2</v>
      </c>
      <c r="R973" t="b">
        <v>1</v>
      </c>
      <c r="S973" t="s">
        <v>28</v>
      </c>
      <c r="T973">
        <v>1708</v>
      </c>
      <c r="U973" t="s">
        <v>35</v>
      </c>
      <c r="V973" t="s">
        <v>52</v>
      </c>
      <c r="W973" t="s">
        <v>75</v>
      </c>
    </row>
    <row r="974" spans="1:23" x14ac:dyDescent="0.3">
      <c r="A974">
        <v>4747</v>
      </c>
      <c r="B974" t="s">
        <v>146</v>
      </c>
      <c r="C974" s="1">
        <v>45332</v>
      </c>
      <c r="D974" s="1">
        <v>45635</v>
      </c>
      <c r="E974">
        <v>11.99</v>
      </c>
      <c r="F974">
        <v>311</v>
      </c>
      <c r="G974" t="s">
        <v>24</v>
      </c>
      <c r="H974">
        <v>5</v>
      </c>
      <c r="I974">
        <v>1</v>
      </c>
      <c r="J974" t="b">
        <v>1</v>
      </c>
      <c r="K974">
        <v>430</v>
      </c>
      <c r="L974">
        <v>188</v>
      </c>
      <c r="M974" t="s">
        <v>44</v>
      </c>
      <c r="N974" t="s">
        <v>49</v>
      </c>
      <c r="O974" t="s">
        <v>67</v>
      </c>
      <c r="P974">
        <v>78</v>
      </c>
      <c r="Q974">
        <v>4.4000000000000004</v>
      </c>
      <c r="R974" t="b">
        <v>1</v>
      </c>
      <c r="S974" t="s">
        <v>28</v>
      </c>
      <c r="T974">
        <v>2288</v>
      </c>
      <c r="U974" t="s">
        <v>51</v>
      </c>
      <c r="V974" t="s">
        <v>68</v>
      </c>
      <c r="W974" t="s">
        <v>53</v>
      </c>
    </row>
    <row r="975" spans="1:23" x14ac:dyDescent="0.3">
      <c r="A975">
        <v>8320</v>
      </c>
      <c r="B975" t="s">
        <v>310</v>
      </c>
      <c r="C975" s="1">
        <v>45293</v>
      </c>
      <c r="D975" s="1">
        <v>45635</v>
      </c>
      <c r="E975">
        <v>15.99</v>
      </c>
      <c r="F975">
        <v>122</v>
      </c>
      <c r="G975" t="s">
        <v>62</v>
      </c>
      <c r="H975">
        <v>2</v>
      </c>
      <c r="I975">
        <v>2</v>
      </c>
      <c r="J975" t="b">
        <v>0</v>
      </c>
      <c r="K975">
        <v>626</v>
      </c>
      <c r="L975">
        <v>69</v>
      </c>
      <c r="M975" t="s">
        <v>25</v>
      </c>
      <c r="N975" t="s">
        <v>26</v>
      </c>
      <c r="O975" t="s">
        <v>41</v>
      </c>
      <c r="P975">
        <v>17</v>
      </c>
      <c r="Q975">
        <v>4.2</v>
      </c>
      <c r="R975" t="b">
        <v>1</v>
      </c>
      <c r="S975" t="s">
        <v>28</v>
      </c>
      <c r="T975">
        <v>4570</v>
      </c>
      <c r="U975" t="s">
        <v>57</v>
      </c>
      <c r="V975" t="s">
        <v>30</v>
      </c>
      <c r="W975" t="s">
        <v>53</v>
      </c>
    </row>
    <row r="976" spans="1:23" x14ac:dyDescent="0.3">
      <c r="A976">
        <v>1333</v>
      </c>
      <c r="B976" t="s">
        <v>82</v>
      </c>
      <c r="C976" s="1">
        <v>45398</v>
      </c>
      <c r="D976" s="1">
        <v>45615</v>
      </c>
      <c r="E976">
        <v>15.99</v>
      </c>
      <c r="F976">
        <v>300</v>
      </c>
      <c r="G976" t="s">
        <v>43</v>
      </c>
      <c r="H976">
        <v>5</v>
      </c>
      <c r="I976">
        <v>4</v>
      </c>
      <c r="J976" t="b">
        <v>1</v>
      </c>
      <c r="K976">
        <v>819</v>
      </c>
      <c r="L976">
        <v>143</v>
      </c>
      <c r="M976" t="s">
        <v>39</v>
      </c>
      <c r="N976" t="s">
        <v>49</v>
      </c>
      <c r="O976" t="s">
        <v>34</v>
      </c>
      <c r="P976">
        <v>23</v>
      </c>
      <c r="Q976">
        <v>5</v>
      </c>
      <c r="R976" t="b">
        <v>0</v>
      </c>
      <c r="S976" t="s">
        <v>28</v>
      </c>
      <c r="T976">
        <v>2547</v>
      </c>
      <c r="U976" t="s">
        <v>35</v>
      </c>
      <c r="V976" t="s">
        <v>60</v>
      </c>
      <c r="W976" t="s">
        <v>37</v>
      </c>
    </row>
    <row r="977" spans="1:23" x14ac:dyDescent="0.3">
      <c r="A977">
        <v>5254</v>
      </c>
      <c r="B977" t="s">
        <v>305</v>
      </c>
      <c r="C977" s="1">
        <v>45546</v>
      </c>
      <c r="D977" s="1">
        <v>45626</v>
      </c>
      <c r="E977">
        <v>15.99</v>
      </c>
      <c r="F977">
        <v>59</v>
      </c>
      <c r="G977" t="s">
        <v>79</v>
      </c>
      <c r="H977">
        <v>4</v>
      </c>
      <c r="I977">
        <v>3</v>
      </c>
      <c r="J977" t="b">
        <v>0</v>
      </c>
      <c r="K977">
        <v>718</v>
      </c>
      <c r="L977">
        <v>3</v>
      </c>
      <c r="M977" t="s">
        <v>39</v>
      </c>
      <c r="N977" t="s">
        <v>40</v>
      </c>
      <c r="O977" t="s">
        <v>34</v>
      </c>
      <c r="P977">
        <v>43</v>
      </c>
      <c r="Q977">
        <v>4.2</v>
      </c>
      <c r="R977" t="b">
        <v>1</v>
      </c>
      <c r="S977" t="s">
        <v>28</v>
      </c>
      <c r="T977">
        <v>4655</v>
      </c>
      <c r="U977" t="s">
        <v>35</v>
      </c>
      <c r="V977" t="s">
        <v>52</v>
      </c>
      <c r="W977" t="s">
        <v>31</v>
      </c>
    </row>
    <row r="978" spans="1:23" x14ac:dyDescent="0.3">
      <c r="A978">
        <v>6842</v>
      </c>
      <c r="B978" t="s">
        <v>359</v>
      </c>
      <c r="C978" s="1">
        <v>45099</v>
      </c>
      <c r="D978" s="1">
        <v>45634</v>
      </c>
      <c r="E978">
        <v>15.99</v>
      </c>
      <c r="F978">
        <v>34</v>
      </c>
      <c r="G978" t="s">
        <v>33</v>
      </c>
      <c r="H978">
        <v>1</v>
      </c>
      <c r="I978">
        <v>4</v>
      </c>
      <c r="J978" t="b">
        <v>1</v>
      </c>
      <c r="K978">
        <v>109</v>
      </c>
      <c r="L978">
        <v>174</v>
      </c>
      <c r="M978" t="s">
        <v>39</v>
      </c>
      <c r="N978" t="s">
        <v>40</v>
      </c>
      <c r="O978" t="s">
        <v>27</v>
      </c>
      <c r="P978">
        <v>74</v>
      </c>
      <c r="Q978">
        <v>4.4000000000000004</v>
      </c>
      <c r="R978" t="b">
        <v>1</v>
      </c>
      <c r="S978" t="s">
        <v>28</v>
      </c>
      <c r="T978">
        <v>1656</v>
      </c>
      <c r="U978" t="s">
        <v>65</v>
      </c>
      <c r="V978" t="s">
        <v>68</v>
      </c>
      <c r="W978" t="s">
        <v>31</v>
      </c>
    </row>
    <row r="979" spans="1:23" x14ac:dyDescent="0.3">
      <c r="A979">
        <v>9333</v>
      </c>
      <c r="B979" t="s">
        <v>353</v>
      </c>
      <c r="C979" s="1">
        <v>45277</v>
      </c>
      <c r="D979" s="1">
        <v>45643</v>
      </c>
      <c r="E979">
        <v>11.99</v>
      </c>
      <c r="F979">
        <v>23</v>
      </c>
      <c r="G979" t="s">
        <v>62</v>
      </c>
      <c r="H979">
        <v>2</v>
      </c>
      <c r="I979">
        <v>1</v>
      </c>
      <c r="J979" t="b">
        <v>0</v>
      </c>
      <c r="K979">
        <v>544</v>
      </c>
      <c r="L979">
        <v>25</v>
      </c>
      <c r="M979" t="s">
        <v>48</v>
      </c>
      <c r="N979" t="s">
        <v>64</v>
      </c>
      <c r="O979" t="s">
        <v>34</v>
      </c>
      <c r="P979">
        <v>47</v>
      </c>
      <c r="Q979">
        <v>3.6</v>
      </c>
      <c r="R979" t="b">
        <v>0</v>
      </c>
      <c r="S979" t="s">
        <v>28</v>
      </c>
      <c r="T979">
        <v>2761</v>
      </c>
      <c r="U979" t="s">
        <v>57</v>
      </c>
      <c r="V979" t="s">
        <v>36</v>
      </c>
      <c r="W979" t="s">
        <v>37</v>
      </c>
    </row>
    <row r="980" spans="1:23" x14ac:dyDescent="0.3">
      <c r="A980">
        <v>9122</v>
      </c>
      <c r="B980" t="s">
        <v>398</v>
      </c>
      <c r="C980" s="1">
        <v>45507</v>
      </c>
      <c r="D980" s="1">
        <v>45637</v>
      </c>
      <c r="E980">
        <v>15.99</v>
      </c>
      <c r="F980">
        <v>168</v>
      </c>
      <c r="G980" t="s">
        <v>24</v>
      </c>
      <c r="H980">
        <v>3</v>
      </c>
      <c r="I980">
        <v>2</v>
      </c>
      <c r="J980" t="b">
        <v>1</v>
      </c>
      <c r="K980">
        <v>25</v>
      </c>
      <c r="L980">
        <v>171</v>
      </c>
      <c r="M980" t="s">
        <v>74</v>
      </c>
      <c r="N980" t="s">
        <v>26</v>
      </c>
      <c r="O980" t="s">
        <v>27</v>
      </c>
      <c r="P980">
        <v>79</v>
      </c>
      <c r="Q980">
        <v>4</v>
      </c>
      <c r="R980" t="b">
        <v>0</v>
      </c>
      <c r="S980" t="s">
        <v>28</v>
      </c>
      <c r="T980">
        <v>773</v>
      </c>
      <c r="U980" t="s">
        <v>35</v>
      </c>
      <c r="V980" t="s">
        <v>36</v>
      </c>
      <c r="W980" t="s">
        <v>37</v>
      </c>
    </row>
    <row r="981" spans="1:23" x14ac:dyDescent="0.3">
      <c r="A981">
        <v>6221</v>
      </c>
      <c r="B981" t="s">
        <v>102</v>
      </c>
      <c r="C981" s="1">
        <v>45612</v>
      </c>
      <c r="D981" s="1">
        <v>45621</v>
      </c>
      <c r="E981">
        <v>11.99</v>
      </c>
      <c r="F981">
        <v>306</v>
      </c>
      <c r="G981" t="s">
        <v>24</v>
      </c>
      <c r="H981">
        <v>5</v>
      </c>
      <c r="I981">
        <v>1</v>
      </c>
      <c r="J981" t="b">
        <v>1</v>
      </c>
      <c r="K981">
        <v>513</v>
      </c>
      <c r="L981">
        <v>70</v>
      </c>
      <c r="M981" t="s">
        <v>25</v>
      </c>
      <c r="N981" t="s">
        <v>49</v>
      </c>
      <c r="O981" t="s">
        <v>50</v>
      </c>
      <c r="P981">
        <v>86</v>
      </c>
      <c r="Q981">
        <v>3.7</v>
      </c>
      <c r="R981" t="b">
        <v>0</v>
      </c>
      <c r="S981" t="s">
        <v>28</v>
      </c>
      <c r="T981">
        <v>1652</v>
      </c>
      <c r="U981" t="s">
        <v>35</v>
      </c>
      <c r="V981" t="s">
        <v>52</v>
      </c>
      <c r="W981" t="s">
        <v>31</v>
      </c>
    </row>
    <row r="982" spans="1:23" x14ac:dyDescent="0.3">
      <c r="A982">
        <v>9957</v>
      </c>
      <c r="B982" t="s">
        <v>220</v>
      </c>
      <c r="C982" s="1">
        <v>45238</v>
      </c>
      <c r="D982" s="1">
        <v>45639</v>
      </c>
      <c r="E982">
        <v>15.99</v>
      </c>
      <c r="F982">
        <v>433</v>
      </c>
      <c r="G982" t="s">
        <v>46</v>
      </c>
      <c r="H982">
        <v>2</v>
      </c>
      <c r="I982">
        <v>6</v>
      </c>
      <c r="J982" t="b">
        <v>1</v>
      </c>
      <c r="K982">
        <v>1000</v>
      </c>
      <c r="L982">
        <v>48</v>
      </c>
      <c r="M982" t="s">
        <v>74</v>
      </c>
      <c r="N982" t="s">
        <v>40</v>
      </c>
      <c r="O982" t="s">
        <v>50</v>
      </c>
      <c r="P982">
        <v>92</v>
      </c>
      <c r="Q982">
        <v>3.7</v>
      </c>
      <c r="R982" t="b">
        <v>0</v>
      </c>
      <c r="S982" t="s">
        <v>28</v>
      </c>
      <c r="T982">
        <v>1037</v>
      </c>
      <c r="U982" t="s">
        <v>65</v>
      </c>
      <c r="V982" t="s">
        <v>68</v>
      </c>
      <c r="W982" t="s">
        <v>31</v>
      </c>
    </row>
    <row r="983" spans="1:23" x14ac:dyDescent="0.3">
      <c r="A983">
        <v>4680</v>
      </c>
      <c r="B983" t="s">
        <v>399</v>
      </c>
      <c r="C983" s="1">
        <v>45642</v>
      </c>
      <c r="D983" s="1">
        <v>45637</v>
      </c>
      <c r="E983">
        <v>11.99</v>
      </c>
      <c r="F983">
        <v>221</v>
      </c>
      <c r="G983" t="s">
        <v>79</v>
      </c>
      <c r="H983">
        <v>5</v>
      </c>
      <c r="I983">
        <v>5</v>
      </c>
      <c r="J983" t="b">
        <v>1</v>
      </c>
      <c r="K983">
        <v>749</v>
      </c>
      <c r="L983">
        <v>66</v>
      </c>
      <c r="M983" t="s">
        <v>25</v>
      </c>
      <c r="N983" t="s">
        <v>64</v>
      </c>
      <c r="O983" t="s">
        <v>34</v>
      </c>
      <c r="P983">
        <v>37</v>
      </c>
      <c r="Q983">
        <v>3.3</v>
      </c>
      <c r="R983" t="b">
        <v>1</v>
      </c>
      <c r="S983" t="s">
        <v>28</v>
      </c>
      <c r="T983">
        <v>4505</v>
      </c>
      <c r="U983" t="s">
        <v>51</v>
      </c>
      <c r="V983" t="s">
        <v>30</v>
      </c>
      <c r="W983" t="s">
        <v>75</v>
      </c>
    </row>
    <row r="984" spans="1:23" x14ac:dyDescent="0.3">
      <c r="A984">
        <v>5974</v>
      </c>
      <c r="B984" t="s">
        <v>400</v>
      </c>
      <c r="C984" s="1">
        <v>45585</v>
      </c>
      <c r="D984" s="1">
        <v>45619</v>
      </c>
      <c r="E984">
        <v>15.99</v>
      </c>
      <c r="F984">
        <v>236</v>
      </c>
      <c r="G984" t="s">
        <v>46</v>
      </c>
      <c r="H984">
        <v>3</v>
      </c>
      <c r="I984">
        <v>5</v>
      </c>
      <c r="J984" t="b">
        <v>1</v>
      </c>
      <c r="K984">
        <v>600</v>
      </c>
      <c r="L984">
        <v>199</v>
      </c>
      <c r="M984" t="s">
        <v>44</v>
      </c>
      <c r="N984" t="s">
        <v>64</v>
      </c>
      <c r="O984" t="s">
        <v>34</v>
      </c>
      <c r="P984">
        <v>56</v>
      </c>
      <c r="Q984">
        <v>3.7</v>
      </c>
      <c r="R984" t="b">
        <v>0</v>
      </c>
      <c r="S984" t="s">
        <v>28</v>
      </c>
      <c r="T984">
        <v>3648</v>
      </c>
      <c r="U984" t="s">
        <v>65</v>
      </c>
      <c r="V984" t="s">
        <v>52</v>
      </c>
      <c r="W984" t="s">
        <v>37</v>
      </c>
    </row>
    <row r="985" spans="1:23" x14ac:dyDescent="0.3">
      <c r="A985">
        <v>6938</v>
      </c>
      <c r="B985" t="s">
        <v>235</v>
      </c>
      <c r="C985" s="1">
        <v>45417</v>
      </c>
      <c r="D985" s="1">
        <v>45638</v>
      </c>
      <c r="E985">
        <v>11.99</v>
      </c>
      <c r="F985">
        <v>75</v>
      </c>
      <c r="G985" t="s">
        <v>24</v>
      </c>
      <c r="H985">
        <v>4</v>
      </c>
      <c r="I985">
        <v>6</v>
      </c>
      <c r="J985" t="b">
        <v>0</v>
      </c>
      <c r="K985">
        <v>897</v>
      </c>
      <c r="L985">
        <v>59</v>
      </c>
      <c r="M985" t="s">
        <v>63</v>
      </c>
      <c r="N985" t="s">
        <v>49</v>
      </c>
      <c r="O985" t="s">
        <v>27</v>
      </c>
      <c r="P985">
        <v>11</v>
      </c>
      <c r="Q985">
        <v>3.4</v>
      </c>
      <c r="R985" t="b">
        <v>0</v>
      </c>
      <c r="S985" t="s">
        <v>28</v>
      </c>
      <c r="T985">
        <v>4015</v>
      </c>
      <c r="U985" t="s">
        <v>35</v>
      </c>
      <c r="V985" t="s">
        <v>52</v>
      </c>
      <c r="W985" t="s">
        <v>75</v>
      </c>
    </row>
    <row r="986" spans="1:23" x14ac:dyDescent="0.3">
      <c r="A986">
        <v>1175</v>
      </c>
      <c r="B986" t="s">
        <v>325</v>
      </c>
      <c r="C986" s="1">
        <v>45363</v>
      </c>
      <c r="D986" s="1">
        <v>45617</v>
      </c>
      <c r="E986">
        <v>15.99</v>
      </c>
      <c r="F986">
        <v>325</v>
      </c>
      <c r="G986" t="s">
        <v>62</v>
      </c>
      <c r="H986">
        <v>3</v>
      </c>
      <c r="I986">
        <v>6</v>
      </c>
      <c r="J986" t="b">
        <v>1</v>
      </c>
      <c r="K986">
        <v>412</v>
      </c>
      <c r="L986">
        <v>117</v>
      </c>
      <c r="M986" t="s">
        <v>63</v>
      </c>
      <c r="N986" t="s">
        <v>49</v>
      </c>
      <c r="O986" t="s">
        <v>27</v>
      </c>
      <c r="P986">
        <v>48</v>
      </c>
      <c r="Q986">
        <v>4</v>
      </c>
      <c r="R986" t="b">
        <v>1</v>
      </c>
      <c r="S986" t="s">
        <v>28</v>
      </c>
      <c r="T986">
        <v>2050</v>
      </c>
      <c r="U986" t="s">
        <v>65</v>
      </c>
      <c r="V986" t="s">
        <v>36</v>
      </c>
      <c r="W986" t="s">
        <v>75</v>
      </c>
    </row>
    <row r="987" spans="1:23" x14ac:dyDescent="0.3">
      <c r="A987">
        <v>1260</v>
      </c>
      <c r="B987" t="s">
        <v>267</v>
      </c>
      <c r="C987" s="1">
        <v>45363</v>
      </c>
      <c r="D987" s="1">
        <v>45629</v>
      </c>
      <c r="E987">
        <v>7.99</v>
      </c>
      <c r="F987">
        <v>217</v>
      </c>
      <c r="G987" t="s">
        <v>46</v>
      </c>
      <c r="H987">
        <v>5</v>
      </c>
      <c r="I987">
        <v>2</v>
      </c>
      <c r="J987" t="b">
        <v>0</v>
      </c>
      <c r="K987">
        <v>669</v>
      </c>
      <c r="L987">
        <v>155</v>
      </c>
      <c r="M987" t="s">
        <v>63</v>
      </c>
      <c r="N987" t="s">
        <v>40</v>
      </c>
      <c r="O987" t="s">
        <v>41</v>
      </c>
      <c r="P987">
        <v>40</v>
      </c>
      <c r="Q987">
        <v>4.8</v>
      </c>
      <c r="R987" t="b">
        <v>1</v>
      </c>
      <c r="S987" t="s">
        <v>28</v>
      </c>
      <c r="T987">
        <v>2390</v>
      </c>
      <c r="U987" t="s">
        <v>65</v>
      </c>
      <c r="V987" t="s">
        <v>30</v>
      </c>
      <c r="W987" t="s">
        <v>31</v>
      </c>
    </row>
    <row r="988" spans="1:23" x14ac:dyDescent="0.3">
      <c r="A988">
        <v>4645</v>
      </c>
      <c r="B988" t="s">
        <v>94</v>
      </c>
      <c r="C988" s="1">
        <v>45076</v>
      </c>
      <c r="D988" s="1">
        <v>45640</v>
      </c>
      <c r="E988">
        <v>7.99</v>
      </c>
      <c r="F988">
        <v>178</v>
      </c>
      <c r="G988" t="s">
        <v>24</v>
      </c>
      <c r="H988">
        <v>4</v>
      </c>
      <c r="I988">
        <v>5</v>
      </c>
      <c r="J988" t="b">
        <v>1</v>
      </c>
      <c r="K988">
        <v>323</v>
      </c>
      <c r="L988">
        <v>130</v>
      </c>
      <c r="M988" t="s">
        <v>63</v>
      </c>
      <c r="N988" t="s">
        <v>64</v>
      </c>
      <c r="O988" t="s">
        <v>67</v>
      </c>
      <c r="P988">
        <v>29</v>
      </c>
      <c r="Q988">
        <v>3</v>
      </c>
      <c r="R988" t="b">
        <v>1</v>
      </c>
      <c r="S988" t="s">
        <v>28</v>
      </c>
      <c r="T988">
        <v>3079</v>
      </c>
      <c r="U988" t="s">
        <v>35</v>
      </c>
      <c r="V988" t="s">
        <v>30</v>
      </c>
      <c r="W988" t="s">
        <v>75</v>
      </c>
    </row>
    <row r="989" spans="1:23" x14ac:dyDescent="0.3">
      <c r="A989">
        <v>1637</v>
      </c>
      <c r="B989" t="s">
        <v>89</v>
      </c>
      <c r="C989" s="1">
        <v>45387</v>
      </c>
      <c r="D989" s="1">
        <v>45615</v>
      </c>
      <c r="E989">
        <v>15.99</v>
      </c>
      <c r="F989">
        <v>74</v>
      </c>
      <c r="G989" t="s">
        <v>43</v>
      </c>
      <c r="H989">
        <v>4</v>
      </c>
      <c r="I989">
        <v>3</v>
      </c>
      <c r="J989" t="b">
        <v>1</v>
      </c>
      <c r="K989">
        <v>646</v>
      </c>
      <c r="L989">
        <v>38</v>
      </c>
      <c r="M989" t="s">
        <v>44</v>
      </c>
      <c r="N989" t="s">
        <v>64</v>
      </c>
      <c r="O989" t="s">
        <v>27</v>
      </c>
      <c r="P989">
        <v>37</v>
      </c>
      <c r="Q989">
        <v>4.0999999999999996</v>
      </c>
      <c r="R989" t="b">
        <v>0</v>
      </c>
      <c r="S989" t="s">
        <v>28</v>
      </c>
      <c r="T989">
        <v>4111</v>
      </c>
      <c r="U989" t="s">
        <v>65</v>
      </c>
      <c r="V989" t="s">
        <v>60</v>
      </c>
      <c r="W989" t="s">
        <v>31</v>
      </c>
    </row>
    <row r="990" spans="1:23" x14ac:dyDescent="0.3">
      <c r="A990">
        <v>7960</v>
      </c>
      <c r="B990" t="s">
        <v>296</v>
      </c>
      <c r="C990" s="1">
        <v>44935</v>
      </c>
      <c r="D990" s="1">
        <v>45618</v>
      </c>
      <c r="E990">
        <v>15.99</v>
      </c>
      <c r="F990">
        <v>373</v>
      </c>
      <c r="G990" t="s">
        <v>62</v>
      </c>
      <c r="H990">
        <v>1</v>
      </c>
      <c r="I990">
        <v>3</v>
      </c>
      <c r="J990" t="b">
        <v>0</v>
      </c>
      <c r="K990">
        <v>507</v>
      </c>
      <c r="L990">
        <v>130</v>
      </c>
      <c r="M990" t="s">
        <v>39</v>
      </c>
      <c r="N990" t="s">
        <v>49</v>
      </c>
      <c r="O990" t="s">
        <v>56</v>
      </c>
      <c r="P990">
        <v>41</v>
      </c>
      <c r="Q990">
        <v>3.3</v>
      </c>
      <c r="R990" t="b">
        <v>1</v>
      </c>
      <c r="S990" t="s">
        <v>28</v>
      </c>
      <c r="T990">
        <v>3221</v>
      </c>
      <c r="U990" t="s">
        <v>29</v>
      </c>
      <c r="V990" t="s">
        <v>52</v>
      </c>
      <c r="W990" t="s">
        <v>53</v>
      </c>
    </row>
    <row r="991" spans="1:23" x14ac:dyDescent="0.3">
      <c r="A991">
        <v>9693</v>
      </c>
      <c r="B991" t="s">
        <v>401</v>
      </c>
      <c r="C991" s="1">
        <v>45379</v>
      </c>
      <c r="D991" s="1">
        <v>45626</v>
      </c>
      <c r="E991">
        <v>15.99</v>
      </c>
      <c r="F991">
        <v>64</v>
      </c>
      <c r="G991" t="s">
        <v>62</v>
      </c>
      <c r="H991">
        <v>5</v>
      </c>
      <c r="I991">
        <v>1</v>
      </c>
      <c r="J991" t="b">
        <v>0</v>
      </c>
      <c r="K991">
        <v>881</v>
      </c>
      <c r="L991">
        <v>15</v>
      </c>
      <c r="M991" t="s">
        <v>44</v>
      </c>
      <c r="N991" t="s">
        <v>26</v>
      </c>
      <c r="O991" t="s">
        <v>41</v>
      </c>
      <c r="P991">
        <v>22</v>
      </c>
      <c r="Q991">
        <v>3.6</v>
      </c>
      <c r="R991" t="b">
        <v>0</v>
      </c>
      <c r="S991" t="s">
        <v>28</v>
      </c>
      <c r="T991">
        <v>2461</v>
      </c>
      <c r="U991" t="s">
        <v>65</v>
      </c>
      <c r="V991" t="s">
        <v>52</v>
      </c>
      <c r="W991" t="s">
        <v>75</v>
      </c>
    </row>
    <row r="992" spans="1:23" x14ac:dyDescent="0.3">
      <c r="A992">
        <v>8743</v>
      </c>
      <c r="B992" t="s">
        <v>134</v>
      </c>
      <c r="C992" s="1">
        <v>45321</v>
      </c>
      <c r="D992" s="1">
        <v>45621</v>
      </c>
      <c r="E992">
        <v>11.99</v>
      </c>
      <c r="F992">
        <v>129</v>
      </c>
      <c r="G992" t="s">
        <v>24</v>
      </c>
      <c r="H992">
        <v>3</v>
      </c>
      <c r="I992">
        <v>5</v>
      </c>
      <c r="J992" t="b">
        <v>1</v>
      </c>
      <c r="K992">
        <v>594</v>
      </c>
      <c r="L992">
        <v>127</v>
      </c>
      <c r="M992" t="s">
        <v>48</v>
      </c>
      <c r="N992" t="s">
        <v>26</v>
      </c>
      <c r="O992" t="s">
        <v>34</v>
      </c>
      <c r="P992">
        <v>79</v>
      </c>
      <c r="Q992">
        <v>3.9</v>
      </c>
      <c r="R992" t="b">
        <v>0</v>
      </c>
      <c r="S992" t="s">
        <v>28</v>
      </c>
      <c r="T992">
        <v>2858</v>
      </c>
      <c r="U992" t="s">
        <v>29</v>
      </c>
      <c r="V992" t="s">
        <v>60</v>
      </c>
      <c r="W992" t="s">
        <v>53</v>
      </c>
    </row>
    <row r="993" spans="1:23" x14ac:dyDescent="0.3">
      <c r="A993">
        <v>3379</v>
      </c>
      <c r="B993" t="s">
        <v>381</v>
      </c>
      <c r="C993" s="1">
        <v>45177</v>
      </c>
      <c r="D993" s="1">
        <v>45638</v>
      </c>
      <c r="E993">
        <v>15.99</v>
      </c>
      <c r="F993">
        <v>297</v>
      </c>
      <c r="G993" t="s">
        <v>43</v>
      </c>
      <c r="H993">
        <v>3</v>
      </c>
      <c r="I993">
        <v>1</v>
      </c>
      <c r="J993" t="b">
        <v>1</v>
      </c>
      <c r="K993">
        <v>667</v>
      </c>
      <c r="L993">
        <v>75</v>
      </c>
      <c r="M993" t="s">
        <v>48</v>
      </c>
      <c r="N993" t="s">
        <v>26</v>
      </c>
      <c r="O993" t="s">
        <v>34</v>
      </c>
      <c r="P993">
        <v>89</v>
      </c>
      <c r="Q993">
        <v>4.5</v>
      </c>
      <c r="R993" t="b">
        <v>0</v>
      </c>
      <c r="S993" t="s">
        <v>28</v>
      </c>
      <c r="T993">
        <v>4076</v>
      </c>
      <c r="U993" t="s">
        <v>65</v>
      </c>
      <c r="V993" t="s">
        <v>68</v>
      </c>
      <c r="W993" t="s">
        <v>75</v>
      </c>
    </row>
    <row r="994" spans="1:23" x14ac:dyDescent="0.3">
      <c r="A994">
        <v>7696</v>
      </c>
      <c r="B994" t="s">
        <v>146</v>
      </c>
      <c r="C994" s="1">
        <v>45237</v>
      </c>
      <c r="D994" s="1">
        <v>45626</v>
      </c>
      <c r="E994">
        <v>15.99</v>
      </c>
      <c r="F994">
        <v>235</v>
      </c>
      <c r="G994" t="s">
        <v>24</v>
      </c>
      <c r="H994">
        <v>2</v>
      </c>
      <c r="I994">
        <v>5</v>
      </c>
      <c r="J994" t="b">
        <v>0</v>
      </c>
      <c r="K994">
        <v>709</v>
      </c>
      <c r="L994">
        <v>151</v>
      </c>
      <c r="M994" t="s">
        <v>44</v>
      </c>
      <c r="N994" t="s">
        <v>40</v>
      </c>
      <c r="O994" t="s">
        <v>34</v>
      </c>
      <c r="P994">
        <v>72</v>
      </c>
      <c r="Q994">
        <v>3.7</v>
      </c>
      <c r="R994" t="b">
        <v>0</v>
      </c>
      <c r="S994" t="s">
        <v>28</v>
      </c>
      <c r="T994">
        <v>2163</v>
      </c>
      <c r="U994" t="s">
        <v>57</v>
      </c>
      <c r="V994" t="s">
        <v>60</v>
      </c>
      <c r="W994" t="s">
        <v>75</v>
      </c>
    </row>
    <row r="995" spans="1:23" x14ac:dyDescent="0.3">
      <c r="A995">
        <v>8552</v>
      </c>
      <c r="B995" t="s">
        <v>23</v>
      </c>
      <c r="C995" s="1">
        <v>45252</v>
      </c>
      <c r="D995" s="1">
        <v>45623</v>
      </c>
      <c r="E995">
        <v>15.99</v>
      </c>
      <c r="F995">
        <v>390</v>
      </c>
      <c r="G995" t="s">
        <v>24</v>
      </c>
      <c r="H995">
        <v>2</v>
      </c>
      <c r="I995">
        <v>4</v>
      </c>
      <c r="J995" t="b">
        <v>0</v>
      </c>
      <c r="K995">
        <v>537</v>
      </c>
      <c r="L995">
        <v>101</v>
      </c>
      <c r="M995" t="s">
        <v>44</v>
      </c>
      <c r="N995" t="s">
        <v>40</v>
      </c>
      <c r="O995" t="s">
        <v>50</v>
      </c>
      <c r="P995">
        <v>64</v>
      </c>
      <c r="Q995">
        <v>3</v>
      </c>
      <c r="R995" t="b">
        <v>1</v>
      </c>
      <c r="S995" t="s">
        <v>28</v>
      </c>
      <c r="T995">
        <v>3726</v>
      </c>
      <c r="U995" t="s">
        <v>35</v>
      </c>
      <c r="V995" t="s">
        <v>68</v>
      </c>
      <c r="W995" t="s">
        <v>53</v>
      </c>
    </row>
    <row r="996" spans="1:23" x14ac:dyDescent="0.3">
      <c r="A996">
        <v>5065</v>
      </c>
      <c r="B996" t="s">
        <v>167</v>
      </c>
      <c r="C996" s="1">
        <v>44981</v>
      </c>
      <c r="D996" s="1">
        <v>45626</v>
      </c>
      <c r="E996">
        <v>11.99</v>
      </c>
      <c r="F996">
        <v>362</v>
      </c>
      <c r="G996" t="s">
        <v>79</v>
      </c>
      <c r="H996">
        <v>2</v>
      </c>
      <c r="I996">
        <v>6</v>
      </c>
      <c r="J996" t="b">
        <v>1</v>
      </c>
      <c r="K996">
        <v>490</v>
      </c>
      <c r="L996">
        <v>22</v>
      </c>
      <c r="M996" t="s">
        <v>44</v>
      </c>
      <c r="N996" t="s">
        <v>64</v>
      </c>
      <c r="O996" t="s">
        <v>34</v>
      </c>
      <c r="P996">
        <v>62</v>
      </c>
      <c r="Q996">
        <v>4.7</v>
      </c>
      <c r="R996" t="b">
        <v>1</v>
      </c>
      <c r="S996" t="s">
        <v>28</v>
      </c>
      <c r="T996">
        <v>47</v>
      </c>
      <c r="U996" t="s">
        <v>35</v>
      </c>
      <c r="V996" t="s">
        <v>68</v>
      </c>
      <c r="W996" t="s">
        <v>75</v>
      </c>
    </row>
    <row r="997" spans="1:23" x14ac:dyDescent="0.3">
      <c r="A997">
        <v>6878</v>
      </c>
      <c r="B997" t="s">
        <v>47</v>
      </c>
      <c r="C997" s="1">
        <v>45408</v>
      </c>
      <c r="D997" s="1">
        <v>45623</v>
      </c>
      <c r="E997">
        <v>7.99</v>
      </c>
      <c r="F997">
        <v>136</v>
      </c>
      <c r="G997" t="s">
        <v>43</v>
      </c>
      <c r="H997">
        <v>5</v>
      </c>
      <c r="I997">
        <v>5</v>
      </c>
      <c r="J997" t="b">
        <v>1</v>
      </c>
      <c r="K997">
        <v>20</v>
      </c>
      <c r="L997">
        <v>18</v>
      </c>
      <c r="M997" t="s">
        <v>39</v>
      </c>
      <c r="N997" t="s">
        <v>40</v>
      </c>
      <c r="O997" t="s">
        <v>27</v>
      </c>
      <c r="P997">
        <v>7</v>
      </c>
      <c r="Q997">
        <v>4.4000000000000004</v>
      </c>
      <c r="R997" t="b">
        <v>1</v>
      </c>
      <c r="S997" t="s">
        <v>28</v>
      </c>
      <c r="T997">
        <v>4742</v>
      </c>
      <c r="U997" t="s">
        <v>65</v>
      </c>
      <c r="V997" t="s">
        <v>30</v>
      </c>
      <c r="W997" t="s">
        <v>31</v>
      </c>
    </row>
    <row r="998" spans="1:23" x14ac:dyDescent="0.3">
      <c r="A998">
        <v>5681</v>
      </c>
      <c r="B998" t="s">
        <v>165</v>
      </c>
      <c r="C998" s="1">
        <v>45420</v>
      </c>
      <c r="D998" s="1">
        <v>45634</v>
      </c>
      <c r="E998">
        <v>11.99</v>
      </c>
      <c r="F998">
        <v>159</v>
      </c>
      <c r="G998" t="s">
        <v>79</v>
      </c>
      <c r="H998">
        <v>4</v>
      </c>
      <c r="I998">
        <v>6</v>
      </c>
      <c r="J998" t="b">
        <v>1</v>
      </c>
      <c r="K998">
        <v>824</v>
      </c>
      <c r="L998">
        <v>31</v>
      </c>
      <c r="M998" t="s">
        <v>48</v>
      </c>
      <c r="N998" t="s">
        <v>64</v>
      </c>
      <c r="O998" t="s">
        <v>56</v>
      </c>
      <c r="P998">
        <v>13</v>
      </c>
      <c r="Q998">
        <v>3.3</v>
      </c>
      <c r="R998" t="b">
        <v>0</v>
      </c>
      <c r="S998" t="s">
        <v>28</v>
      </c>
      <c r="T998">
        <v>2910</v>
      </c>
      <c r="U998" t="s">
        <v>35</v>
      </c>
      <c r="V998" t="s">
        <v>52</v>
      </c>
      <c r="W998" t="s">
        <v>53</v>
      </c>
    </row>
    <row r="999" spans="1:23" x14ac:dyDescent="0.3">
      <c r="A999">
        <v>4448</v>
      </c>
      <c r="B999" t="s">
        <v>121</v>
      </c>
      <c r="C999" s="1">
        <v>45374</v>
      </c>
      <c r="D999" s="1">
        <v>45642</v>
      </c>
      <c r="E999">
        <v>11.99</v>
      </c>
      <c r="F999">
        <v>99</v>
      </c>
      <c r="G999" t="s">
        <v>43</v>
      </c>
      <c r="H999">
        <v>4</v>
      </c>
      <c r="I999">
        <v>2</v>
      </c>
      <c r="J999" t="b">
        <v>0</v>
      </c>
      <c r="K999">
        <v>319</v>
      </c>
      <c r="L999">
        <v>187</v>
      </c>
      <c r="M999" t="s">
        <v>59</v>
      </c>
      <c r="N999" t="s">
        <v>49</v>
      </c>
      <c r="O999" t="s">
        <v>56</v>
      </c>
      <c r="P999">
        <v>58</v>
      </c>
      <c r="Q999">
        <v>3.6</v>
      </c>
      <c r="R999" t="b">
        <v>0</v>
      </c>
      <c r="S999" t="s">
        <v>28</v>
      </c>
      <c r="T999">
        <v>1180</v>
      </c>
      <c r="U999" t="s">
        <v>65</v>
      </c>
      <c r="V999" t="s">
        <v>30</v>
      </c>
      <c r="W999" t="s">
        <v>53</v>
      </c>
    </row>
    <row r="1000" spans="1:23" x14ac:dyDescent="0.3">
      <c r="A1000">
        <v>5795</v>
      </c>
      <c r="B1000" t="s">
        <v>146</v>
      </c>
      <c r="C1000" s="1">
        <v>45255</v>
      </c>
      <c r="D1000" s="1">
        <v>45639</v>
      </c>
      <c r="E1000">
        <v>11.99</v>
      </c>
      <c r="F1000">
        <v>157</v>
      </c>
      <c r="G1000" t="s">
        <v>24</v>
      </c>
      <c r="H1000">
        <v>4</v>
      </c>
      <c r="I1000">
        <v>2</v>
      </c>
      <c r="J1000" t="b">
        <v>0</v>
      </c>
      <c r="K1000">
        <v>754</v>
      </c>
      <c r="L1000">
        <v>23</v>
      </c>
      <c r="M1000" t="s">
        <v>63</v>
      </c>
      <c r="N1000" t="s">
        <v>40</v>
      </c>
      <c r="O1000" t="s">
        <v>50</v>
      </c>
      <c r="P1000">
        <v>43</v>
      </c>
      <c r="Q1000">
        <v>4.4000000000000004</v>
      </c>
      <c r="R1000" t="b">
        <v>0</v>
      </c>
      <c r="S1000" t="s">
        <v>28</v>
      </c>
      <c r="T1000">
        <v>1965</v>
      </c>
      <c r="U1000" t="s">
        <v>57</v>
      </c>
      <c r="V1000" t="s">
        <v>36</v>
      </c>
      <c r="W1000" t="s">
        <v>53</v>
      </c>
    </row>
    <row r="1001" spans="1:23" x14ac:dyDescent="0.3">
      <c r="A1001">
        <v>5320</v>
      </c>
      <c r="B1001" t="s">
        <v>134</v>
      </c>
      <c r="C1001" s="1">
        <v>45197</v>
      </c>
      <c r="D1001" s="1">
        <v>45635</v>
      </c>
      <c r="E1001">
        <v>11.99</v>
      </c>
      <c r="F1001">
        <v>123</v>
      </c>
      <c r="G1001" t="s">
        <v>46</v>
      </c>
      <c r="H1001">
        <v>1</v>
      </c>
      <c r="I1001">
        <v>6</v>
      </c>
      <c r="J1001" t="b">
        <v>0</v>
      </c>
      <c r="K1001">
        <v>718</v>
      </c>
      <c r="L1001">
        <v>25</v>
      </c>
      <c r="M1001" t="s">
        <v>25</v>
      </c>
      <c r="N1001" t="s">
        <v>26</v>
      </c>
      <c r="O1001" t="s">
        <v>34</v>
      </c>
      <c r="P1001">
        <v>73</v>
      </c>
      <c r="Q1001">
        <v>4.4000000000000004</v>
      </c>
      <c r="R1001" t="b">
        <v>0</v>
      </c>
      <c r="S1001" t="s">
        <v>28</v>
      </c>
      <c r="T1001">
        <v>3179</v>
      </c>
      <c r="U1001" t="s">
        <v>51</v>
      </c>
      <c r="V1001" t="s">
        <v>36</v>
      </c>
      <c r="W1001"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5443-6A28-4B13-AF0D-257B081CED73}">
  <sheetPr codeName="Sheet2"/>
  <dimension ref="A1:T1001"/>
  <sheetViews>
    <sheetView topLeftCell="N1" zoomScaleNormal="100" workbookViewId="0">
      <selection activeCell="T3" sqref="T3"/>
    </sheetView>
  </sheetViews>
  <sheetFormatPr defaultRowHeight="14.4" x14ac:dyDescent="0.3"/>
  <cols>
    <col min="1" max="1" width="15.21875" bestFit="1" customWidth="1"/>
    <col min="2" max="2" width="16.44140625" bestFit="1" customWidth="1"/>
    <col min="3" max="3" width="12.77734375" bestFit="1" customWidth="1"/>
    <col min="4" max="4" width="7.5546875" bestFit="1" customWidth="1"/>
    <col min="5" max="5" width="13.6640625" bestFit="1" customWidth="1"/>
    <col min="6" max="6" width="10" bestFit="1" customWidth="1"/>
    <col min="7" max="7" width="12.109375" bestFit="1" customWidth="1"/>
    <col min="8" max="8" width="17.33203125" bestFit="1" customWidth="1"/>
    <col min="9" max="9" width="12.88671875" bestFit="1" customWidth="1"/>
    <col min="10" max="10" width="7.5546875" bestFit="1" customWidth="1"/>
    <col min="11" max="11" width="8.33203125" bestFit="1" customWidth="1"/>
    <col min="12" max="12" width="15.6640625" bestFit="1" customWidth="1"/>
    <col min="13" max="13" width="20.6640625" bestFit="1" customWidth="1"/>
    <col min="14" max="14" width="19.5546875" bestFit="1" customWidth="1"/>
    <col min="15" max="15" width="10" bestFit="1" customWidth="1"/>
    <col min="16" max="16" width="8.33203125" bestFit="1" customWidth="1"/>
    <col min="17" max="17" width="12.109375" bestFit="1" customWidth="1"/>
    <col min="18" max="18" width="18.77734375" bestFit="1" customWidth="1"/>
    <col min="19" max="19" width="12.77734375" bestFit="1" customWidth="1"/>
  </cols>
  <sheetData>
    <row r="1" spans="1:20" x14ac:dyDescent="0.3">
      <c r="A1" t="s">
        <v>402</v>
      </c>
      <c r="B1" t="s">
        <v>403</v>
      </c>
      <c r="C1" t="s">
        <v>4</v>
      </c>
      <c r="D1" t="s">
        <v>0</v>
      </c>
      <c r="E1" t="s">
        <v>6</v>
      </c>
      <c r="F1" t="s">
        <v>21</v>
      </c>
      <c r="G1" t="s">
        <v>5</v>
      </c>
      <c r="H1" t="s">
        <v>18</v>
      </c>
      <c r="I1" t="s">
        <v>19</v>
      </c>
      <c r="J1" t="s">
        <v>0</v>
      </c>
      <c r="K1" t="s">
        <v>12</v>
      </c>
      <c r="L1" t="s">
        <v>13</v>
      </c>
      <c r="M1" t="s">
        <v>10</v>
      </c>
      <c r="N1" t="s">
        <v>11</v>
      </c>
      <c r="O1" t="s">
        <v>21</v>
      </c>
      <c r="P1" t="s">
        <v>12</v>
      </c>
      <c r="Q1" t="s">
        <v>5</v>
      </c>
      <c r="R1" t="s">
        <v>14</v>
      </c>
      <c r="S1" t="s">
        <v>4</v>
      </c>
      <c r="T1" t="s">
        <v>409</v>
      </c>
    </row>
    <row r="2" spans="1:20" x14ac:dyDescent="0.3">
      <c r="A2">
        <f>'Raw Data'!D2-'Raw Data'!C2</f>
        <v>578</v>
      </c>
      <c r="B2" s="2" t="str">
        <f>_xlfn.IFS('Raw Data'!E2&gt;10,"Premium",'Raw Data'!E2&lt;10,"Basic")</f>
        <v>Basic</v>
      </c>
      <c r="C2">
        <v>7.99</v>
      </c>
      <c r="D2">
        <v>2518</v>
      </c>
      <c r="E2" t="s">
        <v>24</v>
      </c>
      <c r="F2" t="s">
        <v>30</v>
      </c>
      <c r="G2">
        <v>49</v>
      </c>
      <c r="H2" t="s">
        <v>28</v>
      </c>
      <c r="I2">
        <v>2878</v>
      </c>
      <c r="J2">
        <v>2518</v>
      </c>
      <c r="K2" t="s">
        <v>25</v>
      </c>
      <c r="L2" t="s">
        <v>26</v>
      </c>
      <c r="M2">
        <v>641</v>
      </c>
      <c r="N2">
        <v>117</v>
      </c>
      <c r="O2" t="s">
        <v>30</v>
      </c>
      <c r="P2" t="s">
        <v>25</v>
      </c>
      <c r="Q2">
        <v>49</v>
      </c>
      <c r="R2" t="s">
        <v>27</v>
      </c>
      <c r="S2">
        <v>7.99</v>
      </c>
    </row>
    <row r="3" spans="1:20" x14ac:dyDescent="0.3">
      <c r="A3">
        <f>'Raw Data'!D3-'Raw Data'!C3</f>
        <v>622</v>
      </c>
      <c r="B3" s="2" t="str">
        <f>_xlfn.IFS('Raw Data'!E3&gt;10,"Premium",'Raw Data'!E3&lt;10,"Basic")</f>
        <v>Basic</v>
      </c>
      <c r="C3">
        <v>7.99</v>
      </c>
      <c r="D3">
        <v>6430</v>
      </c>
      <c r="E3" t="s">
        <v>33</v>
      </c>
      <c r="F3" t="s">
        <v>36</v>
      </c>
      <c r="G3">
        <v>161</v>
      </c>
      <c r="H3" t="s">
        <v>28</v>
      </c>
      <c r="I3">
        <v>2291</v>
      </c>
      <c r="J3">
        <v>6430</v>
      </c>
      <c r="K3" t="s">
        <v>25</v>
      </c>
      <c r="L3" t="s">
        <v>26</v>
      </c>
      <c r="M3">
        <v>192</v>
      </c>
      <c r="N3">
        <v>65</v>
      </c>
      <c r="O3" t="s">
        <v>36</v>
      </c>
      <c r="P3" t="s">
        <v>25</v>
      </c>
      <c r="Q3">
        <v>161</v>
      </c>
      <c r="R3" t="s">
        <v>34</v>
      </c>
      <c r="S3">
        <v>7.99</v>
      </c>
    </row>
    <row r="4" spans="1:20" x14ac:dyDescent="0.3">
      <c r="A4">
        <f>'Raw Data'!D4-'Raw Data'!C4</f>
        <v>500</v>
      </c>
      <c r="B4" s="2" t="str">
        <f>_xlfn.IFS('Raw Data'!E4&gt;10,"Premium",'Raw Data'!E4&lt;10,"Basic")</f>
        <v>Premium</v>
      </c>
      <c r="C4">
        <v>11.99</v>
      </c>
      <c r="D4">
        <v>1798</v>
      </c>
      <c r="E4" t="s">
        <v>24</v>
      </c>
      <c r="F4" t="s">
        <v>30</v>
      </c>
      <c r="G4">
        <v>87</v>
      </c>
      <c r="H4" t="s">
        <v>28</v>
      </c>
      <c r="I4">
        <v>1692</v>
      </c>
      <c r="J4">
        <v>1798</v>
      </c>
      <c r="K4" t="s">
        <v>39</v>
      </c>
      <c r="L4" t="s">
        <v>40</v>
      </c>
      <c r="M4">
        <v>260</v>
      </c>
      <c r="N4">
        <v>127</v>
      </c>
      <c r="O4" t="s">
        <v>30</v>
      </c>
      <c r="P4" t="s">
        <v>39</v>
      </c>
      <c r="Q4">
        <v>87</v>
      </c>
      <c r="R4" t="s">
        <v>41</v>
      </c>
      <c r="S4">
        <v>11.99</v>
      </c>
    </row>
    <row r="5" spans="1:20" x14ac:dyDescent="0.3">
      <c r="A5">
        <f>'Raw Data'!D5-'Raw Data'!C5</f>
        <v>671</v>
      </c>
      <c r="B5" s="2" t="str">
        <f>_xlfn.IFS('Raw Data'!E5&gt;10,"Premium",'Raw Data'!E5&lt;10,"Basic")</f>
        <v>Premium</v>
      </c>
      <c r="C5">
        <v>15.99</v>
      </c>
      <c r="D5">
        <v>5255</v>
      </c>
      <c r="E5" t="s">
        <v>43</v>
      </c>
      <c r="F5" t="s">
        <v>36</v>
      </c>
      <c r="G5">
        <v>321</v>
      </c>
      <c r="H5" t="s">
        <v>28</v>
      </c>
      <c r="I5">
        <v>952</v>
      </c>
      <c r="J5">
        <v>5255</v>
      </c>
      <c r="K5" t="s">
        <v>44</v>
      </c>
      <c r="L5" t="s">
        <v>40</v>
      </c>
      <c r="M5">
        <v>61</v>
      </c>
      <c r="N5">
        <v>192</v>
      </c>
      <c r="O5" t="s">
        <v>36</v>
      </c>
      <c r="P5" t="s">
        <v>44</v>
      </c>
      <c r="Q5">
        <v>321</v>
      </c>
      <c r="R5" t="s">
        <v>41</v>
      </c>
      <c r="S5">
        <v>15.99</v>
      </c>
    </row>
    <row r="6" spans="1:20" x14ac:dyDescent="0.3">
      <c r="A6">
        <f>'Raw Data'!D6-'Raw Data'!C6</f>
        <v>558</v>
      </c>
      <c r="B6" s="2" t="str">
        <f>_xlfn.IFS('Raw Data'!E6&gt;10,"Premium",'Raw Data'!E6&lt;10,"Basic")</f>
        <v>Premium</v>
      </c>
      <c r="C6">
        <v>11.99</v>
      </c>
      <c r="D6">
        <v>2854</v>
      </c>
      <c r="E6" t="s">
        <v>46</v>
      </c>
      <c r="F6" t="s">
        <v>36</v>
      </c>
      <c r="G6">
        <v>386</v>
      </c>
      <c r="H6" t="s">
        <v>28</v>
      </c>
      <c r="I6">
        <v>1823</v>
      </c>
      <c r="J6">
        <v>2854</v>
      </c>
      <c r="K6" t="s">
        <v>25</v>
      </c>
      <c r="L6" t="s">
        <v>26</v>
      </c>
      <c r="M6">
        <v>230</v>
      </c>
      <c r="N6">
        <v>2</v>
      </c>
      <c r="O6" t="s">
        <v>36</v>
      </c>
      <c r="P6" t="s">
        <v>25</v>
      </c>
      <c r="Q6">
        <v>386</v>
      </c>
      <c r="R6" t="s">
        <v>41</v>
      </c>
      <c r="S6">
        <v>11.99</v>
      </c>
    </row>
    <row r="7" spans="1:20" x14ac:dyDescent="0.3">
      <c r="A7">
        <f>'Raw Data'!D7-'Raw Data'!C7</f>
        <v>429</v>
      </c>
      <c r="B7" s="2" t="str">
        <f>_xlfn.IFS('Raw Data'!E7&gt;10,"Premium",'Raw Data'!E7&lt;10,"Basic")</f>
        <v>Premium</v>
      </c>
      <c r="C7">
        <v>15.99</v>
      </c>
      <c r="D7">
        <v>6735</v>
      </c>
      <c r="E7" t="s">
        <v>46</v>
      </c>
      <c r="F7" t="s">
        <v>52</v>
      </c>
      <c r="G7">
        <v>408</v>
      </c>
      <c r="H7" t="s">
        <v>28</v>
      </c>
      <c r="I7">
        <v>33</v>
      </c>
      <c r="J7">
        <v>6735</v>
      </c>
      <c r="K7" t="s">
        <v>48</v>
      </c>
      <c r="L7" t="s">
        <v>49</v>
      </c>
      <c r="M7">
        <v>837</v>
      </c>
      <c r="N7">
        <v>105</v>
      </c>
      <c r="O7" t="s">
        <v>52</v>
      </c>
      <c r="P7" t="s">
        <v>48</v>
      </c>
      <c r="Q7">
        <v>408</v>
      </c>
      <c r="R7" t="s">
        <v>50</v>
      </c>
      <c r="S7">
        <v>15.99</v>
      </c>
    </row>
    <row r="8" spans="1:20" x14ac:dyDescent="0.3">
      <c r="A8">
        <f>'Raw Data'!D8-'Raw Data'!C8</f>
        <v>107</v>
      </c>
      <c r="B8" s="2" t="str">
        <f>_xlfn.IFS('Raw Data'!E8&gt;10,"Premium",'Raw Data'!E8&lt;10,"Basic")</f>
        <v>Basic</v>
      </c>
      <c r="C8">
        <v>7.99</v>
      </c>
      <c r="D8">
        <v>2995</v>
      </c>
      <c r="E8" t="s">
        <v>55</v>
      </c>
      <c r="F8" t="s">
        <v>30</v>
      </c>
      <c r="G8">
        <v>475</v>
      </c>
      <c r="H8" t="s">
        <v>28</v>
      </c>
      <c r="I8">
        <v>755</v>
      </c>
      <c r="J8">
        <v>2995</v>
      </c>
      <c r="K8" t="s">
        <v>25</v>
      </c>
      <c r="L8" t="s">
        <v>49</v>
      </c>
      <c r="M8">
        <v>510</v>
      </c>
      <c r="N8">
        <v>143</v>
      </c>
      <c r="O8" t="s">
        <v>30</v>
      </c>
      <c r="P8" t="s">
        <v>25</v>
      </c>
      <c r="Q8">
        <v>475</v>
      </c>
      <c r="R8" t="s">
        <v>56</v>
      </c>
      <c r="S8">
        <v>7.99</v>
      </c>
    </row>
    <row r="9" spans="1:20" x14ac:dyDescent="0.3">
      <c r="A9">
        <f>'Raw Data'!D9-'Raw Data'!C9</f>
        <v>197</v>
      </c>
      <c r="B9" s="2" t="str">
        <f>_xlfn.IFS('Raw Data'!E9&gt;10,"Premium",'Raw Data'!E9&lt;10,"Basic")</f>
        <v>Premium</v>
      </c>
      <c r="C9">
        <v>15.99</v>
      </c>
      <c r="D9">
        <v>5120</v>
      </c>
      <c r="E9" t="s">
        <v>24</v>
      </c>
      <c r="F9" t="s">
        <v>60</v>
      </c>
      <c r="G9">
        <v>258</v>
      </c>
      <c r="H9" t="s">
        <v>28</v>
      </c>
      <c r="I9">
        <v>2866</v>
      </c>
      <c r="J9">
        <v>5120</v>
      </c>
      <c r="K9" t="s">
        <v>59</v>
      </c>
      <c r="L9" t="s">
        <v>40</v>
      </c>
      <c r="M9">
        <v>907</v>
      </c>
      <c r="N9">
        <v>47</v>
      </c>
      <c r="O9" t="s">
        <v>60</v>
      </c>
      <c r="P9" t="s">
        <v>59</v>
      </c>
      <c r="Q9">
        <v>258</v>
      </c>
      <c r="R9" t="s">
        <v>27</v>
      </c>
      <c r="S9">
        <v>15.99</v>
      </c>
    </row>
    <row r="10" spans="1:20" x14ac:dyDescent="0.3">
      <c r="A10">
        <f>'Raw Data'!D10-'Raw Data'!C10</f>
        <v>549</v>
      </c>
      <c r="B10" s="2" t="str">
        <f>_xlfn.IFS('Raw Data'!E10&gt;10,"Premium",'Raw Data'!E10&lt;10,"Basic")</f>
        <v>Premium</v>
      </c>
      <c r="C10">
        <v>15.99</v>
      </c>
      <c r="D10">
        <v>6063</v>
      </c>
      <c r="E10" t="s">
        <v>62</v>
      </c>
      <c r="F10" t="s">
        <v>36</v>
      </c>
      <c r="G10">
        <v>183</v>
      </c>
      <c r="H10" t="s">
        <v>28</v>
      </c>
      <c r="I10">
        <v>336</v>
      </c>
      <c r="J10">
        <v>6063</v>
      </c>
      <c r="K10" t="s">
        <v>63</v>
      </c>
      <c r="L10" t="s">
        <v>64</v>
      </c>
      <c r="M10">
        <v>676</v>
      </c>
      <c r="N10">
        <v>61</v>
      </c>
      <c r="O10" t="s">
        <v>36</v>
      </c>
      <c r="P10" t="s">
        <v>63</v>
      </c>
      <c r="Q10">
        <v>183</v>
      </c>
      <c r="R10" t="s">
        <v>41</v>
      </c>
      <c r="S10">
        <v>15.99</v>
      </c>
    </row>
    <row r="11" spans="1:20" x14ac:dyDescent="0.3">
      <c r="A11">
        <f>'Raw Data'!D11-'Raw Data'!C11</f>
        <v>378</v>
      </c>
      <c r="B11" s="2" t="str">
        <f>_xlfn.IFS('Raw Data'!E11&gt;10,"Premium",'Raw Data'!E11&lt;10,"Basic")</f>
        <v>Basic</v>
      </c>
      <c r="C11">
        <v>7.99</v>
      </c>
      <c r="D11">
        <v>6896</v>
      </c>
      <c r="E11" t="s">
        <v>46</v>
      </c>
      <c r="F11" t="s">
        <v>68</v>
      </c>
      <c r="G11">
        <v>164</v>
      </c>
      <c r="H11" t="s">
        <v>28</v>
      </c>
      <c r="I11">
        <v>3898</v>
      </c>
      <c r="J11">
        <v>6896</v>
      </c>
      <c r="K11" t="s">
        <v>25</v>
      </c>
      <c r="L11" t="s">
        <v>49</v>
      </c>
      <c r="M11">
        <v>406</v>
      </c>
      <c r="N11">
        <v>79</v>
      </c>
      <c r="O11" t="s">
        <v>68</v>
      </c>
      <c r="P11" t="s">
        <v>25</v>
      </c>
      <c r="Q11">
        <v>164</v>
      </c>
      <c r="R11" t="s">
        <v>67</v>
      </c>
      <c r="S11">
        <v>7.99</v>
      </c>
    </row>
    <row r="12" spans="1:20" x14ac:dyDescent="0.3">
      <c r="A12">
        <f>'Raw Data'!D12-'Raw Data'!C12</f>
        <v>605</v>
      </c>
      <c r="B12" s="2" t="str">
        <f>_xlfn.IFS('Raw Data'!E12&gt;10,"Premium",'Raw Data'!E12&lt;10,"Basic")</f>
        <v>Premium</v>
      </c>
      <c r="C12">
        <v>11.99</v>
      </c>
      <c r="D12">
        <v>8447</v>
      </c>
      <c r="E12" t="s">
        <v>62</v>
      </c>
      <c r="F12" t="s">
        <v>68</v>
      </c>
      <c r="G12">
        <v>411</v>
      </c>
      <c r="H12" t="s">
        <v>28</v>
      </c>
      <c r="I12">
        <v>650</v>
      </c>
      <c r="J12">
        <v>8447</v>
      </c>
      <c r="K12" t="s">
        <v>44</v>
      </c>
      <c r="L12" t="s">
        <v>49</v>
      </c>
      <c r="M12">
        <v>352</v>
      </c>
      <c r="N12">
        <v>78</v>
      </c>
      <c r="O12" t="s">
        <v>68</v>
      </c>
      <c r="P12" t="s">
        <v>44</v>
      </c>
      <c r="Q12">
        <v>411</v>
      </c>
      <c r="R12" t="s">
        <v>56</v>
      </c>
      <c r="S12">
        <v>11.99</v>
      </c>
    </row>
    <row r="13" spans="1:20" x14ac:dyDescent="0.3">
      <c r="A13">
        <f>'Raw Data'!D13-'Raw Data'!C13</f>
        <v>263</v>
      </c>
      <c r="B13" s="2" t="str">
        <f>_xlfn.IFS('Raw Data'!E13&gt;10,"Premium",'Raw Data'!E13&lt;10,"Basic")</f>
        <v>Premium</v>
      </c>
      <c r="C13">
        <v>15.99</v>
      </c>
      <c r="D13">
        <v>1433</v>
      </c>
      <c r="E13" t="s">
        <v>33</v>
      </c>
      <c r="F13" t="s">
        <v>30</v>
      </c>
      <c r="G13">
        <v>160</v>
      </c>
      <c r="H13" t="s">
        <v>28</v>
      </c>
      <c r="I13">
        <v>185</v>
      </c>
      <c r="J13">
        <v>1433</v>
      </c>
      <c r="K13" t="s">
        <v>39</v>
      </c>
      <c r="L13" t="s">
        <v>40</v>
      </c>
      <c r="M13">
        <v>391</v>
      </c>
      <c r="N13">
        <v>132</v>
      </c>
      <c r="O13" t="s">
        <v>30</v>
      </c>
      <c r="P13" t="s">
        <v>39</v>
      </c>
      <c r="Q13">
        <v>160</v>
      </c>
      <c r="R13" t="s">
        <v>34</v>
      </c>
      <c r="S13">
        <v>15.99</v>
      </c>
    </row>
    <row r="14" spans="1:20" x14ac:dyDescent="0.3">
      <c r="A14">
        <f>'Raw Data'!D14-'Raw Data'!C14</f>
        <v>609</v>
      </c>
      <c r="B14" s="2" t="str">
        <f>_xlfn.IFS('Raw Data'!E14&gt;10,"Premium",'Raw Data'!E14&lt;10,"Basic")</f>
        <v>Basic</v>
      </c>
      <c r="C14">
        <v>7.99</v>
      </c>
      <c r="D14">
        <v>4511</v>
      </c>
      <c r="E14" t="s">
        <v>33</v>
      </c>
      <c r="F14" t="s">
        <v>60</v>
      </c>
      <c r="G14">
        <v>348</v>
      </c>
      <c r="H14" t="s">
        <v>28</v>
      </c>
      <c r="I14">
        <v>1547</v>
      </c>
      <c r="J14">
        <v>4511</v>
      </c>
      <c r="K14" t="s">
        <v>63</v>
      </c>
      <c r="L14" t="s">
        <v>40</v>
      </c>
      <c r="M14">
        <v>501</v>
      </c>
      <c r="N14">
        <v>71</v>
      </c>
      <c r="O14" t="s">
        <v>60</v>
      </c>
      <c r="P14" t="s">
        <v>63</v>
      </c>
      <c r="Q14">
        <v>348</v>
      </c>
      <c r="R14" t="s">
        <v>67</v>
      </c>
      <c r="S14">
        <v>7.99</v>
      </c>
    </row>
    <row r="15" spans="1:20" x14ac:dyDescent="0.3">
      <c r="A15">
        <f>'Raw Data'!D15-'Raw Data'!C15</f>
        <v>76</v>
      </c>
      <c r="B15" s="2" t="str">
        <f>_xlfn.IFS('Raw Data'!E15&gt;10,"Premium",'Raw Data'!E15&lt;10,"Basic")</f>
        <v>Basic</v>
      </c>
      <c r="C15">
        <v>7.99</v>
      </c>
      <c r="D15">
        <v>9966</v>
      </c>
      <c r="E15" t="s">
        <v>46</v>
      </c>
      <c r="F15" t="s">
        <v>52</v>
      </c>
      <c r="G15">
        <v>451</v>
      </c>
      <c r="H15" t="s">
        <v>28</v>
      </c>
      <c r="I15">
        <v>3788</v>
      </c>
      <c r="J15">
        <v>9966</v>
      </c>
      <c r="K15" t="s">
        <v>44</v>
      </c>
      <c r="L15" t="s">
        <v>64</v>
      </c>
      <c r="M15">
        <v>995</v>
      </c>
      <c r="N15">
        <v>164</v>
      </c>
      <c r="O15" t="s">
        <v>52</v>
      </c>
      <c r="P15" t="s">
        <v>44</v>
      </c>
      <c r="Q15">
        <v>451</v>
      </c>
      <c r="R15" t="s">
        <v>56</v>
      </c>
      <c r="S15">
        <v>7.99</v>
      </c>
    </row>
    <row r="16" spans="1:20" x14ac:dyDescent="0.3">
      <c r="A16">
        <f>'Raw Data'!D16-'Raw Data'!C16</f>
        <v>553</v>
      </c>
      <c r="B16" s="2" t="str">
        <f>_xlfn.IFS('Raw Data'!E16&gt;10,"Premium",'Raw Data'!E16&lt;10,"Basic")</f>
        <v>Basic</v>
      </c>
      <c r="C16">
        <v>7.99</v>
      </c>
      <c r="D16">
        <v>7093</v>
      </c>
      <c r="E16" t="s">
        <v>46</v>
      </c>
      <c r="F16" t="s">
        <v>52</v>
      </c>
      <c r="G16">
        <v>69</v>
      </c>
      <c r="H16" t="s">
        <v>28</v>
      </c>
      <c r="I16">
        <v>1051</v>
      </c>
      <c r="J16">
        <v>7093</v>
      </c>
      <c r="K16" t="s">
        <v>74</v>
      </c>
      <c r="L16" t="s">
        <v>26</v>
      </c>
      <c r="M16">
        <v>222</v>
      </c>
      <c r="N16">
        <v>13</v>
      </c>
      <c r="O16" t="s">
        <v>52</v>
      </c>
      <c r="P16" t="s">
        <v>74</v>
      </c>
      <c r="Q16">
        <v>69</v>
      </c>
      <c r="R16" t="s">
        <v>34</v>
      </c>
      <c r="S16">
        <v>7.99</v>
      </c>
    </row>
    <row r="17" spans="1:19" x14ac:dyDescent="0.3">
      <c r="A17">
        <f>'Raw Data'!D17-'Raw Data'!C17</f>
        <v>196</v>
      </c>
      <c r="B17" s="2" t="str">
        <f>_xlfn.IFS('Raw Data'!E17&gt;10,"Premium",'Raw Data'!E17&lt;10,"Basic")</f>
        <v>Premium</v>
      </c>
      <c r="C17">
        <v>11.99</v>
      </c>
      <c r="D17">
        <v>4351</v>
      </c>
      <c r="E17" t="s">
        <v>55</v>
      </c>
      <c r="F17" t="s">
        <v>30</v>
      </c>
      <c r="G17">
        <v>166</v>
      </c>
      <c r="H17" t="s">
        <v>28</v>
      </c>
      <c r="I17">
        <v>633</v>
      </c>
      <c r="J17">
        <v>4351</v>
      </c>
      <c r="K17" t="s">
        <v>25</v>
      </c>
      <c r="L17" t="s">
        <v>26</v>
      </c>
      <c r="M17">
        <v>788</v>
      </c>
      <c r="N17">
        <v>31</v>
      </c>
      <c r="O17" t="s">
        <v>30</v>
      </c>
      <c r="P17" t="s">
        <v>25</v>
      </c>
      <c r="Q17">
        <v>166</v>
      </c>
      <c r="R17" t="s">
        <v>34</v>
      </c>
      <c r="S17">
        <v>11.99</v>
      </c>
    </row>
    <row r="18" spans="1:19" x14ac:dyDescent="0.3">
      <c r="A18">
        <f>'Raw Data'!D18-'Raw Data'!C18</f>
        <v>672</v>
      </c>
      <c r="B18" s="2" t="str">
        <f>_xlfn.IFS('Raw Data'!E18&gt;10,"Premium",'Raw Data'!E18&lt;10,"Basic")</f>
        <v>Basic</v>
      </c>
      <c r="C18">
        <v>7.99</v>
      </c>
      <c r="D18">
        <v>6007</v>
      </c>
      <c r="E18" t="s">
        <v>55</v>
      </c>
      <c r="F18" t="s">
        <v>36</v>
      </c>
      <c r="G18">
        <v>449</v>
      </c>
      <c r="H18" t="s">
        <v>28</v>
      </c>
      <c r="I18">
        <v>4133</v>
      </c>
      <c r="J18">
        <v>6007</v>
      </c>
      <c r="K18" t="s">
        <v>63</v>
      </c>
      <c r="L18" t="s">
        <v>40</v>
      </c>
      <c r="M18">
        <v>369</v>
      </c>
      <c r="N18">
        <v>25</v>
      </c>
      <c r="O18" t="s">
        <v>36</v>
      </c>
      <c r="P18" t="s">
        <v>63</v>
      </c>
      <c r="Q18">
        <v>449</v>
      </c>
      <c r="R18" t="s">
        <v>50</v>
      </c>
      <c r="S18">
        <v>7.99</v>
      </c>
    </row>
    <row r="19" spans="1:19" x14ac:dyDescent="0.3">
      <c r="A19">
        <f>'Raw Data'!D19-'Raw Data'!C19</f>
        <v>544</v>
      </c>
      <c r="B19" s="2" t="str">
        <f>_xlfn.IFS('Raw Data'!E19&gt;10,"Premium",'Raw Data'!E19&lt;10,"Basic")</f>
        <v>Basic</v>
      </c>
      <c r="C19">
        <v>7.99</v>
      </c>
      <c r="D19">
        <v>9710</v>
      </c>
      <c r="E19" t="s">
        <v>79</v>
      </c>
      <c r="F19" t="s">
        <v>30</v>
      </c>
      <c r="G19">
        <v>441</v>
      </c>
      <c r="H19" t="s">
        <v>28</v>
      </c>
      <c r="I19">
        <v>1159</v>
      </c>
      <c r="J19">
        <v>9710</v>
      </c>
      <c r="K19" t="s">
        <v>63</v>
      </c>
      <c r="L19" t="s">
        <v>26</v>
      </c>
      <c r="M19">
        <v>228</v>
      </c>
      <c r="N19">
        <v>39</v>
      </c>
      <c r="O19" t="s">
        <v>30</v>
      </c>
      <c r="P19" t="s">
        <v>63</v>
      </c>
      <c r="Q19">
        <v>441</v>
      </c>
      <c r="R19" t="s">
        <v>41</v>
      </c>
      <c r="S19">
        <v>7.99</v>
      </c>
    </row>
    <row r="20" spans="1:19" x14ac:dyDescent="0.3">
      <c r="A20">
        <f>'Raw Data'!D20-'Raw Data'!C20</f>
        <v>455</v>
      </c>
      <c r="B20" s="2" t="str">
        <f>_xlfn.IFS('Raw Data'!E20&gt;10,"Premium",'Raw Data'!E20&lt;10,"Basic")</f>
        <v>Premium</v>
      </c>
      <c r="C20">
        <v>15.99</v>
      </c>
      <c r="D20">
        <v>9034</v>
      </c>
      <c r="E20" t="s">
        <v>62</v>
      </c>
      <c r="F20" t="s">
        <v>52</v>
      </c>
      <c r="G20">
        <v>224</v>
      </c>
      <c r="H20" t="s">
        <v>28</v>
      </c>
      <c r="I20">
        <v>4673</v>
      </c>
      <c r="J20">
        <v>9034</v>
      </c>
      <c r="K20" t="s">
        <v>39</v>
      </c>
      <c r="L20" t="s">
        <v>40</v>
      </c>
      <c r="M20">
        <v>827</v>
      </c>
      <c r="N20">
        <v>138</v>
      </c>
      <c r="O20" t="s">
        <v>52</v>
      </c>
      <c r="P20" t="s">
        <v>39</v>
      </c>
      <c r="Q20">
        <v>224</v>
      </c>
      <c r="R20" t="s">
        <v>41</v>
      </c>
      <c r="S20">
        <v>15.99</v>
      </c>
    </row>
    <row r="21" spans="1:19" x14ac:dyDescent="0.3">
      <c r="A21">
        <f>'Raw Data'!D21-'Raw Data'!C21</f>
        <v>514</v>
      </c>
      <c r="B21" s="2" t="str">
        <f>_xlfn.IFS('Raw Data'!E21&gt;10,"Premium",'Raw Data'!E21&lt;10,"Basic")</f>
        <v>Premium</v>
      </c>
      <c r="C21">
        <v>15.99</v>
      </c>
      <c r="D21">
        <v>6197</v>
      </c>
      <c r="E21" t="s">
        <v>24</v>
      </c>
      <c r="F21" t="s">
        <v>60</v>
      </c>
      <c r="G21">
        <v>44</v>
      </c>
      <c r="H21" t="s">
        <v>28</v>
      </c>
      <c r="I21">
        <v>4200</v>
      </c>
      <c r="J21">
        <v>6197</v>
      </c>
      <c r="K21" t="s">
        <v>48</v>
      </c>
      <c r="L21" t="s">
        <v>26</v>
      </c>
      <c r="M21">
        <v>983</v>
      </c>
      <c r="N21">
        <v>145</v>
      </c>
      <c r="O21" t="s">
        <v>60</v>
      </c>
      <c r="P21" t="s">
        <v>48</v>
      </c>
      <c r="Q21">
        <v>44</v>
      </c>
      <c r="R21" t="s">
        <v>67</v>
      </c>
      <c r="S21">
        <v>15.99</v>
      </c>
    </row>
    <row r="22" spans="1:19" x14ac:dyDescent="0.3">
      <c r="A22">
        <f>'Raw Data'!D22-'Raw Data'!C22</f>
        <v>505</v>
      </c>
      <c r="B22" s="2" t="str">
        <f>_xlfn.IFS('Raw Data'!E22&gt;10,"Premium",'Raw Data'!E22&lt;10,"Basic")</f>
        <v>Basic</v>
      </c>
      <c r="C22">
        <v>7.99</v>
      </c>
      <c r="D22">
        <v>2820</v>
      </c>
      <c r="E22" t="s">
        <v>33</v>
      </c>
      <c r="F22" t="s">
        <v>30</v>
      </c>
      <c r="G22">
        <v>202</v>
      </c>
      <c r="H22" t="s">
        <v>28</v>
      </c>
      <c r="I22">
        <v>3607</v>
      </c>
      <c r="J22">
        <v>2820</v>
      </c>
      <c r="K22" t="s">
        <v>25</v>
      </c>
      <c r="L22" t="s">
        <v>64</v>
      </c>
      <c r="M22">
        <v>109</v>
      </c>
      <c r="N22">
        <v>41</v>
      </c>
      <c r="O22" t="s">
        <v>30</v>
      </c>
      <c r="P22" t="s">
        <v>25</v>
      </c>
      <c r="Q22">
        <v>202</v>
      </c>
      <c r="R22" t="s">
        <v>50</v>
      </c>
      <c r="S22">
        <v>7.99</v>
      </c>
    </row>
    <row r="23" spans="1:19" x14ac:dyDescent="0.3">
      <c r="A23">
        <f>'Raw Data'!D23-'Raw Data'!C23</f>
        <v>163</v>
      </c>
      <c r="B23" s="2" t="str">
        <f>_xlfn.IFS('Raw Data'!E23&gt;10,"Premium",'Raw Data'!E23&lt;10,"Basic")</f>
        <v>Premium</v>
      </c>
      <c r="C23">
        <v>15.99</v>
      </c>
      <c r="D23">
        <v>1101</v>
      </c>
      <c r="E23" t="s">
        <v>55</v>
      </c>
      <c r="F23" t="s">
        <v>68</v>
      </c>
      <c r="G23">
        <v>39</v>
      </c>
      <c r="H23" t="s">
        <v>28</v>
      </c>
      <c r="I23">
        <v>4602</v>
      </c>
      <c r="J23">
        <v>1101</v>
      </c>
      <c r="K23" t="s">
        <v>59</v>
      </c>
      <c r="L23" t="s">
        <v>26</v>
      </c>
      <c r="M23">
        <v>181</v>
      </c>
      <c r="N23">
        <v>128</v>
      </c>
      <c r="O23" t="s">
        <v>68</v>
      </c>
      <c r="P23" t="s">
        <v>59</v>
      </c>
      <c r="Q23">
        <v>39</v>
      </c>
      <c r="R23" t="s">
        <v>41</v>
      </c>
      <c r="S23">
        <v>15.99</v>
      </c>
    </row>
    <row r="24" spans="1:19" x14ac:dyDescent="0.3">
      <c r="A24">
        <f>'Raw Data'!D24-'Raw Data'!C24</f>
        <v>90</v>
      </c>
      <c r="B24" s="2" t="str">
        <f>_xlfn.IFS('Raw Data'!E24&gt;10,"Premium",'Raw Data'!E24&lt;10,"Basic")</f>
        <v>Premium</v>
      </c>
      <c r="C24">
        <v>15.99</v>
      </c>
      <c r="D24">
        <v>1650</v>
      </c>
      <c r="E24" t="s">
        <v>79</v>
      </c>
      <c r="F24" t="s">
        <v>30</v>
      </c>
      <c r="G24">
        <v>319</v>
      </c>
      <c r="H24" t="s">
        <v>28</v>
      </c>
      <c r="I24">
        <v>256</v>
      </c>
      <c r="J24">
        <v>1650</v>
      </c>
      <c r="K24" t="s">
        <v>74</v>
      </c>
      <c r="L24" t="s">
        <v>64</v>
      </c>
      <c r="M24">
        <v>842</v>
      </c>
      <c r="N24">
        <v>145</v>
      </c>
      <c r="O24" t="s">
        <v>30</v>
      </c>
      <c r="P24" t="s">
        <v>74</v>
      </c>
      <c r="Q24">
        <v>319</v>
      </c>
      <c r="R24" t="s">
        <v>41</v>
      </c>
      <c r="S24">
        <v>15.99</v>
      </c>
    </row>
    <row r="25" spans="1:19" x14ac:dyDescent="0.3">
      <c r="A25">
        <f>'Raw Data'!D25-'Raw Data'!C25</f>
        <v>372</v>
      </c>
      <c r="B25" s="2" t="str">
        <f>_xlfn.IFS('Raw Data'!E25&gt;10,"Premium",'Raw Data'!E25&lt;10,"Basic")</f>
        <v>Premium</v>
      </c>
      <c r="C25">
        <v>15.99</v>
      </c>
      <c r="D25">
        <v>4884</v>
      </c>
      <c r="E25" t="s">
        <v>43</v>
      </c>
      <c r="F25" t="s">
        <v>68</v>
      </c>
      <c r="G25">
        <v>150</v>
      </c>
      <c r="H25" t="s">
        <v>28</v>
      </c>
      <c r="I25">
        <v>2406</v>
      </c>
      <c r="J25">
        <v>4884</v>
      </c>
      <c r="K25" t="s">
        <v>39</v>
      </c>
      <c r="L25" t="s">
        <v>40</v>
      </c>
      <c r="M25">
        <v>40</v>
      </c>
      <c r="N25">
        <v>196</v>
      </c>
      <c r="O25" t="s">
        <v>68</v>
      </c>
      <c r="P25" t="s">
        <v>39</v>
      </c>
      <c r="Q25">
        <v>150</v>
      </c>
      <c r="R25" t="s">
        <v>34</v>
      </c>
      <c r="S25">
        <v>15.99</v>
      </c>
    </row>
    <row r="26" spans="1:19" x14ac:dyDescent="0.3">
      <c r="A26">
        <f>'Raw Data'!D26-'Raw Data'!C26</f>
        <v>428</v>
      </c>
      <c r="B26" s="2" t="str">
        <f>_xlfn.IFS('Raw Data'!E26&gt;10,"Premium",'Raw Data'!E26&lt;10,"Basic")</f>
        <v>Premium</v>
      </c>
      <c r="C26">
        <v>11.99</v>
      </c>
      <c r="D26">
        <v>8321</v>
      </c>
      <c r="E26" t="s">
        <v>79</v>
      </c>
      <c r="F26" t="s">
        <v>68</v>
      </c>
      <c r="G26">
        <v>496</v>
      </c>
      <c r="H26" t="s">
        <v>28</v>
      </c>
      <c r="I26">
        <v>1394</v>
      </c>
      <c r="J26">
        <v>8321</v>
      </c>
      <c r="K26" t="s">
        <v>48</v>
      </c>
      <c r="L26" t="s">
        <v>49</v>
      </c>
      <c r="M26">
        <v>431</v>
      </c>
      <c r="N26">
        <v>41</v>
      </c>
      <c r="O26" t="s">
        <v>68</v>
      </c>
      <c r="P26" t="s">
        <v>48</v>
      </c>
      <c r="Q26">
        <v>496</v>
      </c>
      <c r="R26" t="s">
        <v>56</v>
      </c>
      <c r="S26">
        <v>11.99</v>
      </c>
    </row>
    <row r="27" spans="1:19" x14ac:dyDescent="0.3">
      <c r="A27">
        <f>'Raw Data'!D27-'Raw Data'!C27</f>
        <v>214</v>
      </c>
      <c r="B27" s="2" t="str">
        <f>_xlfn.IFS('Raw Data'!E27&gt;10,"Premium",'Raw Data'!E27&lt;10,"Basic")</f>
        <v>Basic</v>
      </c>
      <c r="C27">
        <v>7.99</v>
      </c>
      <c r="D27">
        <v>2381</v>
      </c>
      <c r="E27" t="s">
        <v>55</v>
      </c>
      <c r="F27" t="s">
        <v>52</v>
      </c>
      <c r="G27">
        <v>347</v>
      </c>
      <c r="H27" t="s">
        <v>28</v>
      </c>
      <c r="I27">
        <v>1856</v>
      </c>
      <c r="J27">
        <v>2381</v>
      </c>
      <c r="K27" t="s">
        <v>25</v>
      </c>
      <c r="L27" t="s">
        <v>49</v>
      </c>
      <c r="M27">
        <v>415</v>
      </c>
      <c r="N27">
        <v>194</v>
      </c>
      <c r="O27" t="s">
        <v>52</v>
      </c>
      <c r="P27" t="s">
        <v>25</v>
      </c>
      <c r="Q27">
        <v>347</v>
      </c>
      <c r="R27" t="s">
        <v>34</v>
      </c>
      <c r="S27">
        <v>7.99</v>
      </c>
    </row>
    <row r="28" spans="1:19" x14ac:dyDescent="0.3">
      <c r="A28">
        <f>'Raw Data'!D28-'Raw Data'!C28</f>
        <v>519</v>
      </c>
      <c r="B28" s="2" t="str">
        <f>_xlfn.IFS('Raw Data'!E28&gt;10,"Premium",'Raw Data'!E28&lt;10,"Basic")</f>
        <v>Premium</v>
      </c>
      <c r="C28">
        <v>11.99</v>
      </c>
      <c r="D28">
        <v>9507</v>
      </c>
      <c r="E28" t="s">
        <v>24</v>
      </c>
      <c r="F28" t="s">
        <v>52</v>
      </c>
      <c r="G28">
        <v>201</v>
      </c>
      <c r="H28" t="s">
        <v>28</v>
      </c>
      <c r="I28">
        <v>1665</v>
      </c>
      <c r="J28">
        <v>9507</v>
      </c>
      <c r="K28" t="s">
        <v>25</v>
      </c>
      <c r="L28" t="s">
        <v>64</v>
      </c>
      <c r="M28">
        <v>902</v>
      </c>
      <c r="N28">
        <v>86</v>
      </c>
      <c r="O28" t="s">
        <v>52</v>
      </c>
      <c r="P28" t="s">
        <v>25</v>
      </c>
      <c r="Q28">
        <v>201</v>
      </c>
      <c r="R28" t="s">
        <v>67</v>
      </c>
      <c r="S28">
        <v>11.99</v>
      </c>
    </row>
    <row r="29" spans="1:19" x14ac:dyDescent="0.3">
      <c r="A29">
        <f>'Raw Data'!D29-'Raw Data'!C29</f>
        <v>185</v>
      </c>
      <c r="B29" s="2" t="str">
        <f>_xlfn.IFS('Raw Data'!E29&gt;10,"Premium",'Raw Data'!E29&lt;10,"Basic")</f>
        <v>Premium</v>
      </c>
      <c r="C29">
        <v>15.99</v>
      </c>
      <c r="D29">
        <v>2851</v>
      </c>
      <c r="E29" t="s">
        <v>79</v>
      </c>
      <c r="F29" t="s">
        <v>30</v>
      </c>
      <c r="G29">
        <v>415</v>
      </c>
      <c r="H29" t="s">
        <v>28</v>
      </c>
      <c r="I29">
        <v>2759</v>
      </c>
      <c r="J29">
        <v>2851</v>
      </c>
      <c r="K29" t="s">
        <v>59</v>
      </c>
      <c r="L29" t="s">
        <v>64</v>
      </c>
      <c r="M29">
        <v>769</v>
      </c>
      <c r="N29">
        <v>144</v>
      </c>
      <c r="O29" t="s">
        <v>30</v>
      </c>
      <c r="P29" t="s">
        <v>59</v>
      </c>
      <c r="Q29">
        <v>415</v>
      </c>
      <c r="R29" t="s">
        <v>50</v>
      </c>
      <c r="S29">
        <v>15.99</v>
      </c>
    </row>
    <row r="30" spans="1:19" x14ac:dyDescent="0.3">
      <c r="A30">
        <f>'Raw Data'!D30-'Raw Data'!C30</f>
        <v>315</v>
      </c>
      <c r="B30" s="2" t="str">
        <f>_xlfn.IFS('Raw Data'!E30&gt;10,"Premium",'Raw Data'!E30&lt;10,"Basic")</f>
        <v>Premium</v>
      </c>
      <c r="C30">
        <v>11.99</v>
      </c>
      <c r="D30">
        <v>4083</v>
      </c>
      <c r="E30" t="s">
        <v>55</v>
      </c>
      <c r="F30" t="s">
        <v>30</v>
      </c>
      <c r="G30">
        <v>32</v>
      </c>
      <c r="H30" t="s">
        <v>28</v>
      </c>
      <c r="I30">
        <v>3433</v>
      </c>
      <c r="J30">
        <v>4083</v>
      </c>
      <c r="K30" t="s">
        <v>74</v>
      </c>
      <c r="L30" t="s">
        <v>49</v>
      </c>
      <c r="M30">
        <v>588</v>
      </c>
      <c r="N30">
        <v>137</v>
      </c>
      <c r="O30" t="s">
        <v>30</v>
      </c>
      <c r="P30" t="s">
        <v>74</v>
      </c>
      <c r="Q30">
        <v>32</v>
      </c>
      <c r="R30" t="s">
        <v>56</v>
      </c>
      <c r="S30">
        <v>11.99</v>
      </c>
    </row>
    <row r="31" spans="1:19" x14ac:dyDescent="0.3">
      <c r="A31">
        <f>'Raw Data'!D31-'Raw Data'!C31</f>
        <v>245</v>
      </c>
      <c r="B31" s="2" t="str">
        <f>_xlfn.IFS('Raw Data'!E31&gt;10,"Premium",'Raw Data'!E31&lt;10,"Basic")</f>
        <v>Premium</v>
      </c>
      <c r="C31">
        <v>11.99</v>
      </c>
      <c r="D31">
        <v>4608</v>
      </c>
      <c r="E31" t="s">
        <v>62</v>
      </c>
      <c r="F31" t="s">
        <v>68</v>
      </c>
      <c r="G31">
        <v>338</v>
      </c>
      <c r="H31" t="s">
        <v>28</v>
      </c>
      <c r="I31">
        <v>3966</v>
      </c>
      <c r="J31">
        <v>4608</v>
      </c>
      <c r="K31" t="s">
        <v>44</v>
      </c>
      <c r="L31" t="s">
        <v>64</v>
      </c>
      <c r="M31">
        <v>528</v>
      </c>
      <c r="N31">
        <v>184</v>
      </c>
      <c r="O31" t="s">
        <v>68</v>
      </c>
      <c r="P31" t="s">
        <v>44</v>
      </c>
      <c r="Q31">
        <v>338</v>
      </c>
      <c r="R31" t="s">
        <v>50</v>
      </c>
      <c r="S31">
        <v>11.99</v>
      </c>
    </row>
    <row r="32" spans="1:19" x14ac:dyDescent="0.3">
      <c r="A32">
        <f>'Raw Data'!D32-'Raw Data'!C32</f>
        <v>141</v>
      </c>
      <c r="B32" s="2" t="str">
        <f>_xlfn.IFS('Raw Data'!E32&gt;10,"Premium",'Raw Data'!E32&lt;10,"Basic")</f>
        <v>Basic</v>
      </c>
      <c r="C32">
        <v>7.99</v>
      </c>
      <c r="D32">
        <v>4815</v>
      </c>
      <c r="E32" t="s">
        <v>46</v>
      </c>
      <c r="F32" t="s">
        <v>68</v>
      </c>
      <c r="G32">
        <v>52</v>
      </c>
      <c r="H32" t="s">
        <v>28</v>
      </c>
      <c r="I32">
        <v>4185</v>
      </c>
      <c r="J32">
        <v>4815</v>
      </c>
      <c r="K32" t="s">
        <v>25</v>
      </c>
      <c r="L32" t="s">
        <v>26</v>
      </c>
      <c r="M32">
        <v>467</v>
      </c>
      <c r="N32">
        <v>23</v>
      </c>
      <c r="O32" t="s">
        <v>68</v>
      </c>
      <c r="P32" t="s">
        <v>25</v>
      </c>
      <c r="Q32">
        <v>52</v>
      </c>
      <c r="R32" t="s">
        <v>50</v>
      </c>
      <c r="S32">
        <v>7.99</v>
      </c>
    </row>
    <row r="33" spans="1:19" x14ac:dyDescent="0.3">
      <c r="A33">
        <f>'Raw Data'!D33-'Raw Data'!C33</f>
        <v>-4</v>
      </c>
      <c r="B33" s="2" t="str">
        <f>_xlfn.IFS('Raw Data'!E33&gt;10,"Premium",'Raw Data'!E33&lt;10,"Basic")</f>
        <v>Premium</v>
      </c>
      <c r="C33">
        <v>11.99</v>
      </c>
      <c r="D33">
        <v>9597</v>
      </c>
      <c r="E33" t="s">
        <v>79</v>
      </c>
      <c r="F33" t="s">
        <v>36</v>
      </c>
      <c r="G33">
        <v>447</v>
      </c>
      <c r="H33" t="s">
        <v>28</v>
      </c>
      <c r="I33">
        <v>784</v>
      </c>
      <c r="J33">
        <v>9597</v>
      </c>
      <c r="K33" t="s">
        <v>63</v>
      </c>
      <c r="L33" t="s">
        <v>40</v>
      </c>
      <c r="M33">
        <v>73</v>
      </c>
      <c r="N33">
        <v>138</v>
      </c>
      <c r="O33" t="s">
        <v>36</v>
      </c>
      <c r="P33" t="s">
        <v>63</v>
      </c>
      <c r="Q33">
        <v>447</v>
      </c>
      <c r="R33" t="s">
        <v>27</v>
      </c>
      <c r="S33">
        <v>11.99</v>
      </c>
    </row>
    <row r="34" spans="1:19" x14ac:dyDescent="0.3">
      <c r="A34">
        <f>'Raw Data'!D34-'Raw Data'!C34</f>
        <v>544</v>
      </c>
      <c r="B34" s="2" t="str">
        <f>_xlfn.IFS('Raw Data'!E34&gt;10,"Premium",'Raw Data'!E34&lt;10,"Basic")</f>
        <v>Premium</v>
      </c>
      <c r="C34">
        <v>11.99</v>
      </c>
      <c r="D34">
        <v>6566</v>
      </c>
      <c r="E34" t="s">
        <v>55</v>
      </c>
      <c r="F34" t="s">
        <v>36</v>
      </c>
      <c r="G34">
        <v>312</v>
      </c>
      <c r="H34" t="s">
        <v>28</v>
      </c>
      <c r="I34">
        <v>3428</v>
      </c>
      <c r="J34">
        <v>6566</v>
      </c>
      <c r="K34" t="s">
        <v>63</v>
      </c>
      <c r="L34" t="s">
        <v>40</v>
      </c>
      <c r="M34">
        <v>895</v>
      </c>
      <c r="N34">
        <v>154</v>
      </c>
      <c r="O34" t="s">
        <v>36</v>
      </c>
      <c r="P34" t="s">
        <v>63</v>
      </c>
      <c r="Q34">
        <v>312</v>
      </c>
      <c r="R34" t="s">
        <v>50</v>
      </c>
      <c r="S34">
        <v>11.99</v>
      </c>
    </row>
    <row r="35" spans="1:19" x14ac:dyDescent="0.3">
      <c r="A35">
        <f>'Raw Data'!D35-'Raw Data'!C35</f>
        <v>532</v>
      </c>
      <c r="B35" s="2" t="str">
        <f>_xlfn.IFS('Raw Data'!E35&gt;10,"Premium",'Raw Data'!E35&lt;10,"Basic")</f>
        <v>Premium</v>
      </c>
      <c r="C35">
        <v>11.99</v>
      </c>
      <c r="D35">
        <v>1419</v>
      </c>
      <c r="E35" t="s">
        <v>43</v>
      </c>
      <c r="F35" t="s">
        <v>36</v>
      </c>
      <c r="G35">
        <v>406</v>
      </c>
      <c r="H35" t="s">
        <v>28</v>
      </c>
      <c r="I35">
        <v>4245</v>
      </c>
      <c r="J35">
        <v>1419</v>
      </c>
      <c r="K35" t="s">
        <v>48</v>
      </c>
      <c r="L35" t="s">
        <v>64</v>
      </c>
      <c r="M35">
        <v>983</v>
      </c>
      <c r="N35">
        <v>113</v>
      </c>
      <c r="O35" t="s">
        <v>36</v>
      </c>
      <c r="P35" t="s">
        <v>48</v>
      </c>
      <c r="Q35">
        <v>406</v>
      </c>
      <c r="R35" t="s">
        <v>34</v>
      </c>
      <c r="S35">
        <v>11.99</v>
      </c>
    </row>
    <row r="36" spans="1:19" x14ac:dyDescent="0.3">
      <c r="A36">
        <f>'Raw Data'!D36-'Raw Data'!C36</f>
        <v>383</v>
      </c>
      <c r="B36" s="2" t="str">
        <f>_xlfn.IFS('Raw Data'!E36&gt;10,"Premium",'Raw Data'!E36&lt;10,"Basic")</f>
        <v>Basic</v>
      </c>
      <c r="C36">
        <v>7.99</v>
      </c>
      <c r="D36">
        <v>9470</v>
      </c>
      <c r="E36" t="s">
        <v>55</v>
      </c>
      <c r="F36" t="s">
        <v>52</v>
      </c>
      <c r="G36">
        <v>350</v>
      </c>
      <c r="H36" t="s">
        <v>28</v>
      </c>
      <c r="I36">
        <v>2580</v>
      </c>
      <c r="J36">
        <v>9470</v>
      </c>
      <c r="K36" t="s">
        <v>74</v>
      </c>
      <c r="L36" t="s">
        <v>49</v>
      </c>
      <c r="M36">
        <v>801</v>
      </c>
      <c r="N36">
        <v>156</v>
      </c>
      <c r="O36" t="s">
        <v>52</v>
      </c>
      <c r="P36" t="s">
        <v>74</v>
      </c>
      <c r="Q36">
        <v>350</v>
      </c>
      <c r="R36" t="s">
        <v>41</v>
      </c>
      <c r="S36">
        <v>7.99</v>
      </c>
    </row>
    <row r="37" spans="1:19" x14ac:dyDescent="0.3">
      <c r="A37">
        <f>'Raw Data'!D37-'Raw Data'!C37</f>
        <v>335</v>
      </c>
      <c r="B37" s="2" t="str">
        <f>_xlfn.IFS('Raw Data'!E37&gt;10,"Premium",'Raw Data'!E37&lt;10,"Basic")</f>
        <v>Basic</v>
      </c>
      <c r="C37">
        <v>7.99</v>
      </c>
      <c r="D37">
        <v>4989</v>
      </c>
      <c r="E37" t="s">
        <v>62</v>
      </c>
      <c r="F37" t="s">
        <v>68</v>
      </c>
      <c r="G37">
        <v>99</v>
      </c>
      <c r="H37" t="s">
        <v>28</v>
      </c>
      <c r="I37">
        <v>2779</v>
      </c>
      <c r="J37">
        <v>4989</v>
      </c>
      <c r="K37" t="s">
        <v>25</v>
      </c>
      <c r="L37" t="s">
        <v>26</v>
      </c>
      <c r="M37">
        <v>96</v>
      </c>
      <c r="N37">
        <v>114</v>
      </c>
      <c r="O37" t="s">
        <v>68</v>
      </c>
      <c r="P37" t="s">
        <v>25</v>
      </c>
      <c r="Q37">
        <v>99</v>
      </c>
      <c r="R37" t="s">
        <v>27</v>
      </c>
      <c r="S37">
        <v>7.99</v>
      </c>
    </row>
    <row r="38" spans="1:19" x14ac:dyDescent="0.3">
      <c r="A38">
        <f>'Raw Data'!D38-'Raw Data'!C38</f>
        <v>49</v>
      </c>
      <c r="B38" s="2" t="str">
        <f>_xlfn.IFS('Raw Data'!E38&gt;10,"Premium",'Raw Data'!E38&lt;10,"Basic")</f>
        <v>Premium</v>
      </c>
      <c r="C38">
        <v>15.99</v>
      </c>
      <c r="D38">
        <v>9389</v>
      </c>
      <c r="E38" t="s">
        <v>43</v>
      </c>
      <c r="F38" t="s">
        <v>30</v>
      </c>
      <c r="G38">
        <v>53</v>
      </c>
      <c r="H38" t="s">
        <v>28</v>
      </c>
      <c r="I38">
        <v>2318</v>
      </c>
      <c r="J38">
        <v>9389</v>
      </c>
      <c r="K38" t="s">
        <v>48</v>
      </c>
      <c r="L38" t="s">
        <v>49</v>
      </c>
      <c r="M38">
        <v>849</v>
      </c>
      <c r="N38">
        <v>98</v>
      </c>
      <c r="O38" t="s">
        <v>30</v>
      </c>
      <c r="P38" t="s">
        <v>48</v>
      </c>
      <c r="Q38">
        <v>53</v>
      </c>
      <c r="R38" t="s">
        <v>41</v>
      </c>
      <c r="S38">
        <v>15.99</v>
      </c>
    </row>
    <row r="39" spans="1:19" x14ac:dyDescent="0.3">
      <c r="A39">
        <f>'Raw Data'!D39-'Raw Data'!C39</f>
        <v>455</v>
      </c>
      <c r="B39" s="2" t="str">
        <f>_xlfn.IFS('Raw Data'!E39&gt;10,"Premium",'Raw Data'!E39&lt;10,"Basic")</f>
        <v>Premium</v>
      </c>
      <c r="C39">
        <v>11.99</v>
      </c>
      <c r="D39">
        <v>7728</v>
      </c>
      <c r="E39" t="s">
        <v>79</v>
      </c>
      <c r="F39" t="s">
        <v>36</v>
      </c>
      <c r="G39">
        <v>484</v>
      </c>
      <c r="H39" t="s">
        <v>28</v>
      </c>
      <c r="I39">
        <v>827</v>
      </c>
      <c r="J39">
        <v>7728</v>
      </c>
      <c r="K39" t="s">
        <v>44</v>
      </c>
      <c r="L39" t="s">
        <v>26</v>
      </c>
      <c r="M39">
        <v>515</v>
      </c>
      <c r="N39">
        <v>174</v>
      </c>
      <c r="O39" t="s">
        <v>36</v>
      </c>
      <c r="P39" t="s">
        <v>44</v>
      </c>
      <c r="Q39">
        <v>484</v>
      </c>
      <c r="R39" t="s">
        <v>34</v>
      </c>
      <c r="S39">
        <v>11.99</v>
      </c>
    </row>
    <row r="40" spans="1:19" x14ac:dyDescent="0.3">
      <c r="A40">
        <f>'Raw Data'!D40-'Raw Data'!C40</f>
        <v>61</v>
      </c>
      <c r="B40" s="2" t="str">
        <f>_xlfn.IFS('Raw Data'!E40&gt;10,"Premium",'Raw Data'!E40&lt;10,"Basic")</f>
        <v>Premium</v>
      </c>
      <c r="C40">
        <v>15.99</v>
      </c>
      <c r="D40">
        <v>7943</v>
      </c>
      <c r="E40" t="s">
        <v>46</v>
      </c>
      <c r="F40" t="s">
        <v>52</v>
      </c>
      <c r="G40">
        <v>211</v>
      </c>
      <c r="H40" t="s">
        <v>28</v>
      </c>
      <c r="I40">
        <v>2670</v>
      </c>
      <c r="J40">
        <v>7943</v>
      </c>
      <c r="K40" t="s">
        <v>59</v>
      </c>
      <c r="L40" t="s">
        <v>49</v>
      </c>
      <c r="M40">
        <v>657</v>
      </c>
      <c r="N40">
        <v>137</v>
      </c>
      <c r="O40" t="s">
        <v>52</v>
      </c>
      <c r="P40" t="s">
        <v>59</v>
      </c>
      <c r="Q40">
        <v>211</v>
      </c>
      <c r="R40" t="s">
        <v>27</v>
      </c>
      <c r="S40">
        <v>15.99</v>
      </c>
    </row>
    <row r="41" spans="1:19" x14ac:dyDescent="0.3">
      <c r="A41">
        <f>'Raw Data'!D41-'Raw Data'!C41</f>
        <v>459</v>
      </c>
      <c r="B41" s="2" t="str">
        <f>_xlfn.IFS('Raw Data'!E41&gt;10,"Premium",'Raw Data'!E41&lt;10,"Basic")</f>
        <v>Premium</v>
      </c>
      <c r="C41">
        <v>11.99</v>
      </c>
      <c r="D41">
        <v>2490</v>
      </c>
      <c r="E41" t="s">
        <v>43</v>
      </c>
      <c r="F41" t="s">
        <v>30</v>
      </c>
      <c r="G41">
        <v>248</v>
      </c>
      <c r="H41" t="s">
        <v>28</v>
      </c>
      <c r="I41">
        <v>2409</v>
      </c>
      <c r="J41">
        <v>2490</v>
      </c>
      <c r="K41" t="s">
        <v>48</v>
      </c>
      <c r="L41" t="s">
        <v>40</v>
      </c>
      <c r="M41">
        <v>426</v>
      </c>
      <c r="N41">
        <v>21</v>
      </c>
      <c r="O41" t="s">
        <v>30</v>
      </c>
      <c r="P41" t="s">
        <v>48</v>
      </c>
      <c r="Q41">
        <v>248</v>
      </c>
      <c r="R41" t="s">
        <v>50</v>
      </c>
      <c r="S41">
        <v>11.99</v>
      </c>
    </row>
    <row r="42" spans="1:19" x14ac:dyDescent="0.3">
      <c r="A42">
        <f>'Raw Data'!D42-'Raw Data'!C42</f>
        <v>281</v>
      </c>
      <c r="B42" s="2" t="str">
        <f>_xlfn.IFS('Raw Data'!E42&gt;10,"Premium",'Raw Data'!E42&lt;10,"Basic")</f>
        <v>Premium</v>
      </c>
      <c r="C42">
        <v>15.99</v>
      </c>
      <c r="D42">
        <v>5042</v>
      </c>
      <c r="E42" t="s">
        <v>79</v>
      </c>
      <c r="F42" t="s">
        <v>30</v>
      </c>
      <c r="G42">
        <v>197</v>
      </c>
      <c r="H42" t="s">
        <v>28</v>
      </c>
      <c r="I42">
        <v>1577</v>
      </c>
      <c r="J42">
        <v>5042</v>
      </c>
      <c r="K42" t="s">
        <v>59</v>
      </c>
      <c r="L42" t="s">
        <v>64</v>
      </c>
      <c r="M42">
        <v>309</v>
      </c>
      <c r="N42">
        <v>178</v>
      </c>
      <c r="O42" t="s">
        <v>30</v>
      </c>
      <c r="P42" t="s">
        <v>59</v>
      </c>
      <c r="Q42">
        <v>197</v>
      </c>
      <c r="R42" t="s">
        <v>41</v>
      </c>
      <c r="S42">
        <v>15.99</v>
      </c>
    </row>
    <row r="43" spans="1:19" x14ac:dyDescent="0.3">
      <c r="A43">
        <f>'Raw Data'!D43-'Raw Data'!C43</f>
        <v>122</v>
      </c>
      <c r="B43" s="2" t="str">
        <f>_xlfn.IFS('Raw Data'!E43&gt;10,"Premium",'Raw Data'!E43&lt;10,"Basic")</f>
        <v>Premium</v>
      </c>
      <c r="C43">
        <v>15.99</v>
      </c>
      <c r="D43">
        <v>3620</v>
      </c>
      <c r="E43" t="s">
        <v>62</v>
      </c>
      <c r="F43" t="s">
        <v>60</v>
      </c>
      <c r="G43">
        <v>253</v>
      </c>
      <c r="H43" t="s">
        <v>28</v>
      </c>
      <c r="I43">
        <v>4072</v>
      </c>
      <c r="J43">
        <v>3620</v>
      </c>
      <c r="K43" t="s">
        <v>25</v>
      </c>
      <c r="L43" t="s">
        <v>40</v>
      </c>
      <c r="M43">
        <v>141</v>
      </c>
      <c r="N43">
        <v>199</v>
      </c>
      <c r="O43" t="s">
        <v>60</v>
      </c>
      <c r="P43" t="s">
        <v>25</v>
      </c>
      <c r="Q43">
        <v>253</v>
      </c>
      <c r="R43" t="s">
        <v>67</v>
      </c>
      <c r="S43">
        <v>15.99</v>
      </c>
    </row>
    <row r="44" spans="1:19" x14ac:dyDescent="0.3">
      <c r="A44">
        <f>'Raw Data'!D44-'Raw Data'!C44</f>
        <v>86</v>
      </c>
      <c r="B44" s="2" t="str">
        <f>_xlfn.IFS('Raw Data'!E44&gt;10,"Premium",'Raw Data'!E44&lt;10,"Basic")</f>
        <v>Basic</v>
      </c>
      <c r="C44">
        <v>7.99</v>
      </c>
      <c r="D44">
        <v>8976</v>
      </c>
      <c r="E44" t="s">
        <v>79</v>
      </c>
      <c r="F44" t="s">
        <v>60</v>
      </c>
      <c r="G44">
        <v>352</v>
      </c>
      <c r="H44" t="s">
        <v>28</v>
      </c>
      <c r="I44">
        <v>3432</v>
      </c>
      <c r="J44">
        <v>8976</v>
      </c>
      <c r="K44" t="s">
        <v>74</v>
      </c>
      <c r="L44" t="s">
        <v>49</v>
      </c>
      <c r="M44">
        <v>112</v>
      </c>
      <c r="N44">
        <v>106</v>
      </c>
      <c r="O44" t="s">
        <v>60</v>
      </c>
      <c r="P44" t="s">
        <v>74</v>
      </c>
      <c r="Q44">
        <v>352</v>
      </c>
      <c r="R44" t="s">
        <v>67</v>
      </c>
      <c r="S44">
        <v>7.99</v>
      </c>
    </row>
    <row r="45" spans="1:19" x14ac:dyDescent="0.3">
      <c r="A45">
        <f>'Raw Data'!D45-'Raw Data'!C45</f>
        <v>493</v>
      </c>
      <c r="B45" s="2" t="str">
        <f>_xlfn.IFS('Raw Data'!E45&gt;10,"Premium",'Raw Data'!E45&lt;10,"Basic")</f>
        <v>Premium</v>
      </c>
      <c r="C45">
        <v>11.99</v>
      </c>
      <c r="D45">
        <v>1570</v>
      </c>
      <c r="E45" t="s">
        <v>79</v>
      </c>
      <c r="F45" t="s">
        <v>52</v>
      </c>
      <c r="G45">
        <v>97</v>
      </c>
      <c r="H45" t="s">
        <v>28</v>
      </c>
      <c r="I45">
        <v>4511</v>
      </c>
      <c r="J45">
        <v>1570</v>
      </c>
      <c r="K45" t="s">
        <v>44</v>
      </c>
      <c r="L45" t="s">
        <v>40</v>
      </c>
      <c r="M45">
        <v>836</v>
      </c>
      <c r="N45">
        <v>122</v>
      </c>
      <c r="O45" t="s">
        <v>52</v>
      </c>
      <c r="P45" t="s">
        <v>44</v>
      </c>
      <c r="Q45">
        <v>97</v>
      </c>
      <c r="R45" t="s">
        <v>50</v>
      </c>
      <c r="S45">
        <v>11.99</v>
      </c>
    </row>
    <row r="46" spans="1:19" x14ac:dyDescent="0.3">
      <c r="A46">
        <f>'Raw Data'!D46-'Raw Data'!C46</f>
        <v>607</v>
      </c>
      <c r="B46" s="2" t="str">
        <f>_xlfn.IFS('Raw Data'!E46&gt;10,"Premium",'Raw Data'!E46&lt;10,"Basic")</f>
        <v>Premium</v>
      </c>
      <c r="C46">
        <v>11.99</v>
      </c>
      <c r="D46">
        <v>7709</v>
      </c>
      <c r="E46" t="s">
        <v>43</v>
      </c>
      <c r="F46" t="s">
        <v>36</v>
      </c>
      <c r="G46">
        <v>283</v>
      </c>
      <c r="H46" t="s">
        <v>28</v>
      </c>
      <c r="I46">
        <v>583</v>
      </c>
      <c r="J46">
        <v>7709</v>
      </c>
      <c r="K46" t="s">
        <v>59</v>
      </c>
      <c r="L46" t="s">
        <v>40</v>
      </c>
      <c r="M46">
        <v>785</v>
      </c>
      <c r="N46">
        <v>1</v>
      </c>
      <c r="O46" t="s">
        <v>36</v>
      </c>
      <c r="P46" t="s">
        <v>59</v>
      </c>
      <c r="Q46">
        <v>283</v>
      </c>
      <c r="R46" t="s">
        <v>34</v>
      </c>
      <c r="S46">
        <v>11.99</v>
      </c>
    </row>
    <row r="47" spans="1:19" x14ac:dyDescent="0.3">
      <c r="A47">
        <f>'Raw Data'!D47-'Raw Data'!C47</f>
        <v>238</v>
      </c>
      <c r="B47" s="2" t="str">
        <f>_xlfn.IFS('Raw Data'!E47&gt;10,"Premium",'Raw Data'!E47&lt;10,"Basic")</f>
        <v>Premium</v>
      </c>
      <c r="C47">
        <v>11.99</v>
      </c>
      <c r="D47">
        <v>9503</v>
      </c>
      <c r="E47" t="s">
        <v>46</v>
      </c>
      <c r="F47" t="s">
        <v>30</v>
      </c>
      <c r="G47">
        <v>307</v>
      </c>
      <c r="H47" t="s">
        <v>28</v>
      </c>
      <c r="I47">
        <v>3626</v>
      </c>
      <c r="J47">
        <v>9503</v>
      </c>
      <c r="K47" t="s">
        <v>74</v>
      </c>
      <c r="L47" t="s">
        <v>64</v>
      </c>
      <c r="M47">
        <v>857</v>
      </c>
      <c r="N47">
        <v>9</v>
      </c>
      <c r="O47" t="s">
        <v>30</v>
      </c>
      <c r="P47" t="s">
        <v>74</v>
      </c>
      <c r="Q47">
        <v>307</v>
      </c>
      <c r="R47" t="s">
        <v>27</v>
      </c>
      <c r="S47">
        <v>11.99</v>
      </c>
    </row>
    <row r="48" spans="1:19" x14ac:dyDescent="0.3">
      <c r="A48">
        <f>'Raw Data'!D48-'Raw Data'!C48</f>
        <v>588</v>
      </c>
      <c r="B48" s="2" t="str">
        <f>_xlfn.IFS('Raw Data'!E48&gt;10,"Premium",'Raw Data'!E48&lt;10,"Basic")</f>
        <v>Premium</v>
      </c>
      <c r="C48">
        <v>15.99</v>
      </c>
      <c r="D48">
        <v>9564</v>
      </c>
      <c r="E48" t="s">
        <v>62</v>
      </c>
      <c r="F48" t="s">
        <v>60</v>
      </c>
      <c r="G48">
        <v>203</v>
      </c>
      <c r="H48" t="s">
        <v>28</v>
      </c>
      <c r="I48">
        <v>476</v>
      </c>
      <c r="J48">
        <v>9564</v>
      </c>
      <c r="K48" t="s">
        <v>59</v>
      </c>
      <c r="L48" t="s">
        <v>64</v>
      </c>
      <c r="M48">
        <v>347</v>
      </c>
      <c r="N48">
        <v>18</v>
      </c>
      <c r="O48" t="s">
        <v>60</v>
      </c>
      <c r="P48" t="s">
        <v>59</v>
      </c>
      <c r="Q48">
        <v>203</v>
      </c>
      <c r="R48" t="s">
        <v>50</v>
      </c>
      <c r="S48">
        <v>15.99</v>
      </c>
    </row>
    <row r="49" spans="1:19" x14ac:dyDescent="0.3">
      <c r="A49">
        <f>'Raw Data'!D49-'Raw Data'!C49</f>
        <v>621</v>
      </c>
      <c r="B49" s="2" t="str">
        <f>_xlfn.IFS('Raw Data'!E49&gt;10,"Premium",'Raw Data'!E49&lt;10,"Basic")</f>
        <v>Basic</v>
      </c>
      <c r="C49">
        <v>7.99</v>
      </c>
      <c r="D49">
        <v>8934</v>
      </c>
      <c r="E49" t="s">
        <v>33</v>
      </c>
      <c r="F49" t="s">
        <v>52</v>
      </c>
      <c r="G49">
        <v>22</v>
      </c>
      <c r="H49" t="s">
        <v>28</v>
      </c>
      <c r="I49">
        <v>4114</v>
      </c>
      <c r="J49">
        <v>8934</v>
      </c>
      <c r="K49" t="s">
        <v>39</v>
      </c>
      <c r="L49" t="s">
        <v>64</v>
      </c>
      <c r="M49">
        <v>707</v>
      </c>
      <c r="N49">
        <v>156</v>
      </c>
      <c r="O49" t="s">
        <v>52</v>
      </c>
      <c r="P49" t="s">
        <v>39</v>
      </c>
      <c r="Q49">
        <v>22</v>
      </c>
      <c r="R49" t="s">
        <v>50</v>
      </c>
      <c r="S49">
        <v>7.99</v>
      </c>
    </row>
    <row r="50" spans="1:19" x14ac:dyDescent="0.3">
      <c r="A50">
        <f>'Raw Data'!D50-'Raw Data'!C50</f>
        <v>464</v>
      </c>
      <c r="B50" s="2" t="str">
        <f>_xlfn.IFS('Raw Data'!E50&gt;10,"Premium",'Raw Data'!E50&lt;10,"Basic")</f>
        <v>Premium</v>
      </c>
      <c r="C50">
        <v>15.99</v>
      </c>
      <c r="D50">
        <v>1222</v>
      </c>
      <c r="E50" t="s">
        <v>79</v>
      </c>
      <c r="F50" t="s">
        <v>30</v>
      </c>
      <c r="G50">
        <v>382</v>
      </c>
      <c r="H50" t="s">
        <v>28</v>
      </c>
      <c r="I50">
        <v>1581</v>
      </c>
      <c r="J50">
        <v>1222</v>
      </c>
      <c r="K50" t="s">
        <v>39</v>
      </c>
      <c r="L50" t="s">
        <v>26</v>
      </c>
      <c r="M50">
        <v>49</v>
      </c>
      <c r="N50">
        <v>45</v>
      </c>
      <c r="O50" t="s">
        <v>30</v>
      </c>
      <c r="P50" t="s">
        <v>39</v>
      </c>
      <c r="Q50">
        <v>382</v>
      </c>
      <c r="R50" t="s">
        <v>27</v>
      </c>
      <c r="S50">
        <v>15.99</v>
      </c>
    </row>
    <row r="51" spans="1:19" x14ac:dyDescent="0.3">
      <c r="A51">
        <f>'Raw Data'!D51-'Raw Data'!C51</f>
        <v>249</v>
      </c>
      <c r="B51" s="2" t="str">
        <f>_xlfn.IFS('Raw Data'!E51&gt;10,"Premium",'Raw Data'!E51&lt;10,"Basic")</f>
        <v>Premium</v>
      </c>
      <c r="C51">
        <v>11.99</v>
      </c>
      <c r="D51">
        <v>5762</v>
      </c>
      <c r="E51" t="s">
        <v>62</v>
      </c>
      <c r="F51" t="s">
        <v>60</v>
      </c>
      <c r="G51">
        <v>302</v>
      </c>
      <c r="H51" t="s">
        <v>28</v>
      </c>
      <c r="I51">
        <v>1293</v>
      </c>
      <c r="J51">
        <v>5762</v>
      </c>
      <c r="K51" t="s">
        <v>74</v>
      </c>
      <c r="L51" t="s">
        <v>40</v>
      </c>
      <c r="M51">
        <v>801</v>
      </c>
      <c r="N51">
        <v>141</v>
      </c>
      <c r="O51" t="s">
        <v>60</v>
      </c>
      <c r="P51" t="s">
        <v>74</v>
      </c>
      <c r="Q51">
        <v>302</v>
      </c>
      <c r="R51" t="s">
        <v>41</v>
      </c>
      <c r="S51">
        <v>11.99</v>
      </c>
    </row>
    <row r="52" spans="1:19" x14ac:dyDescent="0.3">
      <c r="A52">
        <f>'Raw Data'!D52-'Raw Data'!C52</f>
        <v>627</v>
      </c>
      <c r="B52" s="2" t="str">
        <f>_xlfn.IFS('Raw Data'!E52&gt;10,"Premium",'Raw Data'!E52&lt;10,"Basic")</f>
        <v>Premium</v>
      </c>
      <c r="C52">
        <v>11.99</v>
      </c>
      <c r="D52">
        <v>4066</v>
      </c>
      <c r="E52" t="s">
        <v>43</v>
      </c>
      <c r="F52" t="s">
        <v>52</v>
      </c>
      <c r="G52">
        <v>76</v>
      </c>
      <c r="H52" t="s">
        <v>28</v>
      </c>
      <c r="I52">
        <v>1744</v>
      </c>
      <c r="J52">
        <v>4066</v>
      </c>
      <c r="K52" t="s">
        <v>44</v>
      </c>
      <c r="L52" t="s">
        <v>49</v>
      </c>
      <c r="M52">
        <v>788</v>
      </c>
      <c r="N52">
        <v>55</v>
      </c>
      <c r="O52" t="s">
        <v>52</v>
      </c>
      <c r="P52" t="s">
        <v>44</v>
      </c>
      <c r="Q52">
        <v>76</v>
      </c>
      <c r="R52" t="s">
        <v>34</v>
      </c>
      <c r="S52">
        <v>11.99</v>
      </c>
    </row>
    <row r="53" spans="1:19" x14ac:dyDescent="0.3">
      <c r="A53">
        <f>'Raw Data'!D53-'Raw Data'!C53</f>
        <v>159</v>
      </c>
      <c r="B53" s="2" t="str">
        <f>_xlfn.IFS('Raw Data'!E53&gt;10,"Premium",'Raw Data'!E53&lt;10,"Basic")</f>
        <v>Premium</v>
      </c>
      <c r="C53">
        <v>11.99</v>
      </c>
      <c r="D53">
        <v>6469</v>
      </c>
      <c r="E53" t="s">
        <v>46</v>
      </c>
      <c r="F53" t="s">
        <v>52</v>
      </c>
      <c r="G53">
        <v>125</v>
      </c>
      <c r="H53" t="s">
        <v>28</v>
      </c>
      <c r="I53">
        <v>448</v>
      </c>
      <c r="J53">
        <v>6469</v>
      </c>
      <c r="K53" t="s">
        <v>59</v>
      </c>
      <c r="L53" t="s">
        <v>26</v>
      </c>
      <c r="M53">
        <v>853</v>
      </c>
      <c r="N53">
        <v>16</v>
      </c>
      <c r="O53" t="s">
        <v>52</v>
      </c>
      <c r="P53" t="s">
        <v>59</v>
      </c>
      <c r="Q53">
        <v>125</v>
      </c>
      <c r="R53" t="s">
        <v>34</v>
      </c>
      <c r="S53">
        <v>11.99</v>
      </c>
    </row>
    <row r="54" spans="1:19" x14ac:dyDescent="0.3">
      <c r="A54">
        <f>'Raw Data'!D54-'Raw Data'!C54</f>
        <v>494</v>
      </c>
      <c r="B54" s="2" t="str">
        <f>_xlfn.IFS('Raw Data'!E54&gt;10,"Premium",'Raw Data'!E54&lt;10,"Basic")</f>
        <v>Premium</v>
      </c>
      <c r="C54">
        <v>11.99</v>
      </c>
      <c r="D54">
        <v>1364</v>
      </c>
      <c r="E54" t="s">
        <v>55</v>
      </c>
      <c r="F54" t="s">
        <v>30</v>
      </c>
      <c r="G54">
        <v>113</v>
      </c>
      <c r="H54" t="s">
        <v>28</v>
      </c>
      <c r="I54">
        <v>3398</v>
      </c>
      <c r="J54">
        <v>1364</v>
      </c>
      <c r="K54" t="s">
        <v>44</v>
      </c>
      <c r="L54" t="s">
        <v>49</v>
      </c>
      <c r="M54">
        <v>970</v>
      </c>
      <c r="N54">
        <v>159</v>
      </c>
      <c r="O54" t="s">
        <v>30</v>
      </c>
      <c r="P54" t="s">
        <v>44</v>
      </c>
      <c r="Q54">
        <v>113</v>
      </c>
      <c r="R54" t="s">
        <v>34</v>
      </c>
      <c r="S54">
        <v>11.99</v>
      </c>
    </row>
    <row r="55" spans="1:19" x14ac:dyDescent="0.3">
      <c r="A55">
        <f>'Raw Data'!D55-'Raw Data'!C55</f>
        <v>43</v>
      </c>
      <c r="B55" s="2" t="str">
        <f>_xlfn.IFS('Raw Data'!E55&gt;10,"Premium",'Raw Data'!E55&lt;10,"Basic")</f>
        <v>Premium</v>
      </c>
      <c r="C55">
        <v>15.99</v>
      </c>
      <c r="D55">
        <v>4197</v>
      </c>
      <c r="E55" t="s">
        <v>79</v>
      </c>
      <c r="F55" t="s">
        <v>60</v>
      </c>
      <c r="G55">
        <v>183</v>
      </c>
      <c r="H55" t="s">
        <v>28</v>
      </c>
      <c r="I55">
        <v>4691</v>
      </c>
      <c r="J55">
        <v>4197</v>
      </c>
      <c r="K55" t="s">
        <v>39</v>
      </c>
      <c r="L55" t="s">
        <v>40</v>
      </c>
      <c r="M55">
        <v>490</v>
      </c>
      <c r="N55">
        <v>127</v>
      </c>
      <c r="O55" t="s">
        <v>60</v>
      </c>
      <c r="P55" t="s">
        <v>39</v>
      </c>
      <c r="Q55">
        <v>183</v>
      </c>
      <c r="R55" t="s">
        <v>27</v>
      </c>
      <c r="S55">
        <v>15.99</v>
      </c>
    </row>
    <row r="56" spans="1:19" x14ac:dyDescent="0.3">
      <c r="A56">
        <f>'Raw Data'!D56-'Raw Data'!C56</f>
        <v>705</v>
      </c>
      <c r="B56" s="2" t="str">
        <f>_xlfn.IFS('Raw Data'!E56&gt;10,"Premium",'Raw Data'!E56&lt;10,"Basic")</f>
        <v>Premium</v>
      </c>
      <c r="C56">
        <v>15.99</v>
      </c>
      <c r="D56">
        <v>9700</v>
      </c>
      <c r="E56" t="s">
        <v>46</v>
      </c>
      <c r="F56" t="s">
        <v>60</v>
      </c>
      <c r="G56">
        <v>272</v>
      </c>
      <c r="H56" t="s">
        <v>28</v>
      </c>
      <c r="I56">
        <v>4674</v>
      </c>
      <c r="J56">
        <v>9700</v>
      </c>
      <c r="K56" t="s">
        <v>48</v>
      </c>
      <c r="L56" t="s">
        <v>64</v>
      </c>
      <c r="M56">
        <v>201</v>
      </c>
      <c r="N56">
        <v>122</v>
      </c>
      <c r="O56" t="s">
        <v>60</v>
      </c>
      <c r="P56" t="s">
        <v>48</v>
      </c>
      <c r="Q56">
        <v>272</v>
      </c>
      <c r="R56" t="s">
        <v>56</v>
      </c>
      <c r="S56">
        <v>15.99</v>
      </c>
    </row>
    <row r="57" spans="1:19" x14ac:dyDescent="0.3">
      <c r="A57">
        <f>'Raw Data'!D57-'Raw Data'!C57</f>
        <v>241</v>
      </c>
      <c r="B57" s="2" t="str">
        <f>_xlfn.IFS('Raw Data'!E57&gt;10,"Premium",'Raw Data'!E57&lt;10,"Basic")</f>
        <v>Premium</v>
      </c>
      <c r="C57">
        <v>11.99</v>
      </c>
      <c r="D57">
        <v>5644</v>
      </c>
      <c r="E57" t="s">
        <v>62</v>
      </c>
      <c r="F57" t="s">
        <v>52</v>
      </c>
      <c r="G57">
        <v>19</v>
      </c>
      <c r="H57" t="s">
        <v>28</v>
      </c>
      <c r="I57">
        <v>3641</v>
      </c>
      <c r="J57">
        <v>5644</v>
      </c>
      <c r="K57" t="s">
        <v>74</v>
      </c>
      <c r="L57" t="s">
        <v>26</v>
      </c>
      <c r="M57">
        <v>741</v>
      </c>
      <c r="N57">
        <v>36</v>
      </c>
      <c r="O57" t="s">
        <v>52</v>
      </c>
      <c r="P57" t="s">
        <v>74</v>
      </c>
      <c r="Q57">
        <v>19</v>
      </c>
      <c r="R57" t="s">
        <v>56</v>
      </c>
      <c r="S57">
        <v>11.99</v>
      </c>
    </row>
    <row r="58" spans="1:19" x14ac:dyDescent="0.3">
      <c r="A58">
        <f>'Raw Data'!D58-'Raw Data'!C58</f>
        <v>701</v>
      </c>
      <c r="B58" s="2" t="str">
        <f>_xlfn.IFS('Raw Data'!E58&gt;10,"Premium",'Raw Data'!E58&lt;10,"Basic")</f>
        <v>Premium</v>
      </c>
      <c r="C58">
        <v>11.99</v>
      </c>
      <c r="D58">
        <v>5420</v>
      </c>
      <c r="E58" t="s">
        <v>33</v>
      </c>
      <c r="F58" t="s">
        <v>60</v>
      </c>
      <c r="G58">
        <v>204</v>
      </c>
      <c r="H58" t="s">
        <v>28</v>
      </c>
      <c r="I58">
        <v>1765</v>
      </c>
      <c r="J58">
        <v>5420</v>
      </c>
      <c r="K58" t="s">
        <v>48</v>
      </c>
      <c r="L58" t="s">
        <v>49</v>
      </c>
      <c r="M58">
        <v>928</v>
      </c>
      <c r="N58">
        <v>30</v>
      </c>
      <c r="O58" t="s">
        <v>60</v>
      </c>
      <c r="P58" t="s">
        <v>48</v>
      </c>
      <c r="Q58">
        <v>204</v>
      </c>
      <c r="R58" t="s">
        <v>41</v>
      </c>
      <c r="S58">
        <v>11.99</v>
      </c>
    </row>
    <row r="59" spans="1:19" x14ac:dyDescent="0.3">
      <c r="A59">
        <f>'Raw Data'!D59-'Raw Data'!C59</f>
        <v>710</v>
      </c>
      <c r="B59" s="2" t="str">
        <f>_xlfn.IFS('Raw Data'!E59&gt;10,"Premium",'Raw Data'!E59&lt;10,"Basic")</f>
        <v>Basic</v>
      </c>
      <c r="C59">
        <v>7.99</v>
      </c>
      <c r="D59">
        <v>7560</v>
      </c>
      <c r="E59" t="s">
        <v>55</v>
      </c>
      <c r="F59" t="s">
        <v>68</v>
      </c>
      <c r="G59">
        <v>345</v>
      </c>
      <c r="H59" t="s">
        <v>28</v>
      </c>
      <c r="I59">
        <v>3462</v>
      </c>
      <c r="J59">
        <v>7560</v>
      </c>
      <c r="K59" t="s">
        <v>25</v>
      </c>
      <c r="L59" t="s">
        <v>49</v>
      </c>
      <c r="M59">
        <v>80</v>
      </c>
      <c r="N59">
        <v>100</v>
      </c>
      <c r="O59" t="s">
        <v>68</v>
      </c>
      <c r="P59" t="s">
        <v>25</v>
      </c>
      <c r="Q59">
        <v>345</v>
      </c>
      <c r="R59" t="s">
        <v>27</v>
      </c>
      <c r="S59">
        <v>7.99</v>
      </c>
    </row>
    <row r="60" spans="1:19" x14ac:dyDescent="0.3">
      <c r="A60">
        <f>'Raw Data'!D60-'Raw Data'!C60</f>
        <v>78</v>
      </c>
      <c r="B60" s="2" t="str">
        <f>_xlfn.IFS('Raw Data'!E60&gt;10,"Premium",'Raw Data'!E60&lt;10,"Basic")</f>
        <v>Basic</v>
      </c>
      <c r="C60">
        <v>7.99</v>
      </c>
      <c r="D60">
        <v>9644</v>
      </c>
      <c r="E60" t="s">
        <v>62</v>
      </c>
      <c r="F60" t="s">
        <v>52</v>
      </c>
      <c r="G60">
        <v>294</v>
      </c>
      <c r="H60" t="s">
        <v>28</v>
      </c>
      <c r="I60">
        <v>790</v>
      </c>
      <c r="J60">
        <v>9644</v>
      </c>
      <c r="K60" t="s">
        <v>74</v>
      </c>
      <c r="L60" t="s">
        <v>26</v>
      </c>
      <c r="M60">
        <v>453</v>
      </c>
      <c r="N60">
        <v>149</v>
      </c>
      <c r="O60" t="s">
        <v>52</v>
      </c>
      <c r="P60" t="s">
        <v>74</v>
      </c>
      <c r="Q60">
        <v>294</v>
      </c>
      <c r="R60" t="s">
        <v>27</v>
      </c>
      <c r="S60">
        <v>7.99</v>
      </c>
    </row>
    <row r="61" spans="1:19" x14ac:dyDescent="0.3">
      <c r="A61">
        <f>'Raw Data'!D61-'Raw Data'!C61</f>
        <v>346</v>
      </c>
      <c r="B61" s="2" t="str">
        <f>_xlfn.IFS('Raw Data'!E61&gt;10,"Premium",'Raw Data'!E61&lt;10,"Basic")</f>
        <v>Premium</v>
      </c>
      <c r="C61">
        <v>15.99</v>
      </c>
      <c r="D61">
        <v>7239</v>
      </c>
      <c r="E61" t="s">
        <v>24</v>
      </c>
      <c r="F61" t="s">
        <v>36</v>
      </c>
      <c r="G61">
        <v>318</v>
      </c>
      <c r="H61" t="s">
        <v>28</v>
      </c>
      <c r="I61">
        <v>4732</v>
      </c>
      <c r="J61">
        <v>7239</v>
      </c>
      <c r="K61" t="s">
        <v>39</v>
      </c>
      <c r="L61" t="s">
        <v>26</v>
      </c>
      <c r="M61">
        <v>943</v>
      </c>
      <c r="N61">
        <v>116</v>
      </c>
      <c r="O61" t="s">
        <v>36</v>
      </c>
      <c r="P61" t="s">
        <v>39</v>
      </c>
      <c r="Q61">
        <v>318</v>
      </c>
      <c r="R61" t="s">
        <v>27</v>
      </c>
      <c r="S61">
        <v>15.99</v>
      </c>
    </row>
    <row r="62" spans="1:19" x14ac:dyDescent="0.3">
      <c r="A62">
        <f>'Raw Data'!D62-'Raw Data'!C62</f>
        <v>404</v>
      </c>
      <c r="B62" s="2" t="str">
        <f>_xlfn.IFS('Raw Data'!E62&gt;10,"Premium",'Raw Data'!E62&lt;10,"Basic")</f>
        <v>Premium</v>
      </c>
      <c r="C62">
        <v>11.99</v>
      </c>
      <c r="D62">
        <v>6415</v>
      </c>
      <c r="E62" t="s">
        <v>24</v>
      </c>
      <c r="F62" t="s">
        <v>30</v>
      </c>
      <c r="G62">
        <v>396</v>
      </c>
      <c r="H62" t="s">
        <v>28</v>
      </c>
      <c r="I62">
        <v>4599</v>
      </c>
      <c r="J62">
        <v>6415</v>
      </c>
      <c r="K62" t="s">
        <v>44</v>
      </c>
      <c r="L62" t="s">
        <v>64</v>
      </c>
      <c r="M62">
        <v>348</v>
      </c>
      <c r="N62">
        <v>172</v>
      </c>
      <c r="O62" t="s">
        <v>30</v>
      </c>
      <c r="P62" t="s">
        <v>44</v>
      </c>
      <c r="Q62">
        <v>396</v>
      </c>
      <c r="R62" t="s">
        <v>27</v>
      </c>
      <c r="S62">
        <v>11.99</v>
      </c>
    </row>
    <row r="63" spans="1:19" x14ac:dyDescent="0.3">
      <c r="A63">
        <f>'Raw Data'!D63-'Raw Data'!C63</f>
        <v>669</v>
      </c>
      <c r="B63" s="2" t="str">
        <f>_xlfn.IFS('Raw Data'!E63&gt;10,"Premium",'Raw Data'!E63&lt;10,"Basic")</f>
        <v>Premium</v>
      </c>
      <c r="C63">
        <v>11.99</v>
      </c>
      <c r="D63">
        <v>9020</v>
      </c>
      <c r="E63" t="s">
        <v>55</v>
      </c>
      <c r="F63" t="s">
        <v>36</v>
      </c>
      <c r="G63">
        <v>455</v>
      </c>
      <c r="H63" t="s">
        <v>28</v>
      </c>
      <c r="I63">
        <v>965</v>
      </c>
      <c r="J63">
        <v>9020</v>
      </c>
      <c r="K63" t="s">
        <v>48</v>
      </c>
      <c r="L63" t="s">
        <v>49</v>
      </c>
      <c r="M63">
        <v>112</v>
      </c>
      <c r="N63">
        <v>158</v>
      </c>
      <c r="O63" t="s">
        <v>36</v>
      </c>
      <c r="P63" t="s">
        <v>48</v>
      </c>
      <c r="Q63">
        <v>455</v>
      </c>
      <c r="R63" t="s">
        <v>34</v>
      </c>
      <c r="S63">
        <v>11.99</v>
      </c>
    </row>
    <row r="64" spans="1:19" x14ac:dyDescent="0.3">
      <c r="A64">
        <f>'Raw Data'!D64-'Raw Data'!C64</f>
        <v>17</v>
      </c>
      <c r="B64" s="2" t="str">
        <f>_xlfn.IFS('Raw Data'!E64&gt;10,"Premium",'Raw Data'!E64&lt;10,"Basic")</f>
        <v>Basic</v>
      </c>
      <c r="C64">
        <v>7.99</v>
      </c>
      <c r="D64">
        <v>2324</v>
      </c>
      <c r="E64" t="s">
        <v>62</v>
      </c>
      <c r="F64" t="s">
        <v>30</v>
      </c>
      <c r="G64">
        <v>175</v>
      </c>
      <c r="H64" t="s">
        <v>28</v>
      </c>
      <c r="I64">
        <v>1155</v>
      </c>
      <c r="J64">
        <v>2324</v>
      </c>
      <c r="K64" t="s">
        <v>25</v>
      </c>
      <c r="L64" t="s">
        <v>49</v>
      </c>
      <c r="M64">
        <v>606</v>
      </c>
      <c r="N64">
        <v>195</v>
      </c>
      <c r="O64" t="s">
        <v>30</v>
      </c>
      <c r="P64" t="s">
        <v>25</v>
      </c>
      <c r="Q64">
        <v>175</v>
      </c>
      <c r="R64" t="s">
        <v>56</v>
      </c>
      <c r="S64">
        <v>7.99</v>
      </c>
    </row>
    <row r="65" spans="1:19" x14ac:dyDescent="0.3">
      <c r="A65">
        <f>'Raw Data'!D65-'Raw Data'!C65</f>
        <v>532</v>
      </c>
      <c r="B65" s="2" t="str">
        <f>_xlfn.IFS('Raw Data'!E65&gt;10,"Premium",'Raw Data'!E65&lt;10,"Basic")</f>
        <v>Basic</v>
      </c>
      <c r="C65">
        <v>7.99</v>
      </c>
      <c r="D65">
        <v>1354</v>
      </c>
      <c r="E65" t="s">
        <v>43</v>
      </c>
      <c r="F65" t="s">
        <v>52</v>
      </c>
      <c r="G65">
        <v>36</v>
      </c>
      <c r="H65" t="s">
        <v>28</v>
      </c>
      <c r="I65">
        <v>1110</v>
      </c>
      <c r="J65">
        <v>1354</v>
      </c>
      <c r="K65" t="s">
        <v>48</v>
      </c>
      <c r="L65" t="s">
        <v>26</v>
      </c>
      <c r="M65">
        <v>214</v>
      </c>
      <c r="N65">
        <v>114</v>
      </c>
      <c r="O65" t="s">
        <v>52</v>
      </c>
      <c r="P65" t="s">
        <v>48</v>
      </c>
      <c r="Q65">
        <v>36</v>
      </c>
      <c r="R65" t="s">
        <v>50</v>
      </c>
      <c r="S65">
        <v>7.99</v>
      </c>
    </row>
    <row r="66" spans="1:19" x14ac:dyDescent="0.3">
      <c r="A66">
        <f>'Raw Data'!D66-'Raw Data'!C66</f>
        <v>343</v>
      </c>
      <c r="B66" s="2" t="str">
        <f>_xlfn.IFS('Raw Data'!E66&gt;10,"Premium",'Raw Data'!E66&lt;10,"Basic")</f>
        <v>Premium</v>
      </c>
      <c r="C66">
        <v>15.99</v>
      </c>
      <c r="D66">
        <v>4019</v>
      </c>
      <c r="E66" t="s">
        <v>46</v>
      </c>
      <c r="F66" t="s">
        <v>68</v>
      </c>
      <c r="G66">
        <v>349</v>
      </c>
      <c r="H66" t="s">
        <v>28</v>
      </c>
      <c r="I66">
        <v>1911</v>
      </c>
      <c r="J66">
        <v>4019</v>
      </c>
      <c r="K66" t="s">
        <v>39</v>
      </c>
      <c r="L66" t="s">
        <v>49</v>
      </c>
      <c r="M66">
        <v>334</v>
      </c>
      <c r="N66">
        <v>76</v>
      </c>
      <c r="O66" t="s">
        <v>68</v>
      </c>
      <c r="P66" t="s">
        <v>39</v>
      </c>
      <c r="Q66">
        <v>349</v>
      </c>
      <c r="R66" t="s">
        <v>41</v>
      </c>
      <c r="S66">
        <v>15.99</v>
      </c>
    </row>
    <row r="67" spans="1:19" x14ac:dyDescent="0.3">
      <c r="A67">
        <f>'Raw Data'!D67-'Raw Data'!C67</f>
        <v>649</v>
      </c>
      <c r="B67" s="2" t="str">
        <f>_xlfn.IFS('Raw Data'!E67&gt;10,"Premium",'Raw Data'!E67&lt;10,"Basic")</f>
        <v>Premium</v>
      </c>
      <c r="C67">
        <v>11.99</v>
      </c>
      <c r="D67">
        <v>6178</v>
      </c>
      <c r="E67" t="s">
        <v>46</v>
      </c>
      <c r="F67" t="s">
        <v>52</v>
      </c>
      <c r="G67">
        <v>262</v>
      </c>
      <c r="H67" t="s">
        <v>28</v>
      </c>
      <c r="I67">
        <v>1721</v>
      </c>
      <c r="J67">
        <v>6178</v>
      </c>
      <c r="K67" t="s">
        <v>48</v>
      </c>
      <c r="L67" t="s">
        <v>49</v>
      </c>
      <c r="M67">
        <v>849</v>
      </c>
      <c r="N67">
        <v>68</v>
      </c>
      <c r="O67" t="s">
        <v>52</v>
      </c>
      <c r="P67" t="s">
        <v>48</v>
      </c>
      <c r="Q67">
        <v>262</v>
      </c>
      <c r="R67" t="s">
        <v>67</v>
      </c>
      <c r="S67">
        <v>11.99</v>
      </c>
    </row>
    <row r="68" spans="1:19" x14ac:dyDescent="0.3">
      <c r="A68">
        <f>'Raw Data'!D68-'Raw Data'!C68</f>
        <v>348</v>
      </c>
      <c r="B68" s="2" t="str">
        <f>_xlfn.IFS('Raw Data'!E68&gt;10,"Premium",'Raw Data'!E68&lt;10,"Basic")</f>
        <v>Basic</v>
      </c>
      <c r="C68">
        <v>7.99</v>
      </c>
      <c r="D68">
        <v>8673</v>
      </c>
      <c r="E68" t="s">
        <v>24</v>
      </c>
      <c r="F68" t="s">
        <v>68</v>
      </c>
      <c r="G68">
        <v>378</v>
      </c>
      <c r="H68" t="s">
        <v>28</v>
      </c>
      <c r="I68">
        <v>353</v>
      </c>
      <c r="J68">
        <v>8673</v>
      </c>
      <c r="K68" t="s">
        <v>44</v>
      </c>
      <c r="L68" t="s">
        <v>40</v>
      </c>
      <c r="M68">
        <v>155</v>
      </c>
      <c r="N68">
        <v>69</v>
      </c>
      <c r="O68" t="s">
        <v>68</v>
      </c>
      <c r="P68" t="s">
        <v>44</v>
      </c>
      <c r="Q68">
        <v>378</v>
      </c>
      <c r="R68" t="s">
        <v>50</v>
      </c>
      <c r="S68">
        <v>7.99</v>
      </c>
    </row>
    <row r="69" spans="1:19" x14ac:dyDescent="0.3">
      <c r="A69">
        <f>'Raw Data'!D69-'Raw Data'!C69</f>
        <v>259</v>
      </c>
      <c r="B69" s="2" t="str">
        <f>_xlfn.IFS('Raw Data'!E69&gt;10,"Premium",'Raw Data'!E69&lt;10,"Basic")</f>
        <v>Premium</v>
      </c>
      <c r="C69">
        <v>15.99</v>
      </c>
      <c r="D69">
        <v>8250</v>
      </c>
      <c r="E69" t="s">
        <v>46</v>
      </c>
      <c r="F69" t="s">
        <v>30</v>
      </c>
      <c r="G69">
        <v>469</v>
      </c>
      <c r="H69" t="s">
        <v>28</v>
      </c>
      <c r="I69">
        <v>423</v>
      </c>
      <c r="J69">
        <v>8250</v>
      </c>
      <c r="K69" t="s">
        <v>59</v>
      </c>
      <c r="L69" t="s">
        <v>64</v>
      </c>
      <c r="M69">
        <v>406</v>
      </c>
      <c r="N69">
        <v>71</v>
      </c>
      <c r="O69" t="s">
        <v>30</v>
      </c>
      <c r="P69" t="s">
        <v>59</v>
      </c>
      <c r="Q69">
        <v>469</v>
      </c>
      <c r="R69" t="s">
        <v>67</v>
      </c>
      <c r="S69">
        <v>15.99</v>
      </c>
    </row>
    <row r="70" spans="1:19" x14ac:dyDescent="0.3">
      <c r="A70">
        <f>'Raw Data'!D70-'Raw Data'!C70</f>
        <v>614</v>
      </c>
      <c r="B70" s="2" t="str">
        <f>_xlfn.IFS('Raw Data'!E70&gt;10,"Premium",'Raw Data'!E70&lt;10,"Basic")</f>
        <v>Basic</v>
      </c>
      <c r="C70">
        <v>7.99</v>
      </c>
      <c r="D70">
        <v>1609</v>
      </c>
      <c r="E70" t="s">
        <v>55</v>
      </c>
      <c r="F70" t="s">
        <v>68</v>
      </c>
      <c r="G70">
        <v>87</v>
      </c>
      <c r="H70" t="s">
        <v>28</v>
      </c>
      <c r="I70">
        <v>344</v>
      </c>
      <c r="J70">
        <v>1609</v>
      </c>
      <c r="K70" t="s">
        <v>39</v>
      </c>
      <c r="L70" t="s">
        <v>49</v>
      </c>
      <c r="M70">
        <v>571</v>
      </c>
      <c r="N70">
        <v>54</v>
      </c>
      <c r="O70" t="s">
        <v>68</v>
      </c>
      <c r="P70" t="s">
        <v>39</v>
      </c>
      <c r="Q70">
        <v>87</v>
      </c>
      <c r="R70" t="s">
        <v>34</v>
      </c>
      <c r="S70">
        <v>7.99</v>
      </c>
    </row>
    <row r="71" spans="1:19" x14ac:dyDescent="0.3">
      <c r="A71">
        <f>'Raw Data'!D71-'Raw Data'!C71</f>
        <v>662</v>
      </c>
      <c r="B71" s="2" t="str">
        <f>_xlfn.IFS('Raw Data'!E71&gt;10,"Premium",'Raw Data'!E71&lt;10,"Basic")</f>
        <v>Premium</v>
      </c>
      <c r="C71">
        <v>15.99</v>
      </c>
      <c r="D71">
        <v>3806</v>
      </c>
      <c r="E71" t="s">
        <v>46</v>
      </c>
      <c r="F71" t="s">
        <v>68</v>
      </c>
      <c r="G71">
        <v>471</v>
      </c>
      <c r="H71" t="s">
        <v>28</v>
      </c>
      <c r="I71">
        <v>4117</v>
      </c>
      <c r="J71">
        <v>3806</v>
      </c>
      <c r="K71" t="s">
        <v>39</v>
      </c>
      <c r="L71" t="s">
        <v>26</v>
      </c>
      <c r="M71">
        <v>56</v>
      </c>
      <c r="N71">
        <v>69</v>
      </c>
      <c r="O71" t="s">
        <v>68</v>
      </c>
      <c r="P71" t="s">
        <v>39</v>
      </c>
      <c r="Q71">
        <v>471</v>
      </c>
      <c r="R71" t="s">
        <v>41</v>
      </c>
      <c r="S71">
        <v>15.99</v>
      </c>
    </row>
    <row r="72" spans="1:19" x14ac:dyDescent="0.3">
      <c r="A72">
        <f>'Raw Data'!D72-'Raw Data'!C72</f>
        <v>63</v>
      </c>
      <c r="B72" s="2" t="str">
        <f>_xlfn.IFS('Raw Data'!E72&gt;10,"Premium",'Raw Data'!E72&lt;10,"Basic")</f>
        <v>Basic</v>
      </c>
      <c r="C72">
        <v>7.99</v>
      </c>
      <c r="D72">
        <v>7973</v>
      </c>
      <c r="E72" t="s">
        <v>79</v>
      </c>
      <c r="F72" t="s">
        <v>68</v>
      </c>
      <c r="G72">
        <v>469</v>
      </c>
      <c r="H72" t="s">
        <v>28</v>
      </c>
      <c r="I72">
        <v>3983</v>
      </c>
      <c r="J72">
        <v>7973</v>
      </c>
      <c r="K72" t="s">
        <v>74</v>
      </c>
      <c r="L72" t="s">
        <v>64</v>
      </c>
      <c r="M72">
        <v>748</v>
      </c>
      <c r="N72">
        <v>147</v>
      </c>
      <c r="O72" t="s">
        <v>68</v>
      </c>
      <c r="P72" t="s">
        <v>74</v>
      </c>
      <c r="Q72">
        <v>469</v>
      </c>
      <c r="R72" t="s">
        <v>27</v>
      </c>
      <c r="S72">
        <v>7.99</v>
      </c>
    </row>
    <row r="73" spans="1:19" x14ac:dyDescent="0.3">
      <c r="A73">
        <f>'Raw Data'!D73-'Raw Data'!C73</f>
        <v>363</v>
      </c>
      <c r="B73" s="2" t="str">
        <f>_xlfn.IFS('Raw Data'!E73&gt;10,"Premium",'Raw Data'!E73&lt;10,"Basic")</f>
        <v>Premium</v>
      </c>
      <c r="C73">
        <v>15.99</v>
      </c>
      <c r="D73">
        <v>7948</v>
      </c>
      <c r="E73" t="s">
        <v>43</v>
      </c>
      <c r="F73" t="s">
        <v>30</v>
      </c>
      <c r="G73">
        <v>298</v>
      </c>
      <c r="H73" t="s">
        <v>28</v>
      </c>
      <c r="I73">
        <v>3941</v>
      </c>
      <c r="J73">
        <v>7948</v>
      </c>
      <c r="K73" t="s">
        <v>63</v>
      </c>
      <c r="L73" t="s">
        <v>26</v>
      </c>
      <c r="M73">
        <v>603</v>
      </c>
      <c r="N73">
        <v>161</v>
      </c>
      <c r="O73" t="s">
        <v>30</v>
      </c>
      <c r="P73" t="s">
        <v>63</v>
      </c>
      <c r="Q73">
        <v>298</v>
      </c>
      <c r="R73" t="s">
        <v>50</v>
      </c>
      <c r="S73">
        <v>15.99</v>
      </c>
    </row>
    <row r="74" spans="1:19" x14ac:dyDescent="0.3">
      <c r="A74">
        <f>'Raw Data'!D74-'Raw Data'!C74</f>
        <v>431</v>
      </c>
      <c r="B74" s="2" t="str">
        <f>_xlfn.IFS('Raw Data'!E74&gt;10,"Premium",'Raw Data'!E74&lt;10,"Basic")</f>
        <v>Premium</v>
      </c>
      <c r="C74">
        <v>11.99</v>
      </c>
      <c r="D74">
        <v>3195</v>
      </c>
      <c r="E74" t="s">
        <v>24</v>
      </c>
      <c r="F74" t="s">
        <v>30</v>
      </c>
      <c r="G74">
        <v>331</v>
      </c>
      <c r="H74" t="s">
        <v>28</v>
      </c>
      <c r="I74">
        <v>3085</v>
      </c>
      <c r="J74">
        <v>3195</v>
      </c>
      <c r="K74" t="s">
        <v>63</v>
      </c>
      <c r="L74" t="s">
        <v>40</v>
      </c>
      <c r="M74">
        <v>990</v>
      </c>
      <c r="N74">
        <v>72</v>
      </c>
      <c r="O74" t="s">
        <v>30</v>
      </c>
      <c r="P74" t="s">
        <v>63</v>
      </c>
      <c r="Q74">
        <v>331</v>
      </c>
      <c r="R74" t="s">
        <v>50</v>
      </c>
      <c r="S74">
        <v>11.99</v>
      </c>
    </row>
    <row r="75" spans="1:19" x14ac:dyDescent="0.3">
      <c r="A75">
        <f>'Raw Data'!D75-'Raw Data'!C75</f>
        <v>488</v>
      </c>
      <c r="B75" s="2" t="str">
        <f>_xlfn.IFS('Raw Data'!E75&gt;10,"Premium",'Raw Data'!E75&lt;10,"Basic")</f>
        <v>Premium</v>
      </c>
      <c r="C75">
        <v>11.99</v>
      </c>
      <c r="D75">
        <v>6285</v>
      </c>
      <c r="E75" t="s">
        <v>46</v>
      </c>
      <c r="F75" t="s">
        <v>30</v>
      </c>
      <c r="G75">
        <v>238</v>
      </c>
      <c r="H75" t="s">
        <v>28</v>
      </c>
      <c r="I75">
        <v>48</v>
      </c>
      <c r="J75">
        <v>6285</v>
      </c>
      <c r="K75" t="s">
        <v>25</v>
      </c>
      <c r="L75" t="s">
        <v>26</v>
      </c>
      <c r="M75">
        <v>831</v>
      </c>
      <c r="N75">
        <v>101</v>
      </c>
      <c r="O75" t="s">
        <v>30</v>
      </c>
      <c r="P75" t="s">
        <v>25</v>
      </c>
      <c r="Q75">
        <v>238</v>
      </c>
      <c r="R75" t="s">
        <v>34</v>
      </c>
      <c r="S75">
        <v>11.99</v>
      </c>
    </row>
    <row r="76" spans="1:19" x14ac:dyDescent="0.3">
      <c r="A76">
        <f>'Raw Data'!D76-'Raw Data'!C76</f>
        <v>468</v>
      </c>
      <c r="B76" s="2" t="str">
        <f>_xlfn.IFS('Raw Data'!E76&gt;10,"Premium",'Raw Data'!E76&lt;10,"Basic")</f>
        <v>Basic</v>
      </c>
      <c r="C76">
        <v>7.99</v>
      </c>
      <c r="D76">
        <v>4303</v>
      </c>
      <c r="E76" t="s">
        <v>62</v>
      </c>
      <c r="F76" t="s">
        <v>68</v>
      </c>
      <c r="G76">
        <v>231</v>
      </c>
      <c r="H76" t="s">
        <v>28</v>
      </c>
      <c r="I76">
        <v>1520</v>
      </c>
      <c r="J76">
        <v>4303</v>
      </c>
      <c r="K76" t="s">
        <v>63</v>
      </c>
      <c r="L76" t="s">
        <v>64</v>
      </c>
      <c r="M76">
        <v>420</v>
      </c>
      <c r="N76">
        <v>85</v>
      </c>
      <c r="O76" t="s">
        <v>68</v>
      </c>
      <c r="P76" t="s">
        <v>63</v>
      </c>
      <c r="Q76">
        <v>231</v>
      </c>
      <c r="R76" t="s">
        <v>41</v>
      </c>
      <c r="S76">
        <v>7.99</v>
      </c>
    </row>
    <row r="77" spans="1:19" x14ac:dyDescent="0.3">
      <c r="A77">
        <f>'Raw Data'!D77-'Raw Data'!C77</f>
        <v>138</v>
      </c>
      <c r="B77" s="2" t="str">
        <f>_xlfn.IFS('Raw Data'!E77&gt;10,"Premium",'Raw Data'!E77&lt;10,"Basic")</f>
        <v>Premium</v>
      </c>
      <c r="C77">
        <v>11.99</v>
      </c>
      <c r="D77">
        <v>7751</v>
      </c>
      <c r="E77" t="s">
        <v>43</v>
      </c>
      <c r="F77" t="s">
        <v>68</v>
      </c>
      <c r="G77">
        <v>457</v>
      </c>
      <c r="H77" t="s">
        <v>28</v>
      </c>
      <c r="I77">
        <v>935</v>
      </c>
      <c r="J77">
        <v>7751</v>
      </c>
      <c r="K77" t="s">
        <v>39</v>
      </c>
      <c r="L77" t="s">
        <v>26</v>
      </c>
      <c r="M77">
        <v>754</v>
      </c>
      <c r="N77">
        <v>98</v>
      </c>
      <c r="O77" t="s">
        <v>68</v>
      </c>
      <c r="P77" t="s">
        <v>39</v>
      </c>
      <c r="Q77">
        <v>457</v>
      </c>
      <c r="R77" t="s">
        <v>41</v>
      </c>
      <c r="S77">
        <v>11.99</v>
      </c>
    </row>
    <row r="78" spans="1:19" x14ac:dyDescent="0.3">
      <c r="A78">
        <f>'Raw Data'!D78-'Raw Data'!C78</f>
        <v>124</v>
      </c>
      <c r="B78" s="2" t="str">
        <f>_xlfn.IFS('Raw Data'!E78&gt;10,"Premium",'Raw Data'!E78&lt;10,"Basic")</f>
        <v>Premium</v>
      </c>
      <c r="C78">
        <v>15.99</v>
      </c>
      <c r="D78">
        <v>7813</v>
      </c>
      <c r="E78" t="s">
        <v>33</v>
      </c>
      <c r="F78" t="s">
        <v>68</v>
      </c>
      <c r="G78">
        <v>373</v>
      </c>
      <c r="H78" t="s">
        <v>28</v>
      </c>
      <c r="I78">
        <v>4641</v>
      </c>
      <c r="J78">
        <v>7813</v>
      </c>
      <c r="K78" t="s">
        <v>48</v>
      </c>
      <c r="L78" t="s">
        <v>64</v>
      </c>
      <c r="M78">
        <v>782</v>
      </c>
      <c r="N78">
        <v>7</v>
      </c>
      <c r="O78" t="s">
        <v>68</v>
      </c>
      <c r="P78" t="s">
        <v>48</v>
      </c>
      <c r="Q78">
        <v>373</v>
      </c>
      <c r="R78" t="s">
        <v>50</v>
      </c>
      <c r="S78">
        <v>15.99</v>
      </c>
    </row>
    <row r="79" spans="1:19" x14ac:dyDescent="0.3">
      <c r="A79">
        <f>'Raw Data'!D79-'Raw Data'!C79</f>
        <v>358</v>
      </c>
      <c r="B79" s="2" t="str">
        <f>_xlfn.IFS('Raw Data'!E79&gt;10,"Premium",'Raw Data'!E79&lt;10,"Basic")</f>
        <v>Premium</v>
      </c>
      <c r="C79">
        <v>15.99</v>
      </c>
      <c r="D79">
        <v>9028</v>
      </c>
      <c r="E79" t="s">
        <v>24</v>
      </c>
      <c r="F79" t="s">
        <v>36</v>
      </c>
      <c r="G79">
        <v>11</v>
      </c>
      <c r="H79" t="s">
        <v>28</v>
      </c>
      <c r="I79">
        <v>2941</v>
      </c>
      <c r="J79">
        <v>9028</v>
      </c>
      <c r="K79" t="s">
        <v>25</v>
      </c>
      <c r="L79" t="s">
        <v>26</v>
      </c>
      <c r="M79">
        <v>557</v>
      </c>
      <c r="N79">
        <v>165</v>
      </c>
      <c r="O79" t="s">
        <v>36</v>
      </c>
      <c r="P79" t="s">
        <v>25</v>
      </c>
      <c r="Q79">
        <v>11</v>
      </c>
      <c r="R79" t="s">
        <v>67</v>
      </c>
      <c r="S79">
        <v>15.99</v>
      </c>
    </row>
    <row r="80" spans="1:19" x14ac:dyDescent="0.3">
      <c r="A80">
        <f>'Raw Data'!D80-'Raw Data'!C80</f>
        <v>408</v>
      </c>
      <c r="B80" s="2" t="str">
        <f>_xlfn.IFS('Raw Data'!E80&gt;10,"Premium",'Raw Data'!E80&lt;10,"Basic")</f>
        <v>Premium</v>
      </c>
      <c r="C80">
        <v>15.99</v>
      </c>
      <c r="D80">
        <v>6109</v>
      </c>
      <c r="E80" t="s">
        <v>79</v>
      </c>
      <c r="F80" t="s">
        <v>52</v>
      </c>
      <c r="G80">
        <v>425</v>
      </c>
      <c r="H80" t="s">
        <v>28</v>
      </c>
      <c r="I80">
        <v>1325</v>
      </c>
      <c r="J80">
        <v>6109</v>
      </c>
      <c r="K80" t="s">
        <v>63</v>
      </c>
      <c r="L80" t="s">
        <v>64</v>
      </c>
      <c r="M80">
        <v>552</v>
      </c>
      <c r="N80">
        <v>27</v>
      </c>
      <c r="O80" t="s">
        <v>52</v>
      </c>
      <c r="P80" t="s">
        <v>63</v>
      </c>
      <c r="Q80">
        <v>425</v>
      </c>
      <c r="R80" t="s">
        <v>56</v>
      </c>
      <c r="S80">
        <v>15.99</v>
      </c>
    </row>
    <row r="81" spans="1:19" x14ac:dyDescent="0.3">
      <c r="A81">
        <f>'Raw Data'!D81-'Raw Data'!C81</f>
        <v>94</v>
      </c>
      <c r="B81" s="2" t="str">
        <f>_xlfn.IFS('Raw Data'!E81&gt;10,"Premium",'Raw Data'!E81&lt;10,"Basic")</f>
        <v>Basic</v>
      </c>
      <c r="C81">
        <v>7.99</v>
      </c>
      <c r="D81">
        <v>2565</v>
      </c>
      <c r="E81" t="s">
        <v>62</v>
      </c>
      <c r="F81" t="s">
        <v>68</v>
      </c>
      <c r="G81">
        <v>231</v>
      </c>
      <c r="H81" t="s">
        <v>28</v>
      </c>
      <c r="I81">
        <v>4465</v>
      </c>
      <c r="J81">
        <v>2565</v>
      </c>
      <c r="K81" t="s">
        <v>59</v>
      </c>
      <c r="L81" t="s">
        <v>49</v>
      </c>
      <c r="M81">
        <v>356</v>
      </c>
      <c r="N81">
        <v>81</v>
      </c>
      <c r="O81" t="s">
        <v>68</v>
      </c>
      <c r="P81" t="s">
        <v>59</v>
      </c>
      <c r="Q81">
        <v>231</v>
      </c>
      <c r="R81" t="s">
        <v>67</v>
      </c>
      <c r="S81">
        <v>7.99</v>
      </c>
    </row>
    <row r="82" spans="1:19" x14ac:dyDescent="0.3">
      <c r="A82">
        <f>'Raw Data'!D82-'Raw Data'!C82</f>
        <v>337</v>
      </c>
      <c r="B82" s="2" t="str">
        <f>_xlfn.IFS('Raw Data'!E82&gt;10,"Premium",'Raw Data'!E82&lt;10,"Basic")</f>
        <v>Premium</v>
      </c>
      <c r="C82">
        <v>15.99</v>
      </c>
      <c r="D82">
        <v>7551</v>
      </c>
      <c r="E82" t="s">
        <v>33</v>
      </c>
      <c r="F82" t="s">
        <v>36</v>
      </c>
      <c r="G82">
        <v>483</v>
      </c>
      <c r="H82" t="s">
        <v>28</v>
      </c>
      <c r="I82">
        <v>3517</v>
      </c>
      <c r="J82">
        <v>7551</v>
      </c>
      <c r="K82" t="s">
        <v>25</v>
      </c>
      <c r="L82" t="s">
        <v>64</v>
      </c>
      <c r="M82">
        <v>161</v>
      </c>
      <c r="N82">
        <v>110</v>
      </c>
      <c r="O82" t="s">
        <v>36</v>
      </c>
      <c r="P82" t="s">
        <v>25</v>
      </c>
      <c r="Q82">
        <v>483</v>
      </c>
      <c r="R82" t="s">
        <v>67</v>
      </c>
      <c r="S82">
        <v>15.99</v>
      </c>
    </row>
    <row r="83" spans="1:19" x14ac:dyDescent="0.3">
      <c r="A83">
        <f>'Raw Data'!D83-'Raw Data'!C83</f>
        <v>475</v>
      </c>
      <c r="B83" s="2" t="str">
        <f>_xlfn.IFS('Raw Data'!E83&gt;10,"Premium",'Raw Data'!E83&lt;10,"Basic")</f>
        <v>Basic</v>
      </c>
      <c r="C83">
        <v>7.99</v>
      </c>
      <c r="D83">
        <v>6398</v>
      </c>
      <c r="E83" t="s">
        <v>79</v>
      </c>
      <c r="F83" t="s">
        <v>60</v>
      </c>
      <c r="G83">
        <v>55</v>
      </c>
      <c r="H83" t="s">
        <v>28</v>
      </c>
      <c r="I83">
        <v>1672</v>
      </c>
      <c r="J83">
        <v>6398</v>
      </c>
      <c r="K83" t="s">
        <v>44</v>
      </c>
      <c r="L83" t="s">
        <v>26</v>
      </c>
      <c r="M83">
        <v>17</v>
      </c>
      <c r="N83">
        <v>40</v>
      </c>
      <c r="O83" t="s">
        <v>60</v>
      </c>
      <c r="P83" t="s">
        <v>44</v>
      </c>
      <c r="Q83">
        <v>55</v>
      </c>
      <c r="R83" t="s">
        <v>41</v>
      </c>
      <c r="S83">
        <v>7.99</v>
      </c>
    </row>
    <row r="84" spans="1:19" x14ac:dyDescent="0.3">
      <c r="A84">
        <f>'Raw Data'!D84-'Raw Data'!C84</f>
        <v>389</v>
      </c>
      <c r="B84" s="2" t="str">
        <f>_xlfn.IFS('Raw Data'!E84&gt;10,"Premium",'Raw Data'!E84&lt;10,"Basic")</f>
        <v>Premium</v>
      </c>
      <c r="C84">
        <v>11.99</v>
      </c>
      <c r="D84">
        <v>4982</v>
      </c>
      <c r="E84" t="s">
        <v>33</v>
      </c>
      <c r="F84" t="s">
        <v>36</v>
      </c>
      <c r="G84">
        <v>375</v>
      </c>
      <c r="H84" t="s">
        <v>28</v>
      </c>
      <c r="I84">
        <v>2164</v>
      </c>
      <c r="J84">
        <v>4982</v>
      </c>
      <c r="K84" t="s">
        <v>39</v>
      </c>
      <c r="L84" t="s">
        <v>26</v>
      </c>
      <c r="M84">
        <v>366</v>
      </c>
      <c r="N84">
        <v>13</v>
      </c>
      <c r="O84" t="s">
        <v>36</v>
      </c>
      <c r="P84" t="s">
        <v>39</v>
      </c>
      <c r="Q84">
        <v>375</v>
      </c>
      <c r="R84" t="s">
        <v>27</v>
      </c>
      <c r="S84">
        <v>11.99</v>
      </c>
    </row>
    <row r="85" spans="1:19" x14ac:dyDescent="0.3">
      <c r="A85">
        <f>'Raw Data'!D85-'Raw Data'!C85</f>
        <v>41</v>
      </c>
      <c r="B85" s="2" t="str">
        <f>_xlfn.IFS('Raw Data'!E85&gt;10,"Premium",'Raw Data'!E85&lt;10,"Basic")</f>
        <v>Premium</v>
      </c>
      <c r="C85">
        <v>11.99</v>
      </c>
      <c r="D85">
        <v>8108</v>
      </c>
      <c r="E85" t="s">
        <v>62</v>
      </c>
      <c r="F85" t="s">
        <v>52</v>
      </c>
      <c r="G85">
        <v>336</v>
      </c>
      <c r="H85" t="s">
        <v>28</v>
      </c>
      <c r="I85">
        <v>3663</v>
      </c>
      <c r="J85">
        <v>8108</v>
      </c>
      <c r="K85" t="s">
        <v>39</v>
      </c>
      <c r="L85" t="s">
        <v>64</v>
      </c>
      <c r="M85">
        <v>758</v>
      </c>
      <c r="N85">
        <v>32</v>
      </c>
      <c r="O85" t="s">
        <v>52</v>
      </c>
      <c r="P85" t="s">
        <v>39</v>
      </c>
      <c r="Q85">
        <v>336</v>
      </c>
      <c r="R85" t="s">
        <v>34</v>
      </c>
      <c r="S85">
        <v>11.99</v>
      </c>
    </row>
    <row r="86" spans="1:19" x14ac:dyDescent="0.3">
      <c r="A86">
        <f>'Raw Data'!D86-'Raw Data'!C86</f>
        <v>134</v>
      </c>
      <c r="B86" s="2" t="str">
        <f>_xlfn.IFS('Raw Data'!E86&gt;10,"Premium",'Raw Data'!E86&lt;10,"Basic")</f>
        <v>Basic</v>
      </c>
      <c r="C86">
        <v>7.99</v>
      </c>
      <c r="D86">
        <v>6779</v>
      </c>
      <c r="E86" t="s">
        <v>79</v>
      </c>
      <c r="F86" t="s">
        <v>60</v>
      </c>
      <c r="G86">
        <v>196</v>
      </c>
      <c r="H86" t="s">
        <v>28</v>
      </c>
      <c r="I86">
        <v>2845</v>
      </c>
      <c r="J86">
        <v>6779</v>
      </c>
      <c r="K86" t="s">
        <v>59</v>
      </c>
      <c r="L86" t="s">
        <v>26</v>
      </c>
      <c r="M86">
        <v>936</v>
      </c>
      <c r="N86">
        <v>152</v>
      </c>
      <c r="O86" t="s">
        <v>60</v>
      </c>
      <c r="P86" t="s">
        <v>59</v>
      </c>
      <c r="Q86">
        <v>196</v>
      </c>
      <c r="R86" t="s">
        <v>41</v>
      </c>
      <c r="S86">
        <v>7.99</v>
      </c>
    </row>
    <row r="87" spans="1:19" x14ac:dyDescent="0.3">
      <c r="A87">
        <f>'Raw Data'!D87-'Raw Data'!C87</f>
        <v>104</v>
      </c>
      <c r="B87" s="2" t="str">
        <f>_xlfn.IFS('Raw Data'!E87&gt;10,"Premium",'Raw Data'!E87&lt;10,"Basic")</f>
        <v>Premium</v>
      </c>
      <c r="C87">
        <v>11.99</v>
      </c>
      <c r="D87">
        <v>1169</v>
      </c>
      <c r="E87" t="s">
        <v>33</v>
      </c>
      <c r="F87" t="s">
        <v>52</v>
      </c>
      <c r="G87">
        <v>285</v>
      </c>
      <c r="H87" t="s">
        <v>28</v>
      </c>
      <c r="I87">
        <v>2390</v>
      </c>
      <c r="J87">
        <v>1169</v>
      </c>
      <c r="K87" t="s">
        <v>59</v>
      </c>
      <c r="L87" t="s">
        <v>49</v>
      </c>
      <c r="M87">
        <v>13</v>
      </c>
      <c r="N87">
        <v>103</v>
      </c>
      <c r="O87" t="s">
        <v>52</v>
      </c>
      <c r="P87" t="s">
        <v>59</v>
      </c>
      <c r="Q87">
        <v>285</v>
      </c>
      <c r="R87" t="s">
        <v>50</v>
      </c>
      <c r="S87">
        <v>11.99</v>
      </c>
    </row>
    <row r="88" spans="1:19" x14ac:dyDescent="0.3">
      <c r="A88">
        <f>'Raw Data'!D88-'Raw Data'!C88</f>
        <v>88</v>
      </c>
      <c r="B88" s="2" t="str">
        <f>_xlfn.IFS('Raw Data'!E88&gt;10,"Premium",'Raw Data'!E88&lt;10,"Basic")</f>
        <v>Basic</v>
      </c>
      <c r="C88">
        <v>7.99</v>
      </c>
      <c r="D88">
        <v>5067</v>
      </c>
      <c r="E88" t="s">
        <v>46</v>
      </c>
      <c r="F88" t="s">
        <v>68</v>
      </c>
      <c r="G88">
        <v>155</v>
      </c>
      <c r="H88" t="s">
        <v>28</v>
      </c>
      <c r="I88">
        <v>234</v>
      </c>
      <c r="J88">
        <v>5067</v>
      </c>
      <c r="K88" t="s">
        <v>25</v>
      </c>
      <c r="L88" t="s">
        <v>64</v>
      </c>
      <c r="M88">
        <v>305</v>
      </c>
      <c r="N88">
        <v>77</v>
      </c>
      <c r="O88" t="s">
        <v>68</v>
      </c>
      <c r="P88" t="s">
        <v>25</v>
      </c>
      <c r="Q88">
        <v>155</v>
      </c>
      <c r="R88" t="s">
        <v>67</v>
      </c>
      <c r="S88">
        <v>7.99</v>
      </c>
    </row>
    <row r="89" spans="1:19" x14ac:dyDescent="0.3">
      <c r="A89">
        <f>'Raw Data'!D89-'Raw Data'!C89</f>
        <v>582</v>
      </c>
      <c r="B89" s="2" t="str">
        <f>_xlfn.IFS('Raw Data'!E89&gt;10,"Premium",'Raw Data'!E89&lt;10,"Basic")</f>
        <v>Basic</v>
      </c>
      <c r="C89">
        <v>7.99</v>
      </c>
      <c r="D89">
        <v>5299</v>
      </c>
      <c r="E89" t="s">
        <v>62</v>
      </c>
      <c r="F89" t="s">
        <v>30</v>
      </c>
      <c r="G89">
        <v>275</v>
      </c>
      <c r="H89" t="s">
        <v>28</v>
      </c>
      <c r="I89">
        <v>3975</v>
      </c>
      <c r="J89">
        <v>5299</v>
      </c>
      <c r="K89" t="s">
        <v>63</v>
      </c>
      <c r="L89" t="s">
        <v>40</v>
      </c>
      <c r="M89">
        <v>755</v>
      </c>
      <c r="N89">
        <v>166</v>
      </c>
      <c r="O89" t="s">
        <v>30</v>
      </c>
      <c r="P89" t="s">
        <v>63</v>
      </c>
      <c r="Q89">
        <v>275</v>
      </c>
      <c r="R89" t="s">
        <v>41</v>
      </c>
      <c r="S89">
        <v>7.99</v>
      </c>
    </row>
    <row r="90" spans="1:19" x14ac:dyDescent="0.3">
      <c r="A90">
        <f>'Raw Data'!D90-'Raw Data'!C90</f>
        <v>197</v>
      </c>
      <c r="B90" s="2" t="str">
        <f>_xlfn.IFS('Raw Data'!E90&gt;10,"Premium",'Raw Data'!E90&lt;10,"Basic")</f>
        <v>Basic</v>
      </c>
      <c r="C90">
        <v>7.99</v>
      </c>
      <c r="D90">
        <v>3978</v>
      </c>
      <c r="E90" t="s">
        <v>33</v>
      </c>
      <c r="F90" t="s">
        <v>60</v>
      </c>
      <c r="G90">
        <v>341</v>
      </c>
      <c r="H90" t="s">
        <v>28</v>
      </c>
      <c r="I90">
        <v>561</v>
      </c>
      <c r="J90">
        <v>3978</v>
      </c>
      <c r="K90" t="s">
        <v>25</v>
      </c>
      <c r="L90" t="s">
        <v>40</v>
      </c>
      <c r="M90">
        <v>27</v>
      </c>
      <c r="N90">
        <v>82</v>
      </c>
      <c r="O90" t="s">
        <v>60</v>
      </c>
      <c r="P90" t="s">
        <v>25</v>
      </c>
      <c r="Q90">
        <v>341</v>
      </c>
      <c r="R90" t="s">
        <v>34</v>
      </c>
      <c r="S90">
        <v>7.99</v>
      </c>
    </row>
    <row r="91" spans="1:19" x14ac:dyDescent="0.3">
      <c r="A91">
        <f>'Raw Data'!D91-'Raw Data'!C91</f>
        <v>499</v>
      </c>
      <c r="B91" s="2" t="str">
        <f>_xlfn.IFS('Raw Data'!E91&gt;10,"Premium",'Raw Data'!E91&lt;10,"Basic")</f>
        <v>Premium</v>
      </c>
      <c r="C91">
        <v>15.99</v>
      </c>
      <c r="D91">
        <v>8634</v>
      </c>
      <c r="E91" t="s">
        <v>33</v>
      </c>
      <c r="F91" t="s">
        <v>68</v>
      </c>
      <c r="G91">
        <v>321</v>
      </c>
      <c r="H91" t="s">
        <v>28</v>
      </c>
      <c r="I91">
        <v>4647</v>
      </c>
      <c r="J91">
        <v>8634</v>
      </c>
      <c r="K91" t="s">
        <v>25</v>
      </c>
      <c r="L91" t="s">
        <v>64</v>
      </c>
      <c r="M91">
        <v>676</v>
      </c>
      <c r="N91">
        <v>81</v>
      </c>
      <c r="O91" t="s">
        <v>68</v>
      </c>
      <c r="P91" t="s">
        <v>25</v>
      </c>
      <c r="Q91">
        <v>321</v>
      </c>
      <c r="R91" t="s">
        <v>56</v>
      </c>
      <c r="S91">
        <v>15.99</v>
      </c>
    </row>
    <row r="92" spans="1:19" x14ac:dyDescent="0.3">
      <c r="A92">
        <f>'Raw Data'!D92-'Raw Data'!C92</f>
        <v>344</v>
      </c>
      <c r="B92" s="2" t="str">
        <f>_xlfn.IFS('Raw Data'!E92&gt;10,"Premium",'Raw Data'!E92&lt;10,"Basic")</f>
        <v>Premium</v>
      </c>
      <c r="C92">
        <v>11.99</v>
      </c>
      <c r="D92">
        <v>9635</v>
      </c>
      <c r="E92" t="s">
        <v>62</v>
      </c>
      <c r="F92" t="s">
        <v>30</v>
      </c>
      <c r="G92">
        <v>456</v>
      </c>
      <c r="H92" t="s">
        <v>28</v>
      </c>
      <c r="I92">
        <v>581</v>
      </c>
      <c r="J92">
        <v>9635</v>
      </c>
      <c r="K92" t="s">
        <v>48</v>
      </c>
      <c r="L92" t="s">
        <v>40</v>
      </c>
      <c r="M92">
        <v>734</v>
      </c>
      <c r="N92">
        <v>83</v>
      </c>
      <c r="O92" t="s">
        <v>30</v>
      </c>
      <c r="P92" t="s">
        <v>48</v>
      </c>
      <c r="Q92">
        <v>456</v>
      </c>
      <c r="R92" t="s">
        <v>67</v>
      </c>
      <c r="S92">
        <v>11.99</v>
      </c>
    </row>
    <row r="93" spans="1:19" x14ac:dyDescent="0.3">
      <c r="A93">
        <f>'Raw Data'!D93-'Raw Data'!C93</f>
        <v>395</v>
      </c>
      <c r="B93" s="2" t="str">
        <f>_xlfn.IFS('Raw Data'!E93&gt;10,"Premium",'Raw Data'!E93&lt;10,"Basic")</f>
        <v>Premium</v>
      </c>
      <c r="C93">
        <v>15.99</v>
      </c>
      <c r="D93">
        <v>1776</v>
      </c>
      <c r="E93" t="s">
        <v>62</v>
      </c>
      <c r="F93" t="s">
        <v>68</v>
      </c>
      <c r="G93">
        <v>15</v>
      </c>
      <c r="H93" t="s">
        <v>28</v>
      </c>
      <c r="I93">
        <v>1250</v>
      </c>
      <c r="J93">
        <v>1776</v>
      </c>
      <c r="K93" t="s">
        <v>74</v>
      </c>
      <c r="L93" t="s">
        <v>64</v>
      </c>
      <c r="M93">
        <v>687</v>
      </c>
      <c r="N93">
        <v>183</v>
      </c>
      <c r="O93" t="s">
        <v>68</v>
      </c>
      <c r="P93" t="s">
        <v>74</v>
      </c>
      <c r="Q93">
        <v>15</v>
      </c>
      <c r="R93" t="s">
        <v>27</v>
      </c>
      <c r="S93">
        <v>15.99</v>
      </c>
    </row>
    <row r="94" spans="1:19" x14ac:dyDescent="0.3">
      <c r="A94">
        <f>'Raw Data'!D94-'Raw Data'!C94</f>
        <v>287</v>
      </c>
      <c r="B94" s="2" t="str">
        <f>_xlfn.IFS('Raw Data'!E94&gt;10,"Premium",'Raw Data'!E94&lt;10,"Basic")</f>
        <v>Premium</v>
      </c>
      <c r="C94">
        <v>11.99</v>
      </c>
      <c r="D94">
        <v>9703</v>
      </c>
      <c r="E94" t="s">
        <v>43</v>
      </c>
      <c r="F94" t="s">
        <v>30</v>
      </c>
      <c r="G94">
        <v>410</v>
      </c>
      <c r="H94" t="s">
        <v>28</v>
      </c>
      <c r="I94">
        <v>3441</v>
      </c>
      <c r="J94">
        <v>9703</v>
      </c>
      <c r="K94" t="s">
        <v>44</v>
      </c>
      <c r="L94" t="s">
        <v>64</v>
      </c>
      <c r="M94">
        <v>826</v>
      </c>
      <c r="N94">
        <v>182</v>
      </c>
      <c r="O94" t="s">
        <v>30</v>
      </c>
      <c r="P94" t="s">
        <v>44</v>
      </c>
      <c r="Q94">
        <v>410</v>
      </c>
      <c r="R94" t="s">
        <v>56</v>
      </c>
      <c r="S94">
        <v>11.99</v>
      </c>
    </row>
    <row r="95" spans="1:19" x14ac:dyDescent="0.3">
      <c r="A95">
        <f>'Raw Data'!D95-'Raw Data'!C95</f>
        <v>447</v>
      </c>
      <c r="B95" s="2" t="str">
        <f>_xlfn.IFS('Raw Data'!E95&gt;10,"Premium",'Raw Data'!E95&lt;10,"Basic")</f>
        <v>Premium</v>
      </c>
      <c r="C95">
        <v>15.99</v>
      </c>
      <c r="D95">
        <v>3498</v>
      </c>
      <c r="E95" t="s">
        <v>33</v>
      </c>
      <c r="F95" t="s">
        <v>68</v>
      </c>
      <c r="G95">
        <v>29</v>
      </c>
      <c r="H95" t="s">
        <v>28</v>
      </c>
      <c r="I95">
        <v>3211</v>
      </c>
      <c r="J95">
        <v>3498</v>
      </c>
      <c r="K95" t="s">
        <v>48</v>
      </c>
      <c r="L95" t="s">
        <v>49</v>
      </c>
      <c r="M95">
        <v>450</v>
      </c>
      <c r="N95">
        <v>67</v>
      </c>
      <c r="O95" t="s">
        <v>68</v>
      </c>
      <c r="P95" t="s">
        <v>48</v>
      </c>
      <c r="Q95">
        <v>29</v>
      </c>
      <c r="R95" t="s">
        <v>34</v>
      </c>
      <c r="S95">
        <v>15.99</v>
      </c>
    </row>
    <row r="96" spans="1:19" x14ac:dyDescent="0.3">
      <c r="A96">
        <f>'Raw Data'!D96-'Raw Data'!C96</f>
        <v>175</v>
      </c>
      <c r="B96" s="2" t="str">
        <f>_xlfn.IFS('Raw Data'!E96&gt;10,"Premium",'Raw Data'!E96&lt;10,"Basic")</f>
        <v>Basic</v>
      </c>
      <c r="C96">
        <v>7.99</v>
      </c>
      <c r="D96">
        <v>4260</v>
      </c>
      <c r="E96" t="s">
        <v>55</v>
      </c>
      <c r="F96" t="s">
        <v>68</v>
      </c>
      <c r="G96">
        <v>427</v>
      </c>
      <c r="H96" t="s">
        <v>28</v>
      </c>
      <c r="I96">
        <v>647</v>
      </c>
      <c r="J96">
        <v>4260</v>
      </c>
      <c r="K96" t="s">
        <v>63</v>
      </c>
      <c r="L96" t="s">
        <v>49</v>
      </c>
      <c r="M96">
        <v>159</v>
      </c>
      <c r="N96">
        <v>98</v>
      </c>
      <c r="O96" t="s">
        <v>68</v>
      </c>
      <c r="P96" t="s">
        <v>63</v>
      </c>
      <c r="Q96">
        <v>427</v>
      </c>
      <c r="R96" t="s">
        <v>50</v>
      </c>
      <c r="S96">
        <v>7.99</v>
      </c>
    </row>
    <row r="97" spans="1:19" x14ac:dyDescent="0.3">
      <c r="A97">
        <f>'Raw Data'!D97-'Raw Data'!C97</f>
        <v>668</v>
      </c>
      <c r="B97" s="2" t="str">
        <f>_xlfn.IFS('Raw Data'!E97&gt;10,"Premium",'Raw Data'!E97&lt;10,"Basic")</f>
        <v>Premium</v>
      </c>
      <c r="C97">
        <v>11.99</v>
      </c>
      <c r="D97">
        <v>7152</v>
      </c>
      <c r="E97" t="s">
        <v>24</v>
      </c>
      <c r="F97" t="s">
        <v>30</v>
      </c>
      <c r="G97">
        <v>166</v>
      </c>
      <c r="H97" t="s">
        <v>28</v>
      </c>
      <c r="I97">
        <v>3751</v>
      </c>
      <c r="J97">
        <v>7152</v>
      </c>
      <c r="K97" t="s">
        <v>48</v>
      </c>
      <c r="L97" t="s">
        <v>40</v>
      </c>
      <c r="M97">
        <v>367</v>
      </c>
      <c r="N97">
        <v>198</v>
      </c>
      <c r="O97" t="s">
        <v>30</v>
      </c>
      <c r="P97" t="s">
        <v>48</v>
      </c>
      <c r="Q97">
        <v>166</v>
      </c>
      <c r="R97" t="s">
        <v>27</v>
      </c>
      <c r="S97">
        <v>11.99</v>
      </c>
    </row>
    <row r="98" spans="1:19" x14ac:dyDescent="0.3">
      <c r="A98">
        <f>'Raw Data'!D98-'Raw Data'!C98</f>
        <v>402</v>
      </c>
      <c r="B98" s="2" t="str">
        <f>_xlfn.IFS('Raw Data'!E98&gt;10,"Premium",'Raw Data'!E98&lt;10,"Basic")</f>
        <v>Basic</v>
      </c>
      <c r="C98">
        <v>7.99</v>
      </c>
      <c r="D98">
        <v>2457</v>
      </c>
      <c r="E98" t="s">
        <v>62</v>
      </c>
      <c r="F98" t="s">
        <v>36</v>
      </c>
      <c r="G98">
        <v>192</v>
      </c>
      <c r="H98" t="s">
        <v>28</v>
      </c>
      <c r="I98">
        <v>2925</v>
      </c>
      <c r="J98">
        <v>2457</v>
      </c>
      <c r="K98" t="s">
        <v>39</v>
      </c>
      <c r="L98" t="s">
        <v>40</v>
      </c>
      <c r="M98">
        <v>786</v>
      </c>
      <c r="N98">
        <v>140</v>
      </c>
      <c r="O98" t="s">
        <v>36</v>
      </c>
      <c r="P98" t="s">
        <v>39</v>
      </c>
      <c r="Q98">
        <v>192</v>
      </c>
      <c r="R98" t="s">
        <v>67</v>
      </c>
      <c r="S98">
        <v>7.99</v>
      </c>
    </row>
    <row r="99" spans="1:19" x14ac:dyDescent="0.3">
      <c r="A99">
        <f>'Raw Data'!D99-'Raw Data'!C99</f>
        <v>620</v>
      </c>
      <c r="B99" s="2" t="str">
        <f>_xlfn.IFS('Raw Data'!E99&gt;10,"Premium",'Raw Data'!E99&lt;10,"Basic")</f>
        <v>Premium</v>
      </c>
      <c r="C99">
        <v>11.99</v>
      </c>
      <c r="D99">
        <v>8530</v>
      </c>
      <c r="E99" t="s">
        <v>46</v>
      </c>
      <c r="F99" t="s">
        <v>68</v>
      </c>
      <c r="G99">
        <v>88</v>
      </c>
      <c r="H99" t="s">
        <v>28</v>
      </c>
      <c r="I99">
        <v>4646</v>
      </c>
      <c r="J99">
        <v>8530</v>
      </c>
      <c r="K99" t="s">
        <v>59</v>
      </c>
      <c r="L99" t="s">
        <v>40</v>
      </c>
      <c r="M99">
        <v>962</v>
      </c>
      <c r="N99">
        <v>183</v>
      </c>
      <c r="O99" t="s">
        <v>68</v>
      </c>
      <c r="P99" t="s">
        <v>59</v>
      </c>
      <c r="Q99">
        <v>88</v>
      </c>
      <c r="R99" t="s">
        <v>56</v>
      </c>
      <c r="S99">
        <v>11.99</v>
      </c>
    </row>
    <row r="100" spans="1:19" x14ac:dyDescent="0.3">
      <c r="A100">
        <f>'Raw Data'!D100-'Raw Data'!C100</f>
        <v>482</v>
      </c>
      <c r="B100" s="2" t="str">
        <f>_xlfn.IFS('Raw Data'!E100&gt;10,"Premium",'Raw Data'!E100&lt;10,"Basic")</f>
        <v>Basic</v>
      </c>
      <c r="C100">
        <v>7.99</v>
      </c>
      <c r="D100">
        <v>9131</v>
      </c>
      <c r="E100" t="s">
        <v>43</v>
      </c>
      <c r="F100" t="s">
        <v>36</v>
      </c>
      <c r="G100">
        <v>127</v>
      </c>
      <c r="H100" t="s">
        <v>28</v>
      </c>
      <c r="I100">
        <v>2867</v>
      </c>
      <c r="J100">
        <v>9131</v>
      </c>
      <c r="K100" t="s">
        <v>48</v>
      </c>
      <c r="L100" t="s">
        <v>64</v>
      </c>
      <c r="M100">
        <v>482</v>
      </c>
      <c r="N100">
        <v>5</v>
      </c>
      <c r="O100" t="s">
        <v>36</v>
      </c>
      <c r="P100" t="s">
        <v>48</v>
      </c>
      <c r="Q100">
        <v>127</v>
      </c>
      <c r="R100" t="s">
        <v>56</v>
      </c>
      <c r="S100">
        <v>7.99</v>
      </c>
    </row>
    <row r="101" spans="1:19" x14ac:dyDescent="0.3">
      <c r="A101">
        <f>'Raw Data'!D101-'Raw Data'!C101</f>
        <v>393</v>
      </c>
      <c r="B101" s="2" t="str">
        <f>_xlfn.IFS('Raw Data'!E101&gt;10,"Premium",'Raw Data'!E101&lt;10,"Basic")</f>
        <v>Basic</v>
      </c>
      <c r="C101">
        <v>7.99</v>
      </c>
      <c r="D101">
        <v>9770</v>
      </c>
      <c r="E101" t="s">
        <v>79</v>
      </c>
      <c r="F101" t="s">
        <v>36</v>
      </c>
      <c r="G101">
        <v>327</v>
      </c>
      <c r="H101" t="s">
        <v>28</v>
      </c>
      <c r="I101">
        <v>4131</v>
      </c>
      <c r="J101">
        <v>9770</v>
      </c>
      <c r="K101" t="s">
        <v>44</v>
      </c>
      <c r="L101" t="s">
        <v>26</v>
      </c>
      <c r="M101">
        <v>451</v>
      </c>
      <c r="N101">
        <v>108</v>
      </c>
      <c r="O101" t="s">
        <v>36</v>
      </c>
      <c r="P101" t="s">
        <v>44</v>
      </c>
      <c r="Q101">
        <v>327</v>
      </c>
      <c r="R101" t="s">
        <v>50</v>
      </c>
      <c r="S101">
        <v>7.99</v>
      </c>
    </row>
    <row r="102" spans="1:19" x14ac:dyDescent="0.3">
      <c r="A102">
        <f>'Raw Data'!D102-'Raw Data'!C102</f>
        <v>606</v>
      </c>
      <c r="B102" s="2" t="str">
        <f>_xlfn.IFS('Raw Data'!E102&gt;10,"Premium",'Raw Data'!E102&lt;10,"Basic")</f>
        <v>Basic</v>
      </c>
      <c r="C102">
        <v>7.99</v>
      </c>
      <c r="D102">
        <v>8095</v>
      </c>
      <c r="E102" t="s">
        <v>24</v>
      </c>
      <c r="F102" t="s">
        <v>30</v>
      </c>
      <c r="G102">
        <v>10</v>
      </c>
      <c r="H102" t="s">
        <v>28</v>
      </c>
      <c r="I102">
        <v>2927</v>
      </c>
      <c r="J102">
        <v>8095</v>
      </c>
      <c r="K102" t="s">
        <v>59</v>
      </c>
      <c r="L102" t="s">
        <v>40</v>
      </c>
      <c r="M102">
        <v>22</v>
      </c>
      <c r="N102">
        <v>14</v>
      </c>
      <c r="O102" t="s">
        <v>30</v>
      </c>
      <c r="P102" t="s">
        <v>59</v>
      </c>
      <c r="Q102">
        <v>10</v>
      </c>
      <c r="R102" t="s">
        <v>56</v>
      </c>
      <c r="S102">
        <v>7.99</v>
      </c>
    </row>
    <row r="103" spans="1:19" x14ac:dyDescent="0.3">
      <c r="A103">
        <f>'Raw Data'!D103-'Raw Data'!C103</f>
        <v>718</v>
      </c>
      <c r="B103" s="2" t="str">
        <f>_xlfn.IFS('Raw Data'!E103&gt;10,"Premium",'Raw Data'!E103&lt;10,"Basic")</f>
        <v>Premium</v>
      </c>
      <c r="C103">
        <v>11.99</v>
      </c>
      <c r="D103">
        <v>3763</v>
      </c>
      <c r="E103" t="s">
        <v>55</v>
      </c>
      <c r="F103" t="s">
        <v>68</v>
      </c>
      <c r="G103">
        <v>181</v>
      </c>
      <c r="H103" t="s">
        <v>28</v>
      </c>
      <c r="I103">
        <v>3314</v>
      </c>
      <c r="J103">
        <v>3763</v>
      </c>
      <c r="K103" t="s">
        <v>48</v>
      </c>
      <c r="L103" t="s">
        <v>64</v>
      </c>
      <c r="M103">
        <v>848</v>
      </c>
      <c r="N103">
        <v>172</v>
      </c>
      <c r="O103" t="s">
        <v>68</v>
      </c>
      <c r="P103" t="s">
        <v>48</v>
      </c>
      <c r="Q103">
        <v>181</v>
      </c>
      <c r="R103" t="s">
        <v>41</v>
      </c>
      <c r="S103">
        <v>11.99</v>
      </c>
    </row>
    <row r="104" spans="1:19" x14ac:dyDescent="0.3">
      <c r="A104">
        <f>'Raw Data'!D104-'Raw Data'!C104</f>
        <v>302</v>
      </c>
      <c r="B104" s="2" t="str">
        <f>_xlfn.IFS('Raw Data'!E104&gt;10,"Premium",'Raw Data'!E104&lt;10,"Basic")</f>
        <v>Premium</v>
      </c>
      <c r="C104">
        <v>15.99</v>
      </c>
      <c r="D104">
        <v>4346</v>
      </c>
      <c r="E104" t="s">
        <v>24</v>
      </c>
      <c r="F104" t="s">
        <v>60</v>
      </c>
      <c r="G104">
        <v>238</v>
      </c>
      <c r="H104" t="s">
        <v>28</v>
      </c>
      <c r="I104">
        <v>1782</v>
      </c>
      <c r="J104">
        <v>4346</v>
      </c>
      <c r="K104" t="s">
        <v>25</v>
      </c>
      <c r="L104" t="s">
        <v>64</v>
      </c>
      <c r="M104">
        <v>524</v>
      </c>
      <c r="N104">
        <v>162</v>
      </c>
      <c r="O104" t="s">
        <v>60</v>
      </c>
      <c r="P104" t="s">
        <v>25</v>
      </c>
      <c r="Q104">
        <v>238</v>
      </c>
      <c r="R104" t="s">
        <v>34</v>
      </c>
      <c r="S104">
        <v>15.99</v>
      </c>
    </row>
    <row r="105" spans="1:19" x14ac:dyDescent="0.3">
      <c r="A105">
        <f>'Raw Data'!D105-'Raw Data'!C105</f>
        <v>178</v>
      </c>
      <c r="B105" s="2" t="str">
        <f>_xlfn.IFS('Raw Data'!E105&gt;10,"Premium",'Raw Data'!E105&lt;10,"Basic")</f>
        <v>Basic</v>
      </c>
      <c r="C105">
        <v>7.99</v>
      </c>
      <c r="D105">
        <v>5866</v>
      </c>
      <c r="E105" t="s">
        <v>46</v>
      </c>
      <c r="F105" t="s">
        <v>68</v>
      </c>
      <c r="G105">
        <v>380</v>
      </c>
      <c r="H105" t="s">
        <v>28</v>
      </c>
      <c r="I105">
        <v>1938</v>
      </c>
      <c r="J105">
        <v>5866</v>
      </c>
      <c r="K105" t="s">
        <v>63</v>
      </c>
      <c r="L105" t="s">
        <v>26</v>
      </c>
      <c r="M105">
        <v>76</v>
      </c>
      <c r="N105">
        <v>25</v>
      </c>
      <c r="O105" t="s">
        <v>68</v>
      </c>
      <c r="P105" t="s">
        <v>63</v>
      </c>
      <c r="Q105">
        <v>380</v>
      </c>
      <c r="R105" t="s">
        <v>27</v>
      </c>
      <c r="S105">
        <v>7.99</v>
      </c>
    </row>
    <row r="106" spans="1:19" x14ac:dyDescent="0.3">
      <c r="A106">
        <f>'Raw Data'!D106-'Raw Data'!C106</f>
        <v>490</v>
      </c>
      <c r="B106" s="2" t="str">
        <f>_xlfn.IFS('Raw Data'!E106&gt;10,"Premium",'Raw Data'!E106&lt;10,"Basic")</f>
        <v>Premium</v>
      </c>
      <c r="C106">
        <v>11.99</v>
      </c>
      <c r="D106">
        <v>5865</v>
      </c>
      <c r="E106" t="s">
        <v>43</v>
      </c>
      <c r="F106" t="s">
        <v>52</v>
      </c>
      <c r="G106">
        <v>444</v>
      </c>
      <c r="H106" t="s">
        <v>28</v>
      </c>
      <c r="I106">
        <v>3935</v>
      </c>
      <c r="J106">
        <v>5865</v>
      </c>
      <c r="K106" t="s">
        <v>63</v>
      </c>
      <c r="L106" t="s">
        <v>26</v>
      </c>
      <c r="M106">
        <v>959</v>
      </c>
      <c r="N106">
        <v>183</v>
      </c>
      <c r="O106" t="s">
        <v>52</v>
      </c>
      <c r="P106" t="s">
        <v>63</v>
      </c>
      <c r="Q106">
        <v>444</v>
      </c>
      <c r="R106" t="s">
        <v>27</v>
      </c>
      <c r="S106">
        <v>11.99</v>
      </c>
    </row>
    <row r="107" spans="1:19" x14ac:dyDescent="0.3">
      <c r="A107">
        <f>'Raw Data'!D107-'Raw Data'!C107</f>
        <v>42</v>
      </c>
      <c r="B107" s="2" t="str">
        <f>_xlfn.IFS('Raw Data'!E107&gt;10,"Premium",'Raw Data'!E107&lt;10,"Basic")</f>
        <v>Basic</v>
      </c>
      <c r="C107">
        <v>7.99</v>
      </c>
      <c r="D107">
        <v>9398</v>
      </c>
      <c r="E107" t="s">
        <v>62</v>
      </c>
      <c r="F107" t="s">
        <v>60</v>
      </c>
      <c r="G107">
        <v>83</v>
      </c>
      <c r="H107" t="s">
        <v>28</v>
      </c>
      <c r="I107">
        <v>3206</v>
      </c>
      <c r="J107">
        <v>9398</v>
      </c>
      <c r="K107" t="s">
        <v>44</v>
      </c>
      <c r="L107" t="s">
        <v>49</v>
      </c>
      <c r="M107">
        <v>148</v>
      </c>
      <c r="N107">
        <v>154</v>
      </c>
      <c r="O107" t="s">
        <v>60</v>
      </c>
      <c r="P107" t="s">
        <v>44</v>
      </c>
      <c r="Q107">
        <v>83</v>
      </c>
      <c r="R107" t="s">
        <v>27</v>
      </c>
      <c r="S107">
        <v>7.99</v>
      </c>
    </row>
    <row r="108" spans="1:19" x14ac:dyDescent="0.3">
      <c r="A108">
        <f>'Raw Data'!D108-'Raw Data'!C108</f>
        <v>376</v>
      </c>
      <c r="B108" s="2" t="str">
        <f>_xlfn.IFS('Raw Data'!E108&gt;10,"Premium",'Raw Data'!E108&lt;10,"Basic")</f>
        <v>Basic</v>
      </c>
      <c r="C108">
        <v>7.99</v>
      </c>
      <c r="D108">
        <v>9695</v>
      </c>
      <c r="E108" t="s">
        <v>46</v>
      </c>
      <c r="F108" t="s">
        <v>52</v>
      </c>
      <c r="G108">
        <v>452</v>
      </c>
      <c r="H108" t="s">
        <v>28</v>
      </c>
      <c r="I108">
        <v>2523</v>
      </c>
      <c r="J108">
        <v>9695</v>
      </c>
      <c r="K108" t="s">
        <v>59</v>
      </c>
      <c r="L108" t="s">
        <v>26</v>
      </c>
      <c r="M108">
        <v>338</v>
      </c>
      <c r="N108">
        <v>132</v>
      </c>
      <c r="O108" t="s">
        <v>52</v>
      </c>
      <c r="P108" t="s">
        <v>59</v>
      </c>
      <c r="Q108">
        <v>452</v>
      </c>
      <c r="R108" t="s">
        <v>50</v>
      </c>
      <c r="S108">
        <v>7.99</v>
      </c>
    </row>
    <row r="109" spans="1:19" x14ac:dyDescent="0.3">
      <c r="A109">
        <f>'Raw Data'!D109-'Raw Data'!C109</f>
        <v>153</v>
      </c>
      <c r="B109" s="2" t="str">
        <f>_xlfn.IFS('Raw Data'!E109&gt;10,"Premium",'Raw Data'!E109&lt;10,"Basic")</f>
        <v>Premium</v>
      </c>
      <c r="C109">
        <v>15.99</v>
      </c>
      <c r="D109">
        <v>8805</v>
      </c>
      <c r="E109" t="s">
        <v>79</v>
      </c>
      <c r="F109" t="s">
        <v>68</v>
      </c>
      <c r="G109">
        <v>53</v>
      </c>
      <c r="H109" t="s">
        <v>28</v>
      </c>
      <c r="I109">
        <v>2727</v>
      </c>
      <c r="J109">
        <v>8805</v>
      </c>
      <c r="K109" t="s">
        <v>59</v>
      </c>
      <c r="L109" t="s">
        <v>26</v>
      </c>
      <c r="M109">
        <v>720</v>
      </c>
      <c r="N109">
        <v>37</v>
      </c>
      <c r="O109" t="s">
        <v>68</v>
      </c>
      <c r="P109" t="s">
        <v>59</v>
      </c>
      <c r="Q109">
        <v>53</v>
      </c>
      <c r="R109" t="s">
        <v>50</v>
      </c>
      <c r="S109">
        <v>15.99</v>
      </c>
    </row>
    <row r="110" spans="1:19" x14ac:dyDescent="0.3">
      <c r="A110">
        <f>'Raw Data'!D110-'Raw Data'!C110</f>
        <v>518</v>
      </c>
      <c r="B110" s="2" t="str">
        <f>_xlfn.IFS('Raw Data'!E110&gt;10,"Premium",'Raw Data'!E110&lt;10,"Basic")</f>
        <v>Premium</v>
      </c>
      <c r="C110">
        <v>15.99</v>
      </c>
      <c r="D110">
        <v>8353</v>
      </c>
      <c r="E110" t="s">
        <v>79</v>
      </c>
      <c r="F110" t="s">
        <v>60</v>
      </c>
      <c r="G110">
        <v>89</v>
      </c>
      <c r="H110" t="s">
        <v>28</v>
      </c>
      <c r="I110">
        <v>2864</v>
      </c>
      <c r="J110">
        <v>8353</v>
      </c>
      <c r="K110" t="s">
        <v>59</v>
      </c>
      <c r="L110" t="s">
        <v>26</v>
      </c>
      <c r="M110">
        <v>387</v>
      </c>
      <c r="N110">
        <v>81</v>
      </c>
      <c r="O110" t="s">
        <v>60</v>
      </c>
      <c r="P110" t="s">
        <v>59</v>
      </c>
      <c r="Q110">
        <v>89</v>
      </c>
      <c r="R110" t="s">
        <v>56</v>
      </c>
      <c r="S110">
        <v>15.99</v>
      </c>
    </row>
    <row r="111" spans="1:19" x14ac:dyDescent="0.3">
      <c r="A111">
        <f>'Raw Data'!D111-'Raw Data'!C111</f>
        <v>267</v>
      </c>
      <c r="B111" s="2" t="str">
        <f>_xlfn.IFS('Raw Data'!E111&gt;10,"Premium",'Raw Data'!E111&lt;10,"Basic")</f>
        <v>Basic</v>
      </c>
      <c r="C111">
        <v>7.99</v>
      </c>
      <c r="D111">
        <v>3178</v>
      </c>
      <c r="E111" t="s">
        <v>55</v>
      </c>
      <c r="F111" t="s">
        <v>60</v>
      </c>
      <c r="G111">
        <v>359</v>
      </c>
      <c r="H111" t="s">
        <v>28</v>
      </c>
      <c r="I111">
        <v>3698</v>
      </c>
      <c r="J111">
        <v>3178</v>
      </c>
      <c r="K111" t="s">
        <v>48</v>
      </c>
      <c r="L111" t="s">
        <v>40</v>
      </c>
      <c r="M111">
        <v>624</v>
      </c>
      <c r="N111">
        <v>107</v>
      </c>
      <c r="O111" t="s">
        <v>60</v>
      </c>
      <c r="P111" t="s">
        <v>48</v>
      </c>
      <c r="Q111">
        <v>359</v>
      </c>
      <c r="R111" t="s">
        <v>50</v>
      </c>
      <c r="S111">
        <v>7.99</v>
      </c>
    </row>
    <row r="112" spans="1:19" x14ac:dyDescent="0.3">
      <c r="A112">
        <f>'Raw Data'!D112-'Raw Data'!C112</f>
        <v>640</v>
      </c>
      <c r="B112" s="2" t="str">
        <f>_xlfn.IFS('Raw Data'!E112&gt;10,"Premium",'Raw Data'!E112&lt;10,"Basic")</f>
        <v>Premium</v>
      </c>
      <c r="C112">
        <v>11.99</v>
      </c>
      <c r="D112">
        <v>4917</v>
      </c>
      <c r="E112" t="s">
        <v>55</v>
      </c>
      <c r="F112" t="s">
        <v>60</v>
      </c>
      <c r="G112">
        <v>487</v>
      </c>
      <c r="H112" t="s">
        <v>28</v>
      </c>
      <c r="I112">
        <v>1531</v>
      </c>
      <c r="J112">
        <v>4917</v>
      </c>
      <c r="K112" t="s">
        <v>59</v>
      </c>
      <c r="L112" t="s">
        <v>26</v>
      </c>
      <c r="M112">
        <v>636</v>
      </c>
      <c r="N112">
        <v>66</v>
      </c>
      <c r="O112" t="s">
        <v>60</v>
      </c>
      <c r="P112" t="s">
        <v>59</v>
      </c>
      <c r="Q112">
        <v>487</v>
      </c>
      <c r="R112" t="s">
        <v>67</v>
      </c>
      <c r="S112">
        <v>11.99</v>
      </c>
    </row>
    <row r="113" spans="1:19" x14ac:dyDescent="0.3">
      <c r="A113">
        <f>'Raw Data'!D113-'Raw Data'!C113</f>
        <v>266</v>
      </c>
      <c r="B113" s="2" t="str">
        <f>_xlfn.IFS('Raw Data'!E113&gt;10,"Premium",'Raw Data'!E113&lt;10,"Basic")</f>
        <v>Basic</v>
      </c>
      <c r="C113">
        <v>7.99</v>
      </c>
      <c r="D113">
        <v>8878</v>
      </c>
      <c r="E113" t="s">
        <v>62</v>
      </c>
      <c r="F113" t="s">
        <v>30</v>
      </c>
      <c r="G113">
        <v>337</v>
      </c>
      <c r="H113" t="s">
        <v>28</v>
      </c>
      <c r="I113">
        <v>4884</v>
      </c>
      <c r="J113">
        <v>8878</v>
      </c>
      <c r="K113" t="s">
        <v>39</v>
      </c>
      <c r="L113" t="s">
        <v>49</v>
      </c>
      <c r="M113">
        <v>429</v>
      </c>
      <c r="N113">
        <v>190</v>
      </c>
      <c r="O113" t="s">
        <v>30</v>
      </c>
      <c r="P113" t="s">
        <v>39</v>
      </c>
      <c r="Q113">
        <v>337</v>
      </c>
      <c r="R113" t="s">
        <v>41</v>
      </c>
      <c r="S113">
        <v>7.99</v>
      </c>
    </row>
    <row r="114" spans="1:19" x14ac:dyDescent="0.3">
      <c r="A114">
        <f>'Raw Data'!D114-'Raw Data'!C114</f>
        <v>656</v>
      </c>
      <c r="B114" s="2" t="str">
        <f>_xlfn.IFS('Raw Data'!E114&gt;10,"Premium",'Raw Data'!E114&lt;10,"Basic")</f>
        <v>Premium</v>
      </c>
      <c r="C114">
        <v>15.99</v>
      </c>
      <c r="D114">
        <v>3810</v>
      </c>
      <c r="E114" t="s">
        <v>55</v>
      </c>
      <c r="F114" t="s">
        <v>36</v>
      </c>
      <c r="G114">
        <v>427</v>
      </c>
      <c r="H114" t="s">
        <v>28</v>
      </c>
      <c r="I114">
        <v>3633</v>
      </c>
      <c r="J114">
        <v>3810</v>
      </c>
      <c r="K114" t="s">
        <v>59</v>
      </c>
      <c r="L114" t="s">
        <v>64</v>
      </c>
      <c r="M114">
        <v>832</v>
      </c>
      <c r="N114">
        <v>103</v>
      </c>
      <c r="O114" t="s">
        <v>36</v>
      </c>
      <c r="P114" t="s">
        <v>59</v>
      </c>
      <c r="Q114">
        <v>427</v>
      </c>
      <c r="R114" t="s">
        <v>41</v>
      </c>
      <c r="S114">
        <v>15.99</v>
      </c>
    </row>
    <row r="115" spans="1:19" x14ac:dyDescent="0.3">
      <c r="A115">
        <f>'Raw Data'!D115-'Raw Data'!C115</f>
        <v>478</v>
      </c>
      <c r="B115" s="2" t="str">
        <f>_xlfn.IFS('Raw Data'!E115&gt;10,"Premium",'Raw Data'!E115&lt;10,"Basic")</f>
        <v>Basic</v>
      </c>
      <c r="C115">
        <v>7.99</v>
      </c>
      <c r="D115">
        <v>9353</v>
      </c>
      <c r="E115" t="s">
        <v>46</v>
      </c>
      <c r="F115" t="s">
        <v>36</v>
      </c>
      <c r="G115">
        <v>397</v>
      </c>
      <c r="H115" t="s">
        <v>28</v>
      </c>
      <c r="I115">
        <v>4719</v>
      </c>
      <c r="J115">
        <v>9353</v>
      </c>
      <c r="K115" t="s">
        <v>63</v>
      </c>
      <c r="L115" t="s">
        <v>40</v>
      </c>
      <c r="M115">
        <v>63</v>
      </c>
      <c r="N115">
        <v>126</v>
      </c>
      <c r="O115" t="s">
        <v>36</v>
      </c>
      <c r="P115" t="s">
        <v>63</v>
      </c>
      <c r="Q115">
        <v>397</v>
      </c>
      <c r="R115" t="s">
        <v>41</v>
      </c>
      <c r="S115">
        <v>7.99</v>
      </c>
    </row>
    <row r="116" spans="1:19" x14ac:dyDescent="0.3">
      <c r="A116">
        <f>'Raw Data'!D116-'Raw Data'!C116</f>
        <v>708</v>
      </c>
      <c r="B116" s="2" t="str">
        <f>_xlfn.IFS('Raw Data'!E116&gt;10,"Premium",'Raw Data'!E116&lt;10,"Basic")</f>
        <v>Premium</v>
      </c>
      <c r="C116">
        <v>15.99</v>
      </c>
      <c r="D116">
        <v>1672</v>
      </c>
      <c r="E116" t="s">
        <v>55</v>
      </c>
      <c r="F116" t="s">
        <v>60</v>
      </c>
      <c r="G116">
        <v>200</v>
      </c>
      <c r="H116" t="s">
        <v>28</v>
      </c>
      <c r="I116">
        <v>3161</v>
      </c>
      <c r="J116">
        <v>1672</v>
      </c>
      <c r="K116" t="s">
        <v>74</v>
      </c>
      <c r="L116" t="s">
        <v>49</v>
      </c>
      <c r="M116">
        <v>52</v>
      </c>
      <c r="N116">
        <v>8</v>
      </c>
      <c r="O116" t="s">
        <v>60</v>
      </c>
      <c r="P116" t="s">
        <v>74</v>
      </c>
      <c r="Q116">
        <v>200</v>
      </c>
      <c r="R116" t="s">
        <v>67</v>
      </c>
      <c r="S116">
        <v>15.99</v>
      </c>
    </row>
    <row r="117" spans="1:19" x14ac:dyDescent="0.3">
      <c r="A117">
        <f>'Raw Data'!D117-'Raw Data'!C117</f>
        <v>268</v>
      </c>
      <c r="B117" s="2" t="str">
        <f>_xlfn.IFS('Raw Data'!E117&gt;10,"Premium",'Raw Data'!E117&lt;10,"Basic")</f>
        <v>Premium</v>
      </c>
      <c r="C117">
        <v>11.99</v>
      </c>
      <c r="D117">
        <v>6650</v>
      </c>
      <c r="E117" t="s">
        <v>33</v>
      </c>
      <c r="F117" t="s">
        <v>52</v>
      </c>
      <c r="G117">
        <v>464</v>
      </c>
      <c r="H117" t="s">
        <v>28</v>
      </c>
      <c r="I117">
        <v>3607</v>
      </c>
      <c r="J117">
        <v>6650</v>
      </c>
      <c r="K117" t="s">
        <v>63</v>
      </c>
      <c r="L117" t="s">
        <v>64</v>
      </c>
      <c r="M117">
        <v>909</v>
      </c>
      <c r="N117">
        <v>165</v>
      </c>
      <c r="O117" t="s">
        <v>52</v>
      </c>
      <c r="P117" t="s">
        <v>63</v>
      </c>
      <c r="Q117">
        <v>464</v>
      </c>
      <c r="R117" t="s">
        <v>50</v>
      </c>
      <c r="S117">
        <v>11.99</v>
      </c>
    </row>
    <row r="118" spans="1:19" x14ac:dyDescent="0.3">
      <c r="A118">
        <f>'Raw Data'!D118-'Raw Data'!C118</f>
        <v>599</v>
      </c>
      <c r="B118" s="2" t="str">
        <f>_xlfn.IFS('Raw Data'!E118&gt;10,"Premium",'Raw Data'!E118&lt;10,"Basic")</f>
        <v>Premium</v>
      </c>
      <c r="C118">
        <v>15.99</v>
      </c>
      <c r="D118">
        <v>2581</v>
      </c>
      <c r="E118" t="s">
        <v>46</v>
      </c>
      <c r="F118" t="s">
        <v>68</v>
      </c>
      <c r="G118">
        <v>495</v>
      </c>
      <c r="H118" t="s">
        <v>28</v>
      </c>
      <c r="I118">
        <v>944</v>
      </c>
      <c r="J118">
        <v>2581</v>
      </c>
      <c r="K118" t="s">
        <v>44</v>
      </c>
      <c r="L118" t="s">
        <v>49</v>
      </c>
      <c r="M118">
        <v>704</v>
      </c>
      <c r="N118">
        <v>53</v>
      </c>
      <c r="O118" t="s">
        <v>68</v>
      </c>
      <c r="P118" t="s">
        <v>44</v>
      </c>
      <c r="Q118">
        <v>495</v>
      </c>
      <c r="R118" t="s">
        <v>56</v>
      </c>
      <c r="S118">
        <v>15.99</v>
      </c>
    </row>
    <row r="119" spans="1:19" x14ac:dyDescent="0.3">
      <c r="A119">
        <f>'Raw Data'!D119-'Raw Data'!C119</f>
        <v>309</v>
      </c>
      <c r="B119" s="2" t="str">
        <f>_xlfn.IFS('Raw Data'!E119&gt;10,"Premium",'Raw Data'!E119&lt;10,"Basic")</f>
        <v>Basic</v>
      </c>
      <c r="C119">
        <v>7.99</v>
      </c>
      <c r="D119">
        <v>6860</v>
      </c>
      <c r="E119" t="s">
        <v>33</v>
      </c>
      <c r="F119" t="s">
        <v>68</v>
      </c>
      <c r="G119">
        <v>286</v>
      </c>
      <c r="H119" t="s">
        <v>28</v>
      </c>
      <c r="I119">
        <v>2757</v>
      </c>
      <c r="J119">
        <v>6860</v>
      </c>
      <c r="K119" t="s">
        <v>44</v>
      </c>
      <c r="L119" t="s">
        <v>64</v>
      </c>
      <c r="M119">
        <v>751</v>
      </c>
      <c r="N119">
        <v>103</v>
      </c>
      <c r="O119" t="s">
        <v>68</v>
      </c>
      <c r="P119" t="s">
        <v>44</v>
      </c>
      <c r="Q119">
        <v>286</v>
      </c>
      <c r="R119" t="s">
        <v>67</v>
      </c>
      <c r="S119">
        <v>7.99</v>
      </c>
    </row>
    <row r="120" spans="1:19" x14ac:dyDescent="0.3">
      <c r="A120">
        <f>'Raw Data'!D120-'Raw Data'!C120</f>
        <v>79</v>
      </c>
      <c r="B120" s="2" t="str">
        <f>_xlfn.IFS('Raw Data'!E120&gt;10,"Premium",'Raw Data'!E120&lt;10,"Basic")</f>
        <v>Basic</v>
      </c>
      <c r="C120">
        <v>7.99</v>
      </c>
      <c r="D120">
        <v>4584</v>
      </c>
      <c r="E120" t="s">
        <v>33</v>
      </c>
      <c r="F120" t="s">
        <v>60</v>
      </c>
      <c r="G120">
        <v>446</v>
      </c>
      <c r="H120" t="s">
        <v>28</v>
      </c>
      <c r="I120">
        <v>727</v>
      </c>
      <c r="J120">
        <v>4584</v>
      </c>
      <c r="K120" t="s">
        <v>25</v>
      </c>
      <c r="L120" t="s">
        <v>49</v>
      </c>
      <c r="M120">
        <v>185</v>
      </c>
      <c r="N120">
        <v>134</v>
      </c>
      <c r="O120" t="s">
        <v>60</v>
      </c>
      <c r="P120" t="s">
        <v>25</v>
      </c>
      <c r="Q120">
        <v>446</v>
      </c>
      <c r="R120" t="s">
        <v>50</v>
      </c>
      <c r="S120">
        <v>7.99</v>
      </c>
    </row>
    <row r="121" spans="1:19" x14ac:dyDescent="0.3">
      <c r="A121">
        <f>'Raw Data'!D121-'Raw Data'!C121</f>
        <v>418</v>
      </c>
      <c r="B121" s="2" t="str">
        <f>_xlfn.IFS('Raw Data'!E121&gt;10,"Premium",'Raw Data'!E121&lt;10,"Basic")</f>
        <v>Premium</v>
      </c>
      <c r="C121">
        <v>11.99</v>
      </c>
      <c r="D121">
        <v>3354</v>
      </c>
      <c r="E121" t="s">
        <v>62</v>
      </c>
      <c r="F121" t="s">
        <v>60</v>
      </c>
      <c r="G121">
        <v>342</v>
      </c>
      <c r="H121" t="s">
        <v>28</v>
      </c>
      <c r="I121">
        <v>3496</v>
      </c>
      <c r="J121">
        <v>3354</v>
      </c>
      <c r="K121" t="s">
        <v>74</v>
      </c>
      <c r="L121" t="s">
        <v>26</v>
      </c>
      <c r="M121">
        <v>503</v>
      </c>
      <c r="N121">
        <v>6</v>
      </c>
      <c r="O121" t="s">
        <v>60</v>
      </c>
      <c r="P121" t="s">
        <v>74</v>
      </c>
      <c r="Q121">
        <v>342</v>
      </c>
      <c r="R121" t="s">
        <v>67</v>
      </c>
      <c r="S121">
        <v>11.99</v>
      </c>
    </row>
    <row r="122" spans="1:19" x14ac:dyDescent="0.3">
      <c r="A122">
        <f>'Raw Data'!D122-'Raw Data'!C122</f>
        <v>-8</v>
      </c>
      <c r="B122" s="2" t="str">
        <f>_xlfn.IFS('Raw Data'!E122&gt;10,"Premium",'Raw Data'!E122&lt;10,"Basic")</f>
        <v>Premium</v>
      </c>
      <c r="C122">
        <v>11.99</v>
      </c>
      <c r="D122">
        <v>4668</v>
      </c>
      <c r="E122" t="s">
        <v>43</v>
      </c>
      <c r="F122" t="s">
        <v>68</v>
      </c>
      <c r="G122">
        <v>396</v>
      </c>
      <c r="H122" t="s">
        <v>28</v>
      </c>
      <c r="I122">
        <v>4293</v>
      </c>
      <c r="J122">
        <v>4668</v>
      </c>
      <c r="K122" t="s">
        <v>39</v>
      </c>
      <c r="L122" t="s">
        <v>26</v>
      </c>
      <c r="M122">
        <v>549</v>
      </c>
      <c r="N122">
        <v>35</v>
      </c>
      <c r="O122" t="s">
        <v>68</v>
      </c>
      <c r="P122" t="s">
        <v>39</v>
      </c>
      <c r="Q122">
        <v>396</v>
      </c>
      <c r="R122" t="s">
        <v>34</v>
      </c>
      <c r="S122">
        <v>11.99</v>
      </c>
    </row>
    <row r="123" spans="1:19" x14ac:dyDescent="0.3">
      <c r="A123">
        <f>'Raw Data'!D123-'Raw Data'!C123</f>
        <v>85</v>
      </c>
      <c r="B123" s="2" t="str">
        <f>_xlfn.IFS('Raw Data'!E123&gt;10,"Premium",'Raw Data'!E123&lt;10,"Basic")</f>
        <v>Premium</v>
      </c>
      <c r="C123">
        <v>11.99</v>
      </c>
      <c r="D123">
        <v>6684</v>
      </c>
      <c r="E123" t="s">
        <v>79</v>
      </c>
      <c r="F123" t="s">
        <v>60</v>
      </c>
      <c r="G123">
        <v>491</v>
      </c>
      <c r="H123" t="s">
        <v>28</v>
      </c>
      <c r="I123">
        <v>1357</v>
      </c>
      <c r="J123">
        <v>6684</v>
      </c>
      <c r="K123" t="s">
        <v>63</v>
      </c>
      <c r="L123" t="s">
        <v>64</v>
      </c>
      <c r="M123">
        <v>434</v>
      </c>
      <c r="N123">
        <v>182</v>
      </c>
      <c r="O123" t="s">
        <v>60</v>
      </c>
      <c r="P123" t="s">
        <v>63</v>
      </c>
      <c r="Q123">
        <v>491</v>
      </c>
      <c r="R123" t="s">
        <v>50</v>
      </c>
      <c r="S123">
        <v>11.99</v>
      </c>
    </row>
    <row r="124" spans="1:19" x14ac:dyDescent="0.3">
      <c r="A124">
        <f>'Raw Data'!D124-'Raw Data'!C124</f>
        <v>622</v>
      </c>
      <c r="B124" s="2" t="str">
        <f>_xlfn.IFS('Raw Data'!E124&gt;10,"Premium",'Raw Data'!E124&lt;10,"Basic")</f>
        <v>Premium</v>
      </c>
      <c r="C124">
        <v>15.99</v>
      </c>
      <c r="D124">
        <v>8058</v>
      </c>
      <c r="E124" t="s">
        <v>43</v>
      </c>
      <c r="F124" t="s">
        <v>52</v>
      </c>
      <c r="G124">
        <v>239</v>
      </c>
      <c r="H124" t="s">
        <v>28</v>
      </c>
      <c r="I124">
        <v>3596</v>
      </c>
      <c r="J124">
        <v>8058</v>
      </c>
      <c r="K124" t="s">
        <v>59</v>
      </c>
      <c r="L124" t="s">
        <v>64</v>
      </c>
      <c r="M124">
        <v>832</v>
      </c>
      <c r="N124">
        <v>134</v>
      </c>
      <c r="O124" t="s">
        <v>52</v>
      </c>
      <c r="P124" t="s">
        <v>59</v>
      </c>
      <c r="Q124">
        <v>239</v>
      </c>
      <c r="R124" t="s">
        <v>50</v>
      </c>
      <c r="S124">
        <v>15.99</v>
      </c>
    </row>
    <row r="125" spans="1:19" x14ac:dyDescent="0.3">
      <c r="A125">
        <f>'Raw Data'!D125-'Raw Data'!C125</f>
        <v>578</v>
      </c>
      <c r="B125" s="2" t="str">
        <f>_xlfn.IFS('Raw Data'!E125&gt;10,"Premium",'Raw Data'!E125&lt;10,"Basic")</f>
        <v>Premium</v>
      </c>
      <c r="C125">
        <v>15.99</v>
      </c>
      <c r="D125">
        <v>3035</v>
      </c>
      <c r="E125" t="s">
        <v>79</v>
      </c>
      <c r="F125" t="s">
        <v>68</v>
      </c>
      <c r="G125">
        <v>106</v>
      </c>
      <c r="H125" t="s">
        <v>28</v>
      </c>
      <c r="I125">
        <v>613</v>
      </c>
      <c r="J125">
        <v>3035</v>
      </c>
      <c r="K125" t="s">
        <v>63</v>
      </c>
      <c r="L125" t="s">
        <v>49</v>
      </c>
      <c r="M125">
        <v>377</v>
      </c>
      <c r="N125">
        <v>31</v>
      </c>
      <c r="O125" t="s">
        <v>68</v>
      </c>
      <c r="P125" t="s">
        <v>63</v>
      </c>
      <c r="Q125">
        <v>106</v>
      </c>
      <c r="R125" t="s">
        <v>56</v>
      </c>
      <c r="S125">
        <v>15.99</v>
      </c>
    </row>
    <row r="126" spans="1:19" x14ac:dyDescent="0.3">
      <c r="A126">
        <f>'Raw Data'!D126-'Raw Data'!C126</f>
        <v>134</v>
      </c>
      <c r="B126" s="2" t="str">
        <f>_xlfn.IFS('Raw Data'!E126&gt;10,"Premium",'Raw Data'!E126&lt;10,"Basic")</f>
        <v>Premium</v>
      </c>
      <c r="C126">
        <v>11.99</v>
      </c>
      <c r="D126">
        <v>2146</v>
      </c>
      <c r="E126" t="s">
        <v>55</v>
      </c>
      <c r="F126" t="s">
        <v>36</v>
      </c>
      <c r="G126">
        <v>388</v>
      </c>
      <c r="H126" t="s">
        <v>28</v>
      </c>
      <c r="I126">
        <v>2381</v>
      </c>
      <c r="J126">
        <v>2146</v>
      </c>
      <c r="K126" t="s">
        <v>59</v>
      </c>
      <c r="L126" t="s">
        <v>26</v>
      </c>
      <c r="M126">
        <v>380</v>
      </c>
      <c r="N126">
        <v>125</v>
      </c>
      <c r="O126" t="s">
        <v>36</v>
      </c>
      <c r="P126" t="s">
        <v>59</v>
      </c>
      <c r="Q126">
        <v>388</v>
      </c>
      <c r="R126" t="s">
        <v>34</v>
      </c>
      <c r="S126">
        <v>11.99</v>
      </c>
    </row>
    <row r="127" spans="1:19" x14ac:dyDescent="0.3">
      <c r="A127">
        <f>'Raw Data'!D127-'Raw Data'!C127</f>
        <v>323</v>
      </c>
      <c r="B127" s="2" t="str">
        <f>_xlfn.IFS('Raw Data'!E127&gt;10,"Premium",'Raw Data'!E127&lt;10,"Basic")</f>
        <v>Premium</v>
      </c>
      <c r="C127">
        <v>15.99</v>
      </c>
      <c r="D127">
        <v>5761</v>
      </c>
      <c r="E127" t="s">
        <v>33</v>
      </c>
      <c r="F127" t="s">
        <v>60</v>
      </c>
      <c r="G127">
        <v>452</v>
      </c>
      <c r="H127" t="s">
        <v>28</v>
      </c>
      <c r="I127">
        <v>2159</v>
      </c>
      <c r="J127">
        <v>5761</v>
      </c>
      <c r="K127" t="s">
        <v>48</v>
      </c>
      <c r="L127" t="s">
        <v>64</v>
      </c>
      <c r="M127">
        <v>315</v>
      </c>
      <c r="N127">
        <v>118</v>
      </c>
      <c r="O127" t="s">
        <v>60</v>
      </c>
      <c r="P127" t="s">
        <v>48</v>
      </c>
      <c r="Q127">
        <v>452</v>
      </c>
      <c r="R127" t="s">
        <v>50</v>
      </c>
      <c r="S127">
        <v>15.99</v>
      </c>
    </row>
    <row r="128" spans="1:19" x14ac:dyDescent="0.3">
      <c r="A128">
        <f>'Raw Data'!D128-'Raw Data'!C128</f>
        <v>14</v>
      </c>
      <c r="B128" s="2" t="str">
        <f>_xlfn.IFS('Raw Data'!E128&gt;10,"Premium",'Raw Data'!E128&lt;10,"Basic")</f>
        <v>Premium</v>
      </c>
      <c r="C128">
        <v>15.99</v>
      </c>
      <c r="D128">
        <v>5256</v>
      </c>
      <c r="E128" t="s">
        <v>43</v>
      </c>
      <c r="F128" t="s">
        <v>68</v>
      </c>
      <c r="G128">
        <v>368</v>
      </c>
      <c r="H128" t="s">
        <v>28</v>
      </c>
      <c r="I128">
        <v>119</v>
      </c>
      <c r="J128">
        <v>5256</v>
      </c>
      <c r="K128" t="s">
        <v>59</v>
      </c>
      <c r="L128" t="s">
        <v>40</v>
      </c>
      <c r="M128">
        <v>968</v>
      </c>
      <c r="N128">
        <v>24</v>
      </c>
      <c r="O128" t="s">
        <v>68</v>
      </c>
      <c r="P128" t="s">
        <v>59</v>
      </c>
      <c r="Q128">
        <v>368</v>
      </c>
      <c r="R128" t="s">
        <v>41</v>
      </c>
      <c r="S128">
        <v>15.99</v>
      </c>
    </row>
    <row r="129" spans="1:19" x14ac:dyDescent="0.3">
      <c r="A129">
        <f>'Raw Data'!D129-'Raw Data'!C129</f>
        <v>529</v>
      </c>
      <c r="B129" s="2" t="str">
        <f>_xlfn.IFS('Raw Data'!E129&gt;10,"Premium",'Raw Data'!E129&lt;10,"Basic")</f>
        <v>Premium</v>
      </c>
      <c r="C129">
        <v>15.99</v>
      </c>
      <c r="D129">
        <v>5995</v>
      </c>
      <c r="E129" t="s">
        <v>24</v>
      </c>
      <c r="F129" t="s">
        <v>36</v>
      </c>
      <c r="G129">
        <v>325</v>
      </c>
      <c r="H129" t="s">
        <v>28</v>
      </c>
      <c r="I129">
        <v>2798</v>
      </c>
      <c r="J129">
        <v>5995</v>
      </c>
      <c r="K129" t="s">
        <v>44</v>
      </c>
      <c r="L129" t="s">
        <v>49</v>
      </c>
      <c r="M129">
        <v>757</v>
      </c>
      <c r="N129">
        <v>35</v>
      </c>
      <c r="O129" t="s">
        <v>36</v>
      </c>
      <c r="P129" t="s">
        <v>44</v>
      </c>
      <c r="Q129">
        <v>325</v>
      </c>
      <c r="R129" t="s">
        <v>41</v>
      </c>
      <c r="S129">
        <v>15.99</v>
      </c>
    </row>
    <row r="130" spans="1:19" x14ac:dyDescent="0.3">
      <c r="A130">
        <f>'Raw Data'!D130-'Raw Data'!C130</f>
        <v>640</v>
      </c>
      <c r="B130" s="2" t="str">
        <f>_xlfn.IFS('Raw Data'!E130&gt;10,"Premium",'Raw Data'!E130&lt;10,"Basic")</f>
        <v>Premium</v>
      </c>
      <c r="C130">
        <v>11.99</v>
      </c>
      <c r="D130">
        <v>4155</v>
      </c>
      <c r="E130" t="s">
        <v>43</v>
      </c>
      <c r="F130" t="s">
        <v>52</v>
      </c>
      <c r="G130">
        <v>42</v>
      </c>
      <c r="H130" t="s">
        <v>28</v>
      </c>
      <c r="I130">
        <v>496</v>
      </c>
      <c r="J130">
        <v>4155</v>
      </c>
      <c r="K130" t="s">
        <v>74</v>
      </c>
      <c r="L130" t="s">
        <v>40</v>
      </c>
      <c r="M130">
        <v>560</v>
      </c>
      <c r="N130">
        <v>98</v>
      </c>
      <c r="O130" t="s">
        <v>52</v>
      </c>
      <c r="P130" t="s">
        <v>74</v>
      </c>
      <c r="Q130">
        <v>42</v>
      </c>
      <c r="R130" t="s">
        <v>41</v>
      </c>
      <c r="S130">
        <v>11.99</v>
      </c>
    </row>
    <row r="131" spans="1:19" x14ac:dyDescent="0.3">
      <c r="A131">
        <f>'Raw Data'!D131-'Raw Data'!C131</f>
        <v>435</v>
      </c>
      <c r="B131" s="2" t="str">
        <f>_xlfn.IFS('Raw Data'!E131&gt;10,"Premium",'Raw Data'!E131&lt;10,"Basic")</f>
        <v>Premium</v>
      </c>
      <c r="C131">
        <v>11.99</v>
      </c>
      <c r="D131">
        <v>1851</v>
      </c>
      <c r="E131" t="s">
        <v>55</v>
      </c>
      <c r="F131" t="s">
        <v>60</v>
      </c>
      <c r="G131">
        <v>344</v>
      </c>
      <c r="H131" t="s">
        <v>28</v>
      </c>
      <c r="I131">
        <v>3599</v>
      </c>
      <c r="J131">
        <v>1851</v>
      </c>
      <c r="K131" t="s">
        <v>74</v>
      </c>
      <c r="L131" t="s">
        <v>49</v>
      </c>
      <c r="M131">
        <v>456</v>
      </c>
      <c r="N131">
        <v>196</v>
      </c>
      <c r="O131" t="s">
        <v>60</v>
      </c>
      <c r="P131" t="s">
        <v>74</v>
      </c>
      <c r="Q131">
        <v>344</v>
      </c>
      <c r="R131" t="s">
        <v>41</v>
      </c>
      <c r="S131">
        <v>11.99</v>
      </c>
    </row>
    <row r="132" spans="1:19" x14ac:dyDescent="0.3">
      <c r="A132">
        <f>'Raw Data'!D132-'Raw Data'!C132</f>
        <v>-21</v>
      </c>
      <c r="B132" s="2" t="str">
        <f>_xlfn.IFS('Raw Data'!E132&gt;10,"Premium",'Raw Data'!E132&lt;10,"Basic")</f>
        <v>Premium</v>
      </c>
      <c r="C132">
        <v>15.99</v>
      </c>
      <c r="D132">
        <v>8068</v>
      </c>
      <c r="E132" t="s">
        <v>33</v>
      </c>
      <c r="F132" t="s">
        <v>52</v>
      </c>
      <c r="G132">
        <v>77</v>
      </c>
      <c r="H132" t="s">
        <v>28</v>
      </c>
      <c r="I132">
        <v>1752</v>
      </c>
      <c r="J132">
        <v>8068</v>
      </c>
      <c r="K132" t="s">
        <v>48</v>
      </c>
      <c r="L132" t="s">
        <v>64</v>
      </c>
      <c r="M132">
        <v>780</v>
      </c>
      <c r="N132">
        <v>138</v>
      </c>
      <c r="O132" t="s">
        <v>52</v>
      </c>
      <c r="P132" t="s">
        <v>48</v>
      </c>
      <c r="Q132">
        <v>77</v>
      </c>
      <c r="R132" t="s">
        <v>67</v>
      </c>
      <c r="S132">
        <v>15.99</v>
      </c>
    </row>
    <row r="133" spans="1:19" x14ac:dyDescent="0.3">
      <c r="A133">
        <f>'Raw Data'!D133-'Raw Data'!C133</f>
        <v>14</v>
      </c>
      <c r="B133" s="2" t="str">
        <f>_xlfn.IFS('Raw Data'!E133&gt;10,"Premium",'Raw Data'!E133&lt;10,"Basic")</f>
        <v>Basic</v>
      </c>
      <c r="C133">
        <v>7.99</v>
      </c>
      <c r="D133">
        <v>8425</v>
      </c>
      <c r="E133" t="s">
        <v>62</v>
      </c>
      <c r="F133" t="s">
        <v>36</v>
      </c>
      <c r="G133">
        <v>237</v>
      </c>
      <c r="H133" t="s">
        <v>28</v>
      </c>
      <c r="I133">
        <v>3633</v>
      </c>
      <c r="J133">
        <v>8425</v>
      </c>
      <c r="K133" t="s">
        <v>59</v>
      </c>
      <c r="L133" t="s">
        <v>64</v>
      </c>
      <c r="M133">
        <v>168</v>
      </c>
      <c r="N133">
        <v>18</v>
      </c>
      <c r="O133" t="s">
        <v>36</v>
      </c>
      <c r="P133" t="s">
        <v>59</v>
      </c>
      <c r="Q133">
        <v>237</v>
      </c>
      <c r="R133" t="s">
        <v>41</v>
      </c>
      <c r="S133">
        <v>7.99</v>
      </c>
    </row>
    <row r="134" spans="1:19" x14ac:dyDescent="0.3">
      <c r="A134">
        <f>'Raw Data'!D134-'Raw Data'!C134</f>
        <v>667</v>
      </c>
      <c r="B134" s="2" t="str">
        <f>_xlfn.IFS('Raw Data'!E134&gt;10,"Premium",'Raw Data'!E134&lt;10,"Basic")</f>
        <v>Premium</v>
      </c>
      <c r="C134">
        <v>11.99</v>
      </c>
      <c r="D134">
        <v>4706</v>
      </c>
      <c r="E134" t="s">
        <v>43</v>
      </c>
      <c r="F134" t="s">
        <v>30</v>
      </c>
      <c r="G134">
        <v>480</v>
      </c>
      <c r="H134" t="s">
        <v>28</v>
      </c>
      <c r="I134">
        <v>3568</v>
      </c>
      <c r="J134">
        <v>4706</v>
      </c>
      <c r="K134" t="s">
        <v>74</v>
      </c>
      <c r="L134" t="s">
        <v>26</v>
      </c>
      <c r="M134">
        <v>350</v>
      </c>
      <c r="N134">
        <v>122</v>
      </c>
      <c r="O134" t="s">
        <v>30</v>
      </c>
      <c r="P134" t="s">
        <v>74</v>
      </c>
      <c r="Q134">
        <v>480</v>
      </c>
      <c r="R134" t="s">
        <v>50</v>
      </c>
      <c r="S134">
        <v>11.99</v>
      </c>
    </row>
    <row r="135" spans="1:19" x14ac:dyDescent="0.3">
      <c r="A135">
        <f>'Raw Data'!D135-'Raw Data'!C135</f>
        <v>451</v>
      </c>
      <c r="B135" s="2" t="str">
        <f>_xlfn.IFS('Raw Data'!E135&gt;10,"Premium",'Raw Data'!E135&lt;10,"Basic")</f>
        <v>Premium</v>
      </c>
      <c r="C135">
        <v>15.99</v>
      </c>
      <c r="D135">
        <v>7544</v>
      </c>
      <c r="E135" t="s">
        <v>55</v>
      </c>
      <c r="F135" t="s">
        <v>60</v>
      </c>
      <c r="G135">
        <v>152</v>
      </c>
      <c r="H135" t="s">
        <v>28</v>
      </c>
      <c r="I135">
        <v>4361</v>
      </c>
      <c r="J135">
        <v>7544</v>
      </c>
      <c r="K135" t="s">
        <v>44</v>
      </c>
      <c r="L135" t="s">
        <v>49</v>
      </c>
      <c r="M135">
        <v>341</v>
      </c>
      <c r="N135">
        <v>193</v>
      </c>
      <c r="O135" t="s">
        <v>60</v>
      </c>
      <c r="P135" t="s">
        <v>44</v>
      </c>
      <c r="Q135">
        <v>152</v>
      </c>
      <c r="R135" t="s">
        <v>41</v>
      </c>
      <c r="S135">
        <v>15.99</v>
      </c>
    </row>
    <row r="136" spans="1:19" x14ac:dyDescent="0.3">
      <c r="A136">
        <f>'Raw Data'!D136-'Raw Data'!C136</f>
        <v>40</v>
      </c>
      <c r="B136" s="2" t="str">
        <f>_xlfn.IFS('Raw Data'!E136&gt;10,"Premium",'Raw Data'!E136&lt;10,"Basic")</f>
        <v>Premium</v>
      </c>
      <c r="C136">
        <v>11.99</v>
      </c>
      <c r="D136">
        <v>4029</v>
      </c>
      <c r="E136" t="s">
        <v>33</v>
      </c>
      <c r="F136" t="s">
        <v>52</v>
      </c>
      <c r="G136">
        <v>308</v>
      </c>
      <c r="H136" t="s">
        <v>28</v>
      </c>
      <c r="I136">
        <v>1176</v>
      </c>
      <c r="J136">
        <v>4029</v>
      </c>
      <c r="K136" t="s">
        <v>39</v>
      </c>
      <c r="L136" t="s">
        <v>40</v>
      </c>
      <c r="M136">
        <v>392</v>
      </c>
      <c r="N136">
        <v>151</v>
      </c>
      <c r="O136" t="s">
        <v>52</v>
      </c>
      <c r="P136" t="s">
        <v>39</v>
      </c>
      <c r="Q136">
        <v>308</v>
      </c>
      <c r="R136" t="s">
        <v>34</v>
      </c>
      <c r="S136">
        <v>11.99</v>
      </c>
    </row>
    <row r="137" spans="1:19" x14ac:dyDescent="0.3">
      <c r="A137">
        <f>'Raw Data'!D137-'Raw Data'!C137</f>
        <v>181</v>
      </c>
      <c r="B137" s="2" t="str">
        <f>_xlfn.IFS('Raw Data'!E137&gt;10,"Premium",'Raw Data'!E137&lt;10,"Basic")</f>
        <v>Basic</v>
      </c>
      <c r="C137">
        <v>7.99</v>
      </c>
      <c r="D137">
        <v>6117</v>
      </c>
      <c r="E137" t="s">
        <v>33</v>
      </c>
      <c r="F137" t="s">
        <v>52</v>
      </c>
      <c r="G137">
        <v>14</v>
      </c>
      <c r="H137" t="s">
        <v>28</v>
      </c>
      <c r="I137">
        <v>1849</v>
      </c>
      <c r="J137">
        <v>6117</v>
      </c>
      <c r="K137" t="s">
        <v>59</v>
      </c>
      <c r="L137" t="s">
        <v>49</v>
      </c>
      <c r="M137">
        <v>95</v>
      </c>
      <c r="N137">
        <v>158</v>
      </c>
      <c r="O137" t="s">
        <v>52</v>
      </c>
      <c r="P137" t="s">
        <v>59</v>
      </c>
      <c r="Q137">
        <v>14</v>
      </c>
      <c r="R137" t="s">
        <v>27</v>
      </c>
      <c r="S137">
        <v>7.99</v>
      </c>
    </row>
    <row r="138" spans="1:19" x14ac:dyDescent="0.3">
      <c r="A138">
        <f>'Raw Data'!D138-'Raw Data'!C138</f>
        <v>667</v>
      </c>
      <c r="B138" s="2" t="str">
        <f>_xlfn.IFS('Raw Data'!E138&gt;10,"Premium",'Raw Data'!E138&lt;10,"Basic")</f>
        <v>Premium</v>
      </c>
      <c r="C138">
        <v>11.99</v>
      </c>
      <c r="D138">
        <v>1408</v>
      </c>
      <c r="E138" t="s">
        <v>33</v>
      </c>
      <c r="F138" t="s">
        <v>30</v>
      </c>
      <c r="G138">
        <v>233</v>
      </c>
      <c r="H138" t="s">
        <v>28</v>
      </c>
      <c r="I138">
        <v>3953</v>
      </c>
      <c r="J138">
        <v>1408</v>
      </c>
      <c r="K138" t="s">
        <v>48</v>
      </c>
      <c r="L138" t="s">
        <v>40</v>
      </c>
      <c r="M138">
        <v>186</v>
      </c>
      <c r="N138">
        <v>129</v>
      </c>
      <c r="O138" t="s">
        <v>30</v>
      </c>
      <c r="P138" t="s">
        <v>48</v>
      </c>
      <c r="Q138">
        <v>233</v>
      </c>
      <c r="R138" t="s">
        <v>27</v>
      </c>
      <c r="S138">
        <v>11.99</v>
      </c>
    </row>
    <row r="139" spans="1:19" x14ac:dyDescent="0.3">
      <c r="A139">
        <f>'Raw Data'!D139-'Raw Data'!C139</f>
        <v>299</v>
      </c>
      <c r="B139" s="2" t="str">
        <f>_xlfn.IFS('Raw Data'!E139&gt;10,"Premium",'Raw Data'!E139&lt;10,"Basic")</f>
        <v>Basic</v>
      </c>
      <c r="C139">
        <v>7.99</v>
      </c>
      <c r="D139">
        <v>8396</v>
      </c>
      <c r="E139" t="s">
        <v>46</v>
      </c>
      <c r="F139" t="s">
        <v>68</v>
      </c>
      <c r="G139">
        <v>169</v>
      </c>
      <c r="H139" t="s">
        <v>28</v>
      </c>
      <c r="I139">
        <v>3277</v>
      </c>
      <c r="J139">
        <v>8396</v>
      </c>
      <c r="K139" t="s">
        <v>63</v>
      </c>
      <c r="L139" t="s">
        <v>26</v>
      </c>
      <c r="M139">
        <v>543</v>
      </c>
      <c r="N139">
        <v>111</v>
      </c>
      <c r="O139" t="s">
        <v>68</v>
      </c>
      <c r="P139" t="s">
        <v>63</v>
      </c>
      <c r="Q139">
        <v>169</v>
      </c>
      <c r="R139" t="s">
        <v>67</v>
      </c>
      <c r="S139">
        <v>7.99</v>
      </c>
    </row>
    <row r="140" spans="1:19" x14ac:dyDescent="0.3">
      <c r="A140">
        <f>'Raw Data'!D140-'Raw Data'!C140</f>
        <v>341</v>
      </c>
      <c r="B140" s="2" t="str">
        <f>_xlfn.IFS('Raw Data'!E140&gt;10,"Premium",'Raw Data'!E140&lt;10,"Basic")</f>
        <v>Basic</v>
      </c>
      <c r="C140">
        <v>7.99</v>
      </c>
      <c r="D140">
        <v>6806</v>
      </c>
      <c r="E140" t="s">
        <v>24</v>
      </c>
      <c r="F140" t="s">
        <v>60</v>
      </c>
      <c r="G140">
        <v>358</v>
      </c>
      <c r="H140" t="s">
        <v>28</v>
      </c>
      <c r="I140">
        <v>1572</v>
      </c>
      <c r="J140">
        <v>6806</v>
      </c>
      <c r="K140" t="s">
        <v>63</v>
      </c>
      <c r="L140" t="s">
        <v>40</v>
      </c>
      <c r="M140">
        <v>858</v>
      </c>
      <c r="N140">
        <v>65</v>
      </c>
      <c r="O140" t="s">
        <v>60</v>
      </c>
      <c r="P140" t="s">
        <v>63</v>
      </c>
      <c r="Q140">
        <v>358</v>
      </c>
      <c r="R140" t="s">
        <v>41</v>
      </c>
      <c r="S140">
        <v>7.99</v>
      </c>
    </row>
    <row r="141" spans="1:19" x14ac:dyDescent="0.3">
      <c r="A141">
        <f>'Raw Data'!D141-'Raw Data'!C141</f>
        <v>383</v>
      </c>
      <c r="B141" s="2" t="str">
        <f>_xlfn.IFS('Raw Data'!E141&gt;10,"Premium",'Raw Data'!E141&lt;10,"Basic")</f>
        <v>Premium</v>
      </c>
      <c r="C141">
        <v>11.99</v>
      </c>
      <c r="D141">
        <v>3496</v>
      </c>
      <c r="E141" t="s">
        <v>33</v>
      </c>
      <c r="F141" t="s">
        <v>36</v>
      </c>
      <c r="G141">
        <v>404</v>
      </c>
      <c r="H141" t="s">
        <v>28</v>
      </c>
      <c r="I141">
        <v>2676</v>
      </c>
      <c r="J141">
        <v>3496</v>
      </c>
      <c r="K141" t="s">
        <v>48</v>
      </c>
      <c r="L141" t="s">
        <v>26</v>
      </c>
      <c r="M141">
        <v>906</v>
      </c>
      <c r="N141">
        <v>43</v>
      </c>
      <c r="O141" t="s">
        <v>36</v>
      </c>
      <c r="P141" t="s">
        <v>48</v>
      </c>
      <c r="Q141">
        <v>404</v>
      </c>
      <c r="R141" t="s">
        <v>34</v>
      </c>
      <c r="S141">
        <v>11.99</v>
      </c>
    </row>
    <row r="142" spans="1:19" x14ac:dyDescent="0.3">
      <c r="A142">
        <f>'Raw Data'!D142-'Raw Data'!C142</f>
        <v>313</v>
      </c>
      <c r="B142" s="2" t="str">
        <f>_xlfn.IFS('Raw Data'!E142&gt;10,"Premium",'Raw Data'!E142&lt;10,"Basic")</f>
        <v>Premium</v>
      </c>
      <c r="C142">
        <v>15.99</v>
      </c>
      <c r="D142">
        <v>7840</v>
      </c>
      <c r="E142" t="s">
        <v>62</v>
      </c>
      <c r="F142" t="s">
        <v>68</v>
      </c>
      <c r="G142">
        <v>131</v>
      </c>
      <c r="H142" t="s">
        <v>28</v>
      </c>
      <c r="I142">
        <v>3053</v>
      </c>
      <c r="J142">
        <v>7840</v>
      </c>
      <c r="K142" t="s">
        <v>44</v>
      </c>
      <c r="L142" t="s">
        <v>26</v>
      </c>
      <c r="M142">
        <v>808</v>
      </c>
      <c r="N142">
        <v>48</v>
      </c>
      <c r="O142" t="s">
        <v>68</v>
      </c>
      <c r="P142" t="s">
        <v>44</v>
      </c>
      <c r="Q142">
        <v>131</v>
      </c>
      <c r="R142" t="s">
        <v>27</v>
      </c>
      <c r="S142">
        <v>15.99</v>
      </c>
    </row>
    <row r="143" spans="1:19" x14ac:dyDescent="0.3">
      <c r="A143">
        <f>'Raw Data'!D143-'Raw Data'!C143</f>
        <v>126</v>
      </c>
      <c r="B143" s="2" t="str">
        <f>_xlfn.IFS('Raw Data'!E143&gt;10,"Premium",'Raw Data'!E143&lt;10,"Basic")</f>
        <v>Premium</v>
      </c>
      <c r="C143">
        <v>11.99</v>
      </c>
      <c r="D143">
        <v>2099</v>
      </c>
      <c r="E143" t="s">
        <v>33</v>
      </c>
      <c r="F143" t="s">
        <v>30</v>
      </c>
      <c r="G143">
        <v>32</v>
      </c>
      <c r="H143" t="s">
        <v>28</v>
      </c>
      <c r="I143">
        <v>2620</v>
      </c>
      <c r="J143">
        <v>2099</v>
      </c>
      <c r="K143" t="s">
        <v>63</v>
      </c>
      <c r="L143" t="s">
        <v>64</v>
      </c>
      <c r="M143">
        <v>84</v>
      </c>
      <c r="N143">
        <v>73</v>
      </c>
      <c r="O143" t="s">
        <v>30</v>
      </c>
      <c r="P143" t="s">
        <v>63</v>
      </c>
      <c r="Q143">
        <v>32</v>
      </c>
      <c r="R143" t="s">
        <v>27</v>
      </c>
      <c r="S143">
        <v>11.99</v>
      </c>
    </row>
    <row r="144" spans="1:19" x14ac:dyDescent="0.3">
      <c r="A144">
        <f>'Raw Data'!D144-'Raw Data'!C144</f>
        <v>16</v>
      </c>
      <c r="B144" s="2" t="str">
        <f>_xlfn.IFS('Raw Data'!E144&gt;10,"Premium",'Raw Data'!E144&lt;10,"Basic")</f>
        <v>Basic</v>
      </c>
      <c r="C144">
        <v>7.99</v>
      </c>
      <c r="D144">
        <v>6518</v>
      </c>
      <c r="E144" t="s">
        <v>24</v>
      </c>
      <c r="F144" t="s">
        <v>30</v>
      </c>
      <c r="G144">
        <v>478</v>
      </c>
      <c r="H144" t="s">
        <v>28</v>
      </c>
      <c r="I144">
        <v>4068</v>
      </c>
      <c r="J144">
        <v>6518</v>
      </c>
      <c r="K144" t="s">
        <v>44</v>
      </c>
      <c r="L144" t="s">
        <v>26</v>
      </c>
      <c r="M144">
        <v>780</v>
      </c>
      <c r="N144">
        <v>78</v>
      </c>
      <c r="O144" t="s">
        <v>30</v>
      </c>
      <c r="P144" t="s">
        <v>44</v>
      </c>
      <c r="Q144">
        <v>478</v>
      </c>
      <c r="R144" t="s">
        <v>50</v>
      </c>
      <c r="S144">
        <v>7.99</v>
      </c>
    </row>
    <row r="145" spans="1:19" x14ac:dyDescent="0.3">
      <c r="A145">
        <f>'Raw Data'!D145-'Raw Data'!C145</f>
        <v>57</v>
      </c>
      <c r="B145" s="2" t="str">
        <f>_xlfn.IFS('Raw Data'!E145&gt;10,"Premium",'Raw Data'!E145&lt;10,"Basic")</f>
        <v>Premium</v>
      </c>
      <c r="C145">
        <v>11.99</v>
      </c>
      <c r="D145">
        <v>1976</v>
      </c>
      <c r="E145" t="s">
        <v>43</v>
      </c>
      <c r="F145" t="s">
        <v>36</v>
      </c>
      <c r="G145">
        <v>88</v>
      </c>
      <c r="H145" t="s">
        <v>28</v>
      </c>
      <c r="I145">
        <v>172</v>
      </c>
      <c r="J145">
        <v>1976</v>
      </c>
      <c r="K145" t="s">
        <v>44</v>
      </c>
      <c r="L145" t="s">
        <v>40</v>
      </c>
      <c r="M145">
        <v>247</v>
      </c>
      <c r="N145">
        <v>30</v>
      </c>
      <c r="O145" t="s">
        <v>36</v>
      </c>
      <c r="P145" t="s">
        <v>44</v>
      </c>
      <c r="Q145">
        <v>88</v>
      </c>
      <c r="R145" t="s">
        <v>41</v>
      </c>
      <c r="S145">
        <v>11.99</v>
      </c>
    </row>
    <row r="146" spans="1:19" x14ac:dyDescent="0.3">
      <c r="A146">
        <f>'Raw Data'!D146-'Raw Data'!C146</f>
        <v>290</v>
      </c>
      <c r="B146" s="2" t="str">
        <f>_xlfn.IFS('Raw Data'!E146&gt;10,"Premium",'Raw Data'!E146&lt;10,"Basic")</f>
        <v>Premium</v>
      </c>
      <c r="C146">
        <v>11.99</v>
      </c>
      <c r="D146">
        <v>8777</v>
      </c>
      <c r="E146" t="s">
        <v>43</v>
      </c>
      <c r="F146" t="s">
        <v>60</v>
      </c>
      <c r="G146">
        <v>395</v>
      </c>
      <c r="H146" t="s">
        <v>28</v>
      </c>
      <c r="I146">
        <v>1040</v>
      </c>
      <c r="J146">
        <v>8777</v>
      </c>
      <c r="K146" t="s">
        <v>74</v>
      </c>
      <c r="L146" t="s">
        <v>49</v>
      </c>
      <c r="M146">
        <v>190</v>
      </c>
      <c r="N146">
        <v>105</v>
      </c>
      <c r="O146" t="s">
        <v>60</v>
      </c>
      <c r="P146" t="s">
        <v>74</v>
      </c>
      <c r="Q146">
        <v>395</v>
      </c>
      <c r="R146" t="s">
        <v>34</v>
      </c>
      <c r="S146">
        <v>11.99</v>
      </c>
    </row>
    <row r="147" spans="1:19" x14ac:dyDescent="0.3">
      <c r="A147">
        <f>'Raw Data'!D147-'Raw Data'!C147</f>
        <v>612</v>
      </c>
      <c r="B147" s="2" t="str">
        <f>_xlfn.IFS('Raw Data'!E147&gt;10,"Premium",'Raw Data'!E147&lt;10,"Basic")</f>
        <v>Premium</v>
      </c>
      <c r="C147">
        <v>11.99</v>
      </c>
      <c r="D147">
        <v>1576</v>
      </c>
      <c r="E147" t="s">
        <v>33</v>
      </c>
      <c r="F147" t="s">
        <v>36</v>
      </c>
      <c r="G147">
        <v>385</v>
      </c>
      <c r="H147" t="s">
        <v>28</v>
      </c>
      <c r="I147">
        <v>3574</v>
      </c>
      <c r="J147">
        <v>1576</v>
      </c>
      <c r="K147" t="s">
        <v>59</v>
      </c>
      <c r="L147" t="s">
        <v>64</v>
      </c>
      <c r="M147">
        <v>390</v>
      </c>
      <c r="N147">
        <v>163</v>
      </c>
      <c r="O147" t="s">
        <v>36</v>
      </c>
      <c r="P147" t="s">
        <v>59</v>
      </c>
      <c r="Q147">
        <v>385</v>
      </c>
      <c r="R147" t="s">
        <v>67</v>
      </c>
      <c r="S147">
        <v>11.99</v>
      </c>
    </row>
    <row r="148" spans="1:19" x14ac:dyDescent="0.3">
      <c r="A148">
        <f>'Raw Data'!D148-'Raw Data'!C148</f>
        <v>574</v>
      </c>
      <c r="B148" s="2" t="str">
        <f>_xlfn.IFS('Raw Data'!E148&gt;10,"Premium",'Raw Data'!E148&lt;10,"Basic")</f>
        <v>Premium</v>
      </c>
      <c r="C148">
        <v>11.99</v>
      </c>
      <c r="D148">
        <v>7979</v>
      </c>
      <c r="E148" t="s">
        <v>43</v>
      </c>
      <c r="F148" t="s">
        <v>36</v>
      </c>
      <c r="G148">
        <v>280</v>
      </c>
      <c r="H148" t="s">
        <v>28</v>
      </c>
      <c r="I148">
        <v>3659</v>
      </c>
      <c r="J148">
        <v>7979</v>
      </c>
      <c r="K148" t="s">
        <v>74</v>
      </c>
      <c r="L148" t="s">
        <v>26</v>
      </c>
      <c r="M148">
        <v>203</v>
      </c>
      <c r="N148">
        <v>50</v>
      </c>
      <c r="O148" t="s">
        <v>36</v>
      </c>
      <c r="P148" t="s">
        <v>74</v>
      </c>
      <c r="Q148">
        <v>280</v>
      </c>
      <c r="R148" t="s">
        <v>50</v>
      </c>
      <c r="S148">
        <v>11.99</v>
      </c>
    </row>
    <row r="149" spans="1:19" x14ac:dyDescent="0.3">
      <c r="A149">
        <f>'Raw Data'!D149-'Raw Data'!C149</f>
        <v>446</v>
      </c>
      <c r="B149" s="2" t="str">
        <f>_xlfn.IFS('Raw Data'!E149&gt;10,"Premium",'Raw Data'!E149&lt;10,"Basic")</f>
        <v>Premium</v>
      </c>
      <c r="C149">
        <v>15.99</v>
      </c>
      <c r="D149">
        <v>6300</v>
      </c>
      <c r="E149" t="s">
        <v>24</v>
      </c>
      <c r="F149" t="s">
        <v>60</v>
      </c>
      <c r="G149">
        <v>164</v>
      </c>
      <c r="H149" t="s">
        <v>28</v>
      </c>
      <c r="I149">
        <v>1991</v>
      </c>
      <c r="J149">
        <v>6300</v>
      </c>
      <c r="K149" t="s">
        <v>59</v>
      </c>
      <c r="L149" t="s">
        <v>64</v>
      </c>
      <c r="M149">
        <v>161</v>
      </c>
      <c r="N149">
        <v>77</v>
      </c>
      <c r="O149" t="s">
        <v>60</v>
      </c>
      <c r="P149" t="s">
        <v>59</v>
      </c>
      <c r="Q149">
        <v>164</v>
      </c>
      <c r="R149" t="s">
        <v>34</v>
      </c>
      <c r="S149">
        <v>15.99</v>
      </c>
    </row>
    <row r="150" spans="1:19" x14ac:dyDescent="0.3">
      <c r="A150">
        <f>'Raw Data'!D150-'Raw Data'!C150</f>
        <v>-20</v>
      </c>
      <c r="B150" s="2" t="str">
        <f>_xlfn.IFS('Raw Data'!E150&gt;10,"Premium",'Raw Data'!E150&lt;10,"Basic")</f>
        <v>Premium</v>
      </c>
      <c r="C150">
        <v>11.99</v>
      </c>
      <c r="D150">
        <v>1003</v>
      </c>
      <c r="E150" t="s">
        <v>55</v>
      </c>
      <c r="F150" t="s">
        <v>30</v>
      </c>
      <c r="G150">
        <v>433</v>
      </c>
      <c r="H150" t="s">
        <v>28</v>
      </c>
      <c r="I150">
        <v>2043</v>
      </c>
      <c r="J150">
        <v>1003</v>
      </c>
      <c r="K150" t="s">
        <v>63</v>
      </c>
      <c r="L150" t="s">
        <v>64</v>
      </c>
      <c r="M150">
        <v>350</v>
      </c>
      <c r="N150">
        <v>2</v>
      </c>
      <c r="O150" t="s">
        <v>30</v>
      </c>
      <c r="P150" t="s">
        <v>63</v>
      </c>
      <c r="Q150">
        <v>433</v>
      </c>
      <c r="R150" t="s">
        <v>50</v>
      </c>
      <c r="S150">
        <v>11.99</v>
      </c>
    </row>
    <row r="151" spans="1:19" x14ac:dyDescent="0.3">
      <c r="A151">
        <f>'Raw Data'!D151-'Raw Data'!C151</f>
        <v>321</v>
      </c>
      <c r="B151" s="2" t="str">
        <f>_xlfn.IFS('Raw Data'!E151&gt;10,"Premium",'Raw Data'!E151&lt;10,"Basic")</f>
        <v>Basic</v>
      </c>
      <c r="C151">
        <v>7.99</v>
      </c>
      <c r="D151">
        <v>8238</v>
      </c>
      <c r="E151" t="s">
        <v>62</v>
      </c>
      <c r="F151" t="s">
        <v>60</v>
      </c>
      <c r="G151">
        <v>460</v>
      </c>
      <c r="H151" t="s">
        <v>28</v>
      </c>
      <c r="I151">
        <v>882</v>
      </c>
      <c r="J151">
        <v>8238</v>
      </c>
      <c r="K151" t="s">
        <v>74</v>
      </c>
      <c r="L151" t="s">
        <v>26</v>
      </c>
      <c r="M151">
        <v>26</v>
      </c>
      <c r="N151">
        <v>2</v>
      </c>
      <c r="O151" t="s">
        <v>60</v>
      </c>
      <c r="P151" t="s">
        <v>74</v>
      </c>
      <c r="Q151">
        <v>460</v>
      </c>
      <c r="R151" t="s">
        <v>34</v>
      </c>
      <c r="S151">
        <v>7.99</v>
      </c>
    </row>
    <row r="152" spans="1:19" x14ac:dyDescent="0.3">
      <c r="A152">
        <f>'Raw Data'!D152-'Raw Data'!C152</f>
        <v>710</v>
      </c>
      <c r="B152" s="2" t="str">
        <f>_xlfn.IFS('Raw Data'!E152&gt;10,"Premium",'Raw Data'!E152&lt;10,"Basic")</f>
        <v>Basic</v>
      </c>
      <c r="C152">
        <v>7.99</v>
      </c>
      <c r="D152">
        <v>8261</v>
      </c>
      <c r="E152" t="s">
        <v>62</v>
      </c>
      <c r="F152" t="s">
        <v>36</v>
      </c>
      <c r="G152">
        <v>374</v>
      </c>
      <c r="H152" t="s">
        <v>28</v>
      </c>
      <c r="I152">
        <v>4243</v>
      </c>
      <c r="J152">
        <v>8261</v>
      </c>
      <c r="K152" t="s">
        <v>63</v>
      </c>
      <c r="L152" t="s">
        <v>40</v>
      </c>
      <c r="M152">
        <v>819</v>
      </c>
      <c r="N152">
        <v>18</v>
      </c>
      <c r="O152" t="s">
        <v>36</v>
      </c>
      <c r="P152" t="s">
        <v>63</v>
      </c>
      <c r="Q152">
        <v>374</v>
      </c>
      <c r="R152" t="s">
        <v>27</v>
      </c>
      <c r="S152">
        <v>7.99</v>
      </c>
    </row>
    <row r="153" spans="1:19" x14ac:dyDescent="0.3">
      <c r="A153">
        <f>'Raw Data'!D153-'Raw Data'!C153</f>
        <v>660</v>
      </c>
      <c r="B153" s="2" t="str">
        <f>_xlfn.IFS('Raw Data'!E153&gt;10,"Premium",'Raw Data'!E153&lt;10,"Basic")</f>
        <v>Premium</v>
      </c>
      <c r="C153">
        <v>11.99</v>
      </c>
      <c r="D153">
        <v>7729</v>
      </c>
      <c r="E153" t="s">
        <v>79</v>
      </c>
      <c r="F153" t="s">
        <v>60</v>
      </c>
      <c r="G153">
        <v>147</v>
      </c>
      <c r="H153" t="s">
        <v>28</v>
      </c>
      <c r="I153">
        <v>2218</v>
      </c>
      <c r="J153">
        <v>7729</v>
      </c>
      <c r="K153" t="s">
        <v>63</v>
      </c>
      <c r="L153" t="s">
        <v>26</v>
      </c>
      <c r="M153">
        <v>27</v>
      </c>
      <c r="N153">
        <v>175</v>
      </c>
      <c r="O153" t="s">
        <v>60</v>
      </c>
      <c r="P153" t="s">
        <v>63</v>
      </c>
      <c r="Q153">
        <v>147</v>
      </c>
      <c r="R153" t="s">
        <v>27</v>
      </c>
      <c r="S153">
        <v>11.99</v>
      </c>
    </row>
    <row r="154" spans="1:19" x14ac:dyDescent="0.3">
      <c r="A154">
        <f>'Raw Data'!D154-'Raw Data'!C154</f>
        <v>3</v>
      </c>
      <c r="B154" s="2" t="str">
        <f>_xlfn.IFS('Raw Data'!E154&gt;10,"Premium",'Raw Data'!E154&lt;10,"Basic")</f>
        <v>Premium</v>
      </c>
      <c r="C154">
        <v>11.99</v>
      </c>
      <c r="D154">
        <v>8616</v>
      </c>
      <c r="E154" t="s">
        <v>55</v>
      </c>
      <c r="F154" t="s">
        <v>30</v>
      </c>
      <c r="G154">
        <v>129</v>
      </c>
      <c r="H154" t="s">
        <v>28</v>
      </c>
      <c r="I154">
        <v>97</v>
      </c>
      <c r="J154">
        <v>8616</v>
      </c>
      <c r="K154" t="s">
        <v>44</v>
      </c>
      <c r="L154" t="s">
        <v>40</v>
      </c>
      <c r="M154">
        <v>543</v>
      </c>
      <c r="N154">
        <v>126</v>
      </c>
      <c r="O154" t="s">
        <v>30</v>
      </c>
      <c r="P154" t="s">
        <v>44</v>
      </c>
      <c r="Q154">
        <v>129</v>
      </c>
      <c r="R154" t="s">
        <v>41</v>
      </c>
      <c r="S154">
        <v>11.99</v>
      </c>
    </row>
    <row r="155" spans="1:19" x14ac:dyDescent="0.3">
      <c r="A155">
        <f>'Raw Data'!D155-'Raw Data'!C155</f>
        <v>20</v>
      </c>
      <c r="B155" s="2" t="str">
        <f>_xlfn.IFS('Raw Data'!E155&gt;10,"Premium",'Raw Data'!E155&lt;10,"Basic")</f>
        <v>Premium</v>
      </c>
      <c r="C155">
        <v>15.99</v>
      </c>
      <c r="D155">
        <v>9734</v>
      </c>
      <c r="E155" t="s">
        <v>24</v>
      </c>
      <c r="F155" t="s">
        <v>30</v>
      </c>
      <c r="G155">
        <v>217</v>
      </c>
      <c r="H155" t="s">
        <v>28</v>
      </c>
      <c r="I155">
        <v>4928</v>
      </c>
      <c r="J155">
        <v>9734</v>
      </c>
      <c r="K155" t="s">
        <v>39</v>
      </c>
      <c r="L155" t="s">
        <v>64</v>
      </c>
      <c r="M155">
        <v>872</v>
      </c>
      <c r="N155">
        <v>8</v>
      </c>
      <c r="O155" t="s">
        <v>30</v>
      </c>
      <c r="P155" t="s">
        <v>39</v>
      </c>
      <c r="Q155">
        <v>217</v>
      </c>
      <c r="R155" t="s">
        <v>67</v>
      </c>
      <c r="S155">
        <v>15.99</v>
      </c>
    </row>
    <row r="156" spans="1:19" x14ac:dyDescent="0.3">
      <c r="A156">
        <f>'Raw Data'!D156-'Raw Data'!C156</f>
        <v>557</v>
      </c>
      <c r="B156" s="2" t="str">
        <f>_xlfn.IFS('Raw Data'!E156&gt;10,"Premium",'Raw Data'!E156&lt;10,"Basic")</f>
        <v>Basic</v>
      </c>
      <c r="C156">
        <v>7.99</v>
      </c>
      <c r="D156">
        <v>2086</v>
      </c>
      <c r="E156" t="s">
        <v>33</v>
      </c>
      <c r="F156" t="s">
        <v>68</v>
      </c>
      <c r="G156">
        <v>426</v>
      </c>
      <c r="H156" t="s">
        <v>28</v>
      </c>
      <c r="I156">
        <v>1982</v>
      </c>
      <c r="J156">
        <v>2086</v>
      </c>
      <c r="K156" t="s">
        <v>25</v>
      </c>
      <c r="L156" t="s">
        <v>26</v>
      </c>
      <c r="M156">
        <v>606</v>
      </c>
      <c r="N156">
        <v>135</v>
      </c>
      <c r="O156" t="s">
        <v>68</v>
      </c>
      <c r="P156" t="s">
        <v>25</v>
      </c>
      <c r="Q156">
        <v>426</v>
      </c>
      <c r="R156" t="s">
        <v>34</v>
      </c>
      <c r="S156">
        <v>7.99</v>
      </c>
    </row>
    <row r="157" spans="1:19" x14ac:dyDescent="0.3">
      <c r="A157">
        <f>'Raw Data'!D157-'Raw Data'!C157</f>
        <v>647</v>
      </c>
      <c r="B157" s="2" t="str">
        <f>_xlfn.IFS('Raw Data'!E157&gt;10,"Premium",'Raw Data'!E157&lt;10,"Basic")</f>
        <v>Premium</v>
      </c>
      <c r="C157">
        <v>15.99</v>
      </c>
      <c r="D157">
        <v>8721</v>
      </c>
      <c r="E157" t="s">
        <v>33</v>
      </c>
      <c r="F157" t="s">
        <v>52</v>
      </c>
      <c r="G157">
        <v>81</v>
      </c>
      <c r="H157" t="s">
        <v>28</v>
      </c>
      <c r="I157">
        <v>510</v>
      </c>
      <c r="J157">
        <v>8721</v>
      </c>
      <c r="K157" t="s">
        <v>39</v>
      </c>
      <c r="L157" t="s">
        <v>64</v>
      </c>
      <c r="M157">
        <v>394</v>
      </c>
      <c r="N157">
        <v>168</v>
      </c>
      <c r="O157" t="s">
        <v>52</v>
      </c>
      <c r="P157" t="s">
        <v>39</v>
      </c>
      <c r="Q157">
        <v>81</v>
      </c>
      <c r="R157" t="s">
        <v>41</v>
      </c>
      <c r="S157">
        <v>15.99</v>
      </c>
    </row>
    <row r="158" spans="1:19" x14ac:dyDescent="0.3">
      <c r="A158">
        <f>'Raw Data'!D158-'Raw Data'!C158</f>
        <v>573</v>
      </c>
      <c r="B158" s="2" t="str">
        <f>_xlfn.IFS('Raw Data'!E158&gt;10,"Premium",'Raw Data'!E158&lt;10,"Basic")</f>
        <v>Basic</v>
      </c>
      <c r="C158">
        <v>7.99</v>
      </c>
      <c r="D158">
        <v>1075</v>
      </c>
      <c r="E158" t="s">
        <v>79</v>
      </c>
      <c r="F158" t="s">
        <v>52</v>
      </c>
      <c r="G158">
        <v>296</v>
      </c>
      <c r="H158" t="s">
        <v>28</v>
      </c>
      <c r="I158">
        <v>2508</v>
      </c>
      <c r="J158">
        <v>1075</v>
      </c>
      <c r="K158" t="s">
        <v>25</v>
      </c>
      <c r="L158" t="s">
        <v>64</v>
      </c>
      <c r="M158">
        <v>411</v>
      </c>
      <c r="N158">
        <v>96</v>
      </c>
      <c r="O158" t="s">
        <v>52</v>
      </c>
      <c r="P158" t="s">
        <v>25</v>
      </c>
      <c r="Q158">
        <v>296</v>
      </c>
      <c r="R158" t="s">
        <v>56</v>
      </c>
      <c r="S158">
        <v>7.99</v>
      </c>
    </row>
    <row r="159" spans="1:19" x14ac:dyDescent="0.3">
      <c r="A159">
        <f>'Raw Data'!D159-'Raw Data'!C159</f>
        <v>451</v>
      </c>
      <c r="B159" s="2" t="str">
        <f>_xlfn.IFS('Raw Data'!E159&gt;10,"Premium",'Raw Data'!E159&lt;10,"Basic")</f>
        <v>Premium</v>
      </c>
      <c r="C159">
        <v>15.99</v>
      </c>
      <c r="D159">
        <v>2690</v>
      </c>
      <c r="E159" t="s">
        <v>43</v>
      </c>
      <c r="F159" t="s">
        <v>30</v>
      </c>
      <c r="G159">
        <v>466</v>
      </c>
      <c r="H159" t="s">
        <v>28</v>
      </c>
      <c r="I159">
        <v>4004</v>
      </c>
      <c r="J159">
        <v>2690</v>
      </c>
      <c r="K159" t="s">
        <v>74</v>
      </c>
      <c r="L159" t="s">
        <v>64</v>
      </c>
      <c r="M159">
        <v>977</v>
      </c>
      <c r="N159">
        <v>94</v>
      </c>
      <c r="O159" t="s">
        <v>30</v>
      </c>
      <c r="P159" t="s">
        <v>74</v>
      </c>
      <c r="Q159">
        <v>466</v>
      </c>
      <c r="R159" t="s">
        <v>41</v>
      </c>
      <c r="S159">
        <v>15.99</v>
      </c>
    </row>
    <row r="160" spans="1:19" x14ac:dyDescent="0.3">
      <c r="A160">
        <f>'Raw Data'!D160-'Raw Data'!C160</f>
        <v>344</v>
      </c>
      <c r="B160" s="2" t="str">
        <f>_xlfn.IFS('Raw Data'!E160&gt;10,"Premium",'Raw Data'!E160&lt;10,"Basic")</f>
        <v>Premium</v>
      </c>
      <c r="C160">
        <v>11.99</v>
      </c>
      <c r="D160">
        <v>7654</v>
      </c>
      <c r="E160" t="s">
        <v>55</v>
      </c>
      <c r="F160" t="s">
        <v>36</v>
      </c>
      <c r="G160">
        <v>424</v>
      </c>
      <c r="H160" t="s">
        <v>28</v>
      </c>
      <c r="I160">
        <v>494</v>
      </c>
      <c r="J160">
        <v>7654</v>
      </c>
      <c r="K160" t="s">
        <v>39</v>
      </c>
      <c r="L160" t="s">
        <v>40</v>
      </c>
      <c r="M160">
        <v>406</v>
      </c>
      <c r="N160">
        <v>150</v>
      </c>
      <c r="O160" t="s">
        <v>36</v>
      </c>
      <c r="P160" t="s">
        <v>39</v>
      </c>
      <c r="Q160">
        <v>424</v>
      </c>
      <c r="R160" t="s">
        <v>50</v>
      </c>
      <c r="S160">
        <v>11.99</v>
      </c>
    </row>
    <row r="161" spans="1:19" x14ac:dyDescent="0.3">
      <c r="A161">
        <f>'Raw Data'!D161-'Raw Data'!C161</f>
        <v>47</v>
      </c>
      <c r="B161" s="2" t="str">
        <f>_xlfn.IFS('Raw Data'!E161&gt;10,"Premium",'Raw Data'!E161&lt;10,"Basic")</f>
        <v>Premium</v>
      </c>
      <c r="C161">
        <v>15.99</v>
      </c>
      <c r="D161">
        <v>7577</v>
      </c>
      <c r="E161" t="s">
        <v>43</v>
      </c>
      <c r="F161" t="s">
        <v>60</v>
      </c>
      <c r="G161">
        <v>233</v>
      </c>
      <c r="H161" t="s">
        <v>28</v>
      </c>
      <c r="I161">
        <v>460</v>
      </c>
      <c r="J161">
        <v>7577</v>
      </c>
      <c r="K161" t="s">
        <v>74</v>
      </c>
      <c r="L161" t="s">
        <v>49</v>
      </c>
      <c r="M161">
        <v>781</v>
      </c>
      <c r="N161">
        <v>23</v>
      </c>
      <c r="O161" t="s">
        <v>60</v>
      </c>
      <c r="P161" t="s">
        <v>74</v>
      </c>
      <c r="Q161">
        <v>233</v>
      </c>
      <c r="R161" t="s">
        <v>27</v>
      </c>
      <c r="S161">
        <v>15.99</v>
      </c>
    </row>
    <row r="162" spans="1:19" x14ac:dyDescent="0.3">
      <c r="A162">
        <f>'Raw Data'!D162-'Raw Data'!C162</f>
        <v>108</v>
      </c>
      <c r="B162" s="2" t="str">
        <f>_xlfn.IFS('Raw Data'!E162&gt;10,"Premium",'Raw Data'!E162&lt;10,"Basic")</f>
        <v>Premium</v>
      </c>
      <c r="C162">
        <v>11.99</v>
      </c>
      <c r="D162">
        <v>9814</v>
      </c>
      <c r="E162" t="s">
        <v>62</v>
      </c>
      <c r="F162" t="s">
        <v>60</v>
      </c>
      <c r="G162">
        <v>413</v>
      </c>
      <c r="H162" t="s">
        <v>28</v>
      </c>
      <c r="I162">
        <v>1416</v>
      </c>
      <c r="J162">
        <v>9814</v>
      </c>
      <c r="K162" t="s">
        <v>25</v>
      </c>
      <c r="L162" t="s">
        <v>26</v>
      </c>
      <c r="M162">
        <v>330</v>
      </c>
      <c r="N162">
        <v>63</v>
      </c>
      <c r="O162" t="s">
        <v>60</v>
      </c>
      <c r="P162" t="s">
        <v>25</v>
      </c>
      <c r="Q162">
        <v>413</v>
      </c>
      <c r="R162" t="s">
        <v>67</v>
      </c>
      <c r="S162">
        <v>11.99</v>
      </c>
    </row>
    <row r="163" spans="1:19" x14ac:dyDescent="0.3">
      <c r="A163">
        <f>'Raw Data'!D163-'Raw Data'!C163</f>
        <v>50</v>
      </c>
      <c r="B163" s="2" t="str">
        <f>_xlfn.IFS('Raw Data'!E163&gt;10,"Premium",'Raw Data'!E163&lt;10,"Basic")</f>
        <v>Basic</v>
      </c>
      <c r="C163">
        <v>7.99</v>
      </c>
      <c r="D163">
        <v>5423</v>
      </c>
      <c r="E163" t="s">
        <v>24</v>
      </c>
      <c r="F163" t="s">
        <v>60</v>
      </c>
      <c r="G163">
        <v>278</v>
      </c>
      <c r="H163" t="s">
        <v>28</v>
      </c>
      <c r="I163">
        <v>4798</v>
      </c>
      <c r="J163">
        <v>5423</v>
      </c>
      <c r="K163" t="s">
        <v>59</v>
      </c>
      <c r="L163" t="s">
        <v>26</v>
      </c>
      <c r="M163">
        <v>163</v>
      </c>
      <c r="N163">
        <v>88</v>
      </c>
      <c r="O163" t="s">
        <v>60</v>
      </c>
      <c r="P163" t="s">
        <v>59</v>
      </c>
      <c r="Q163">
        <v>278</v>
      </c>
      <c r="R163" t="s">
        <v>41</v>
      </c>
      <c r="S163">
        <v>7.99</v>
      </c>
    </row>
    <row r="164" spans="1:19" x14ac:dyDescent="0.3">
      <c r="A164">
        <f>'Raw Data'!D164-'Raw Data'!C164</f>
        <v>705</v>
      </c>
      <c r="B164" s="2" t="str">
        <f>_xlfn.IFS('Raw Data'!E164&gt;10,"Premium",'Raw Data'!E164&lt;10,"Basic")</f>
        <v>Premium</v>
      </c>
      <c r="C164">
        <v>11.99</v>
      </c>
      <c r="D164">
        <v>2660</v>
      </c>
      <c r="E164" t="s">
        <v>55</v>
      </c>
      <c r="F164" t="s">
        <v>30</v>
      </c>
      <c r="G164">
        <v>351</v>
      </c>
      <c r="H164" t="s">
        <v>28</v>
      </c>
      <c r="I164">
        <v>732</v>
      </c>
      <c r="J164">
        <v>2660</v>
      </c>
      <c r="K164" t="s">
        <v>25</v>
      </c>
      <c r="L164" t="s">
        <v>49</v>
      </c>
      <c r="M164">
        <v>80</v>
      </c>
      <c r="N164">
        <v>70</v>
      </c>
      <c r="O164" t="s">
        <v>30</v>
      </c>
      <c r="P164" t="s">
        <v>25</v>
      </c>
      <c r="Q164">
        <v>351</v>
      </c>
      <c r="R164" t="s">
        <v>34</v>
      </c>
      <c r="S164">
        <v>11.99</v>
      </c>
    </row>
    <row r="165" spans="1:19" x14ac:dyDescent="0.3">
      <c r="A165">
        <f>'Raw Data'!D165-'Raw Data'!C165</f>
        <v>246</v>
      </c>
      <c r="B165" s="2" t="str">
        <f>_xlfn.IFS('Raw Data'!E165&gt;10,"Premium",'Raw Data'!E165&lt;10,"Basic")</f>
        <v>Premium</v>
      </c>
      <c r="C165">
        <v>11.99</v>
      </c>
      <c r="D165">
        <v>4206</v>
      </c>
      <c r="E165" t="s">
        <v>79</v>
      </c>
      <c r="F165" t="s">
        <v>52</v>
      </c>
      <c r="G165">
        <v>354</v>
      </c>
      <c r="H165" t="s">
        <v>28</v>
      </c>
      <c r="I165">
        <v>4008</v>
      </c>
      <c r="J165">
        <v>4206</v>
      </c>
      <c r="K165" t="s">
        <v>44</v>
      </c>
      <c r="L165" t="s">
        <v>49</v>
      </c>
      <c r="M165">
        <v>885</v>
      </c>
      <c r="N165">
        <v>65</v>
      </c>
      <c r="O165" t="s">
        <v>52</v>
      </c>
      <c r="P165" t="s">
        <v>44</v>
      </c>
      <c r="Q165">
        <v>354</v>
      </c>
      <c r="R165" t="s">
        <v>56</v>
      </c>
      <c r="S165">
        <v>11.99</v>
      </c>
    </row>
    <row r="166" spans="1:19" x14ac:dyDescent="0.3">
      <c r="A166">
        <f>'Raw Data'!D166-'Raw Data'!C166</f>
        <v>639</v>
      </c>
      <c r="B166" s="2" t="str">
        <f>_xlfn.IFS('Raw Data'!E166&gt;10,"Premium",'Raw Data'!E166&lt;10,"Basic")</f>
        <v>Premium</v>
      </c>
      <c r="C166">
        <v>11.99</v>
      </c>
      <c r="D166">
        <v>5269</v>
      </c>
      <c r="E166" t="s">
        <v>62</v>
      </c>
      <c r="F166" t="s">
        <v>60</v>
      </c>
      <c r="G166">
        <v>192</v>
      </c>
      <c r="H166" t="s">
        <v>28</v>
      </c>
      <c r="I166">
        <v>4868</v>
      </c>
      <c r="J166">
        <v>5269</v>
      </c>
      <c r="K166" t="s">
        <v>48</v>
      </c>
      <c r="L166" t="s">
        <v>64</v>
      </c>
      <c r="M166">
        <v>123</v>
      </c>
      <c r="N166">
        <v>34</v>
      </c>
      <c r="O166" t="s">
        <v>60</v>
      </c>
      <c r="P166" t="s">
        <v>48</v>
      </c>
      <c r="Q166">
        <v>192</v>
      </c>
      <c r="R166" t="s">
        <v>56</v>
      </c>
      <c r="S166">
        <v>11.99</v>
      </c>
    </row>
    <row r="167" spans="1:19" x14ac:dyDescent="0.3">
      <c r="A167">
        <f>'Raw Data'!D167-'Raw Data'!C167</f>
        <v>668</v>
      </c>
      <c r="B167" s="2" t="str">
        <f>_xlfn.IFS('Raw Data'!E167&gt;10,"Premium",'Raw Data'!E167&lt;10,"Basic")</f>
        <v>Basic</v>
      </c>
      <c r="C167">
        <v>7.99</v>
      </c>
      <c r="D167">
        <v>7922</v>
      </c>
      <c r="E167" t="s">
        <v>46</v>
      </c>
      <c r="F167" t="s">
        <v>30</v>
      </c>
      <c r="G167">
        <v>176</v>
      </c>
      <c r="H167" t="s">
        <v>28</v>
      </c>
      <c r="I167">
        <v>2600</v>
      </c>
      <c r="J167">
        <v>7922</v>
      </c>
      <c r="K167" t="s">
        <v>44</v>
      </c>
      <c r="L167" t="s">
        <v>26</v>
      </c>
      <c r="M167">
        <v>830</v>
      </c>
      <c r="N167">
        <v>74</v>
      </c>
      <c r="O167" t="s">
        <v>30</v>
      </c>
      <c r="P167" t="s">
        <v>44</v>
      </c>
      <c r="Q167">
        <v>176</v>
      </c>
      <c r="R167" t="s">
        <v>34</v>
      </c>
      <c r="S167">
        <v>7.99</v>
      </c>
    </row>
    <row r="168" spans="1:19" x14ac:dyDescent="0.3">
      <c r="A168">
        <f>'Raw Data'!D168-'Raw Data'!C168</f>
        <v>427</v>
      </c>
      <c r="B168" s="2" t="str">
        <f>_xlfn.IFS('Raw Data'!E168&gt;10,"Premium",'Raw Data'!E168&lt;10,"Basic")</f>
        <v>Basic</v>
      </c>
      <c r="C168">
        <v>7.99</v>
      </c>
      <c r="D168">
        <v>7829</v>
      </c>
      <c r="E168" t="s">
        <v>62</v>
      </c>
      <c r="F168" t="s">
        <v>36</v>
      </c>
      <c r="G168">
        <v>482</v>
      </c>
      <c r="H168" t="s">
        <v>28</v>
      </c>
      <c r="I168">
        <v>3247</v>
      </c>
      <c r="J168">
        <v>7829</v>
      </c>
      <c r="K168" t="s">
        <v>39</v>
      </c>
      <c r="L168" t="s">
        <v>26</v>
      </c>
      <c r="M168">
        <v>770</v>
      </c>
      <c r="N168">
        <v>129</v>
      </c>
      <c r="O168" t="s">
        <v>36</v>
      </c>
      <c r="P168" t="s">
        <v>39</v>
      </c>
      <c r="Q168">
        <v>482</v>
      </c>
      <c r="R168" t="s">
        <v>41</v>
      </c>
      <c r="S168">
        <v>7.99</v>
      </c>
    </row>
    <row r="169" spans="1:19" x14ac:dyDescent="0.3">
      <c r="A169">
        <f>'Raw Data'!D169-'Raw Data'!C169</f>
        <v>170</v>
      </c>
      <c r="B169" s="2" t="str">
        <f>_xlfn.IFS('Raw Data'!E169&gt;10,"Premium",'Raw Data'!E169&lt;10,"Basic")</f>
        <v>Basic</v>
      </c>
      <c r="C169">
        <v>7.99</v>
      </c>
      <c r="D169">
        <v>1715</v>
      </c>
      <c r="E169" t="s">
        <v>33</v>
      </c>
      <c r="F169" t="s">
        <v>52</v>
      </c>
      <c r="G169">
        <v>87</v>
      </c>
      <c r="H169" t="s">
        <v>28</v>
      </c>
      <c r="I169">
        <v>941</v>
      </c>
      <c r="J169">
        <v>1715</v>
      </c>
      <c r="K169" t="s">
        <v>44</v>
      </c>
      <c r="L169" t="s">
        <v>40</v>
      </c>
      <c r="M169">
        <v>753</v>
      </c>
      <c r="N169">
        <v>181</v>
      </c>
      <c r="O169" t="s">
        <v>52</v>
      </c>
      <c r="P169" t="s">
        <v>44</v>
      </c>
      <c r="Q169">
        <v>87</v>
      </c>
      <c r="R169" t="s">
        <v>27</v>
      </c>
      <c r="S169">
        <v>7.99</v>
      </c>
    </row>
    <row r="170" spans="1:19" x14ac:dyDescent="0.3">
      <c r="A170">
        <f>'Raw Data'!D170-'Raw Data'!C170</f>
        <v>172</v>
      </c>
      <c r="B170" s="2" t="str">
        <f>_xlfn.IFS('Raw Data'!E170&gt;10,"Premium",'Raw Data'!E170&lt;10,"Basic")</f>
        <v>Premium</v>
      </c>
      <c r="C170">
        <v>11.99</v>
      </c>
      <c r="D170">
        <v>2639</v>
      </c>
      <c r="E170" t="s">
        <v>33</v>
      </c>
      <c r="F170" t="s">
        <v>30</v>
      </c>
      <c r="G170">
        <v>163</v>
      </c>
      <c r="H170" t="s">
        <v>28</v>
      </c>
      <c r="I170">
        <v>1934</v>
      </c>
      <c r="J170">
        <v>2639</v>
      </c>
      <c r="K170" t="s">
        <v>59</v>
      </c>
      <c r="L170" t="s">
        <v>40</v>
      </c>
      <c r="M170">
        <v>38</v>
      </c>
      <c r="N170">
        <v>53</v>
      </c>
      <c r="O170" t="s">
        <v>30</v>
      </c>
      <c r="P170" t="s">
        <v>59</v>
      </c>
      <c r="Q170">
        <v>163</v>
      </c>
      <c r="R170" t="s">
        <v>56</v>
      </c>
      <c r="S170">
        <v>11.99</v>
      </c>
    </row>
    <row r="171" spans="1:19" x14ac:dyDescent="0.3">
      <c r="A171">
        <f>'Raw Data'!D171-'Raw Data'!C171</f>
        <v>334</v>
      </c>
      <c r="B171" s="2" t="str">
        <f>_xlfn.IFS('Raw Data'!E171&gt;10,"Premium",'Raw Data'!E171&lt;10,"Basic")</f>
        <v>Premium</v>
      </c>
      <c r="C171">
        <v>11.99</v>
      </c>
      <c r="D171">
        <v>1801</v>
      </c>
      <c r="E171" t="s">
        <v>55</v>
      </c>
      <c r="F171" t="s">
        <v>60</v>
      </c>
      <c r="G171">
        <v>419</v>
      </c>
      <c r="H171" t="s">
        <v>28</v>
      </c>
      <c r="I171">
        <v>4650</v>
      </c>
      <c r="J171">
        <v>1801</v>
      </c>
      <c r="K171" t="s">
        <v>63</v>
      </c>
      <c r="L171" t="s">
        <v>49</v>
      </c>
      <c r="M171">
        <v>386</v>
      </c>
      <c r="N171">
        <v>122</v>
      </c>
      <c r="O171" t="s">
        <v>60</v>
      </c>
      <c r="P171" t="s">
        <v>63</v>
      </c>
      <c r="Q171">
        <v>419</v>
      </c>
      <c r="R171" t="s">
        <v>34</v>
      </c>
      <c r="S171">
        <v>11.99</v>
      </c>
    </row>
    <row r="172" spans="1:19" x14ac:dyDescent="0.3">
      <c r="A172">
        <f>'Raw Data'!D172-'Raw Data'!C172</f>
        <v>603</v>
      </c>
      <c r="B172" s="2" t="str">
        <f>_xlfn.IFS('Raw Data'!E172&gt;10,"Premium",'Raw Data'!E172&lt;10,"Basic")</f>
        <v>Premium</v>
      </c>
      <c r="C172">
        <v>11.99</v>
      </c>
      <c r="D172">
        <v>9163</v>
      </c>
      <c r="E172" t="s">
        <v>43</v>
      </c>
      <c r="F172" t="s">
        <v>30</v>
      </c>
      <c r="G172">
        <v>203</v>
      </c>
      <c r="H172" t="s">
        <v>28</v>
      </c>
      <c r="I172">
        <v>4450</v>
      </c>
      <c r="J172">
        <v>9163</v>
      </c>
      <c r="K172" t="s">
        <v>48</v>
      </c>
      <c r="L172" t="s">
        <v>40</v>
      </c>
      <c r="M172">
        <v>874</v>
      </c>
      <c r="N172">
        <v>67</v>
      </c>
      <c r="O172" t="s">
        <v>30</v>
      </c>
      <c r="P172" t="s">
        <v>48</v>
      </c>
      <c r="Q172">
        <v>203</v>
      </c>
      <c r="R172" t="s">
        <v>67</v>
      </c>
      <c r="S172">
        <v>11.99</v>
      </c>
    </row>
    <row r="173" spans="1:19" x14ac:dyDescent="0.3">
      <c r="A173">
        <f>'Raw Data'!D173-'Raw Data'!C173</f>
        <v>-3</v>
      </c>
      <c r="B173" s="2" t="str">
        <f>_xlfn.IFS('Raw Data'!E173&gt;10,"Premium",'Raw Data'!E173&lt;10,"Basic")</f>
        <v>Basic</v>
      </c>
      <c r="C173">
        <v>7.99</v>
      </c>
      <c r="D173">
        <v>1284</v>
      </c>
      <c r="E173" t="s">
        <v>62</v>
      </c>
      <c r="F173" t="s">
        <v>36</v>
      </c>
      <c r="G173">
        <v>405</v>
      </c>
      <c r="H173" t="s">
        <v>28</v>
      </c>
      <c r="I173">
        <v>2395</v>
      </c>
      <c r="J173">
        <v>1284</v>
      </c>
      <c r="K173" t="s">
        <v>59</v>
      </c>
      <c r="L173" t="s">
        <v>49</v>
      </c>
      <c r="M173">
        <v>695</v>
      </c>
      <c r="N173">
        <v>85</v>
      </c>
      <c r="O173" t="s">
        <v>36</v>
      </c>
      <c r="P173" t="s">
        <v>59</v>
      </c>
      <c r="Q173">
        <v>405</v>
      </c>
      <c r="R173" t="s">
        <v>67</v>
      </c>
      <c r="S173">
        <v>7.99</v>
      </c>
    </row>
    <row r="174" spans="1:19" x14ac:dyDescent="0.3">
      <c r="A174">
        <f>'Raw Data'!D174-'Raw Data'!C174</f>
        <v>401</v>
      </c>
      <c r="B174" s="2" t="str">
        <f>_xlfn.IFS('Raw Data'!E174&gt;10,"Premium",'Raw Data'!E174&lt;10,"Basic")</f>
        <v>Premium</v>
      </c>
      <c r="C174">
        <v>15.99</v>
      </c>
      <c r="D174">
        <v>8774</v>
      </c>
      <c r="E174" t="s">
        <v>62</v>
      </c>
      <c r="F174" t="s">
        <v>60</v>
      </c>
      <c r="G174">
        <v>496</v>
      </c>
      <c r="H174" t="s">
        <v>28</v>
      </c>
      <c r="I174">
        <v>4504</v>
      </c>
      <c r="J174">
        <v>8774</v>
      </c>
      <c r="K174" t="s">
        <v>25</v>
      </c>
      <c r="L174" t="s">
        <v>64</v>
      </c>
      <c r="M174">
        <v>803</v>
      </c>
      <c r="N174">
        <v>130</v>
      </c>
      <c r="O174" t="s">
        <v>60</v>
      </c>
      <c r="P174" t="s">
        <v>25</v>
      </c>
      <c r="Q174">
        <v>496</v>
      </c>
      <c r="R174" t="s">
        <v>67</v>
      </c>
      <c r="S174">
        <v>15.99</v>
      </c>
    </row>
    <row r="175" spans="1:19" x14ac:dyDescent="0.3">
      <c r="A175">
        <f>'Raw Data'!D175-'Raw Data'!C175</f>
        <v>301</v>
      </c>
      <c r="B175" s="2" t="str">
        <f>_xlfn.IFS('Raw Data'!E175&gt;10,"Premium",'Raw Data'!E175&lt;10,"Basic")</f>
        <v>Premium</v>
      </c>
      <c r="C175">
        <v>15.99</v>
      </c>
      <c r="D175">
        <v>3866</v>
      </c>
      <c r="E175" t="s">
        <v>43</v>
      </c>
      <c r="F175" t="s">
        <v>52</v>
      </c>
      <c r="G175">
        <v>328</v>
      </c>
      <c r="H175" t="s">
        <v>28</v>
      </c>
      <c r="I175">
        <v>3015</v>
      </c>
      <c r="J175">
        <v>3866</v>
      </c>
      <c r="K175" t="s">
        <v>63</v>
      </c>
      <c r="L175" t="s">
        <v>40</v>
      </c>
      <c r="M175">
        <v>268</v>
      </c>
      <c r="N175">
        <v>50</v>
      </c>
      <c r="O175" t="s">
        <v>52</v>
      </c>
      <c r="P175" t="s">
        <v>63</v>
      </c>
      <c r="Q175">
        <v>328</v>
      </c>
      <c r="R175" t="s">
        <v>41</v>
      </c>
      <c r="S175">
        <v>15.99</v>
      </c>
    </row>
    <row r="176" spans="1:19" x14ac:dyDescent="0.3">
      <c r="A176">
        <f>'Raw Data'!D176-'Raw Data'!C176</f>
        <v>209</v>
      </c>
      <c r="B176" s="2" t="str">
        <f>_xlfn.IFS('Raw Data'!E176&gt;10,"Premium",'Raw Data'!E176&lt;10,"Basic")</f>
        <v>Basic</v>
      </c>
      <c r="C176">
        <v>7.99</v>
      </c>
      <c r="D176">
        <v>4477</v>
      </c>
      <c r="E176" t="s">
        <v>33</v>
      </c>
      <c r="F176" t="s">
        <v>60</v>
      </c>
      <c r="G176">
        <v>85</v>
      </c>
      <c r="H176" t="s">
        <v>28</v>
      </c>
      <c r="I176">
        <v>4971</v>
      </c>
      <c r="J176">
        <v>4477</v>
      </c>
      <c r="K176" t="s">
        <v>44</v>
      </c>
      <c r="L176" t="s">
        <v>26</v>
      </c>
      <c r="M176">
        <v>429</v>
      </c>
      <c r="N176">
        <v>52</v>
      </c>
      <c r="O176" t="s">
        <v>60</v>
      </c>
      <c r="P176" t="s">
        <v>44</v>
      </c>
      <c r="Q176">
        <v>85</v>
      </c>
      <c r="R176" t="s">
        <v>34</v>
      </c>
      <c r="S176">
        <v>7.99</v>
      </c>
    </row>
    <row r="177" spans="1:19" x14ac:dyDescent="0.3">
      <c r="A177">
        <f>'Raw Data'!D177-'Raw Data'!C177</f>
        <v>87</v>
      </c>
      <c r="B177" s="2" t="str">
        <f>_xlfn.IFS('Raw Data'!E177&gt;10,"Premium",'Raw Data'!E177&lt;10,"Basic")</f>
        <v>Premium</v>
      </c>
      <c r="C177">
        <v>11.99</v>
      </c>
      <c r="D177">
        <v>4829</v>
      </c>
      <c r="E177" t="s">
        <v>43</v>
      </c>
      <c r="F177" t="s">
        <v>30</v>
      </c>
      <c r="G177">
        <v>386</v>
      </c>
      <c r="H177" t="s">
        <v>28</v>
      </c>
      <c r="I177">
        <v>2377</v>
      </c>
      <c r="J177">
        <v>4829</v>
      </c>
      <c r="K177" t="s">
        <v>63</v>
      </c>
      <c r="L177" t="s">
        <v>49</v>
      </c>
      <c r="M177">
        <v>62</v>
      </c>
      <c r="N177">
        <v>50</v>
      </c>
      <c r="O177" t="s">
        <v>30</v>
      </c>
      <c r="P177" t="s">
        <v>63</v>
      </c>
      <c r="Q177">
        <v>386</v>
      </c>
      <c r="R177" t="s">
        <v>27</v>
      </c>
      <c r="S177">
        <v>11.99</v>
      </c>
    </row>
    <row r="178" spans="1:19" x14ac:dyDescent="0.3">
      <c r="A178">
        <f>'Raw Data'!D178-'Raw Data'!C178</f>
        <v>669</v>
      </c>
      <c r="B178" s="2" t="str">
        <f>_xlfn.IFS('Raw Data'!E178&gt;10,"Premium",'Raw Data'!E178&lt;10,"Basic")</f>
        <v>Basic</v>
      </c>
      <c r="C178">
        <v>7.99</v>
      </c>
      <c r="D178">
        <v>1257</v>
      </c>
      <c r="E178" t="s">
        <v>24</v>
      </c>
      <c r="F178" t="s">
        <v>60</v>
      </c>
      <c r="G178">
        <v>245</v>
      </c>
      <c r="H178" t="s">
        <v>28</v>
      </c>
      <c r="I178">
        <v>212</v>
      </c>
      <c r="J178">
        <v>1257</v>
      </c>
      <c r="K178" t="s">
        <v>39</v>
      </c>
      <c r="L178" t="s">
        <v>26</v>
      </c>
      <c r="M178">
        <v>831</v>
      </c>
      <c r="N178">
        <v>15</v>
      </c>
      <c r="O178" t="s">
        <v>60</v>
      </c>
      <c r="P178" t="s">
        <v>39</v>
      </c>
      <c r="Q178">
        <v>245</v>
      </c>
      <c r="R178" t="s">
        <v>34</v>
      </c>
      <c r="S178">
        <v>7.99</v>
      </c>
    </row>
    <row r="179" spans="1:19" x14ac:dyDescent="0.3">
      <c r="A179">
        <f>'Raw Data'!D179-'Raw Data'!C179</f>
        <v>638</v>
      </c>
      <c r="B179" s="2" t="str">
        <f>_xlfn.IFS('Raw Data'!E179&gt;10,"Premium",'Raw Data'!E179&lt;10,"Basic")</f>
        <v>Premium</v>
      </c>
      <c r="C179">
        <v>11.99</v>
      </c>
      <c r="D179">
        <v>1897</v>
      </c>
      <c r="E179" t="s">
        <v>55</v>
      </c>
      <c r="F179" t="s">
        <v>68</v>
      </c>
      <c r="G179">
        <v>97</v>
      </c>
      <c r="H179" t="s">
        <v>28</v>
      </c>
      <c r="I179">
        <v>188</v>
      </c>
      <c r="J179">
        <v>1897</v>
      </c>
      <c r="K179" t="s">
        <v>48</v>
      </c>
      <c r="L179" t="s">
        <v>26</v>
      </c>
      <c r="M179">
        <v>737</v>
      </c>
      <c r="N179">
        <v>85</v>
      </c>
      <c r="O179" t="s">
        <v>68</v>
      </c>
      <c r="P179" t="s">
        <v>48</v>
      </c>
      <c r="Q179">
        <v>97</v>
      </c>
      <c r="R179" t="s">
        <v>67</v>
      </c>
      <c r="S179">
        <v>11.99</v>
      </c>
    </row>
    <row r="180" spans="1:19" x14ac:dyDescent="0.3">
      <c r="A180">
        <f>'Raw Data'!D180-'Raw Data'!C180</f>
        <v>596</v>
      </c>
      <c r="B180" s="2" t="str">
        <f>_xlfn.IFS('Raw Data'!E180&gt;10,"Premium",'Raw Data'!E180&lt;10,"Basic")</f>
        <v>Basic</v>
      </c>
      <c r="C180">
        <v>7.99</v>
      </c>
      <c r="D180">
        <v>3603</v>
      </c>
      <c r="E180" t="s">
        <v>46</v>
      </c>
      <c r="F180" t="s">
        <v>68</v>
      </c>
      <c r="G180">
        <v>216</v>
      </c>
      <c r="H180" t="s">
        <v>28</v>
      </c>
      <c r="I180">
        <v>4435</v>
      </c>
      <c r="J180">
        <v>3603</v>
      </c>
      <c r="K180" t="s">
        <v>25</v>
      </c>
      <c r="L180" t="s">
        <v>49</v>
      </c>
      <c r="M180">
        <v>923</v>
      </c>
      <c r="N180">
        <v>143</v>
      </c>
      <c r="O180" t="s">
        <v>68</v>
      </c>
      <c r="P180" t="s">
        <v>25</v>
      </c>
      <c r="Q180">
        <v>216</v>
      </c>
      <c r="R180" t="s">
        <v>41</v>
      </c>
      <c r="S180">
        <v>7.99</v>
      </c>
    </row>
    <row r="181" spans="1:19" x14ac:dyDescent="0.3">
      <c r="A181">
        <f>'Raw Data'!D181-'Raw Data'!C181</f>
        <v>654</v>
      </c>
      <c r="B181" s="2" t="str">
        <f>_xlfn.IFS('Raw Data'!E181&gt;10,"Premium",'Raw Data'!E181&lt;10,"Basic")</f>
        <v>Basic</v>
      </c>
      <c r="C181">
        <v>7.99</v>
      </c>
      <c r="D181">
        <v>9256</v>
      </c>
      <c r="E181" t="s">
        <v>79</v>
      </c>
      <c r="F181" t="s">
        <v>36</v>
      </c>
      <c r="G181">
        <v>331</v>
      </c>
      <c r="H181" t="s">
        <v>28</v>
      </c>
      <c r="I181">
        <v>1454</v>
      </c>
      <c r="J181">
        <v>9256</v>
      </c>
      <c r="K181" t="s">
        <v>74</v>
      </c>
      <c r="L181" t="s">
        <v>49</v>
      </c>
      <c r="M181">
        <v>85</v>
      </c>
      <c r="N181">
        <v>117</v>
      </c>
      <c r="O181" t="s">
        <v>36</v>
      </c>
      <c r="P181" t="s">
        <v>74</v>
      </c>
      <c r="Q181">
        <v>331</v>
      </c>
      <c r="R181" t="s">
        <v>67</v>
      </c>
      <c r="S181">
        <v>7.99</v>
      </c>
    </row>
    <row r="182" spans="1:19" x14ac:dyDescent="0.3">
      <c r="A182">
        <f>'Raw Data'!D182-'Raw Data'!C182</f>
        <v>534</v>
      </c>
      <c r="B182" s="2" t="str">
        <f>_xlfn.IFS('Raw Data'!E182&gt;10,"Premium",'Raw Data'!E182&lt;10,"Basic")</f>
        <v>Premium</v>
      </c>
      <c r="C182">
        <v>11.99</v>
      </c>
      <c r="D182">
        <v>9469</v>
      </c>
      <c r="E182" t="s">
        <v>43</v>
      </c>
      <c r="F182" t="s">
        <v>60</v>
      </c>
      <c r="G182">
        <v>451</v>
      </c>
      <c r="H182" t="s">
        <v>28</v>
      </c>
      <c r="I182">
        <v>2841</v>
      </c>
      <c r="J182">
        <v>9469</v>
      </c>
      <c r="K182" t="s">
        <v>63</v>
      </c>
      <c r="L182" t="s">
        <v>49</v>
      </c>
      <c r="M182">
        <v>59</v>
      </c>
      <c r="N182">
        <v>38</v>
      </c>
      <c r="O182" t="s">
        <v>60</v>
      </c>
      <c r="P182" t="s">
        <v>63</v>
      </c>
      <c r="Q182">
        <v>451</v>
      </c>
      <c r="R182" t="s">
        <v>34</v>
      </c>
      <c r="S182">
        <v>11.99</v>
      </c>
    </row>
    <row r="183" spans="1:19" x14ac:dyDescent="0.3">
      <c r="A183">
        <f>'Raw Data'!D183-'Raw Data'!C183</f>
        <v>209</v>
      </c>
      <c r="B183" s="2" t="str">
        <f>_xlfn.IFS('Raw Data'!E183&gt;10,"Premium",'Raw Data'!E183&lt;10,"Basic")</f>
        <v>Basic</v>
      </c>
      <c r="C183">
        <v>7.99</v>
      </c>
      <c r="D183">
        <v>7136</v>
      </c>
      <c r="E183" t="s">
        <v>24</v>
      </c>
      <c r="F183" t="s">
        <v>36</v>
      </c>
      <c r="G183">
        <v>326</v>
      </c>
      <c r="H183" t="s">
        <v>28</v>
      </c>
      <c r="I183">
        <v>1626</v>
      </c>
      <c r="J183">
        <v>7136</v>
      </c>
      <c r="K183" t="s">
        <v>74</v>
      </c>
      <c r="L183" t="s">
        <v>26</v>
      </c>
      <c r="M183">
        <v>590</v>
      </c>
      <c r="N183">
        <v>105</v>
      </c>
      <c r="O183" t="s">
        <v>36</v>
      </c>
      <c r="P183" t="s">
        <v>74</v>
      </c>
      <c r="Q183">
        <v>326</v>
      </c>
      <c r="R183" t="s">
        <v>27</v>
      </c>
      <c r="S183">
        <v>7.99</v>
      </c>
    </row>
    <row r="184" spans="1:19" x14ac:dyDescent="0.3">
      <c r="A184">
        <f>'Raw Data'!D184-'Raw Data'!C184</f>
        <v>298</v>
      </c>
      <c r="B184" s="2" t="str">
        <f>_xlfn.IFS('Raw Data'!E184&gt;10,"Premium",'Raw Data'!E184&lt;10,"Basic")</f>
        <v>Premium</v>
      </c>
      <c r="C184">
        <v>15.99</v>
      </c>
      <c r="D184">
        <v>2321</v>
      </c>
      <c r="E184" t="s">
        <v>33</v>
      </c>
      <c r="F184" t="s">
        <v>30</v>
      </c>
      <c r="G184">
        <v>358</v>
      </c>
      <c r="H184" t="s">
        <v>28</v>
      </c>
      <c r="I184">
        <v>111</v>
      </c>
      <c r="J184">
        <v>2321</v>
      </c>
      <c r="K184" t="s">
        <v>74</v>
      </c>
      <c r="L184" t="s">
        <v>40</v>
      </c>
      <c r="M184">
        <v>348</v>
      </c>
      <c r="N184">
        <v>49</v>
      </c>
      <c r="O184" t="s">
        <v>30</v>
      </c>
      <c r="P184" t="s">
        <v>74</v>
      </c>
      <c r="Q184">
        <v>358</v>
      </c>
      <c r="R184" t="s">
        <v>27</v>
      </c>
      <c r="S184">
        <v>15.99</v>
      </c>
    </row>
    <row r="185" spans="1:19" x14ac:dyDescent="0.3">
      <c r="A185">
        <f>'Raw Data'!D185-'Raw Data'!C185</f>
        <v>627</v>
      </c>
      <c r="B185" s="2" t="str">
        <f>_xlfn.IFS('Raw Data'!E185&gt;10,"Premium",'Raw Data'!E185&lt;10,"Basic")</f>
        <v>Premium</v>
      </c>
      <c r="C185">
        <v>15.99</v>
      </c>
      <c r="D185">
        <v>4243</v>
      </c>
      <c r="E185" t="s">
        <v>24</v>
      </c>
      <c r="F185" t="s">
        <v>68</v>
      </c>
      <c r="G185">
        <v>91</v>
      </c>
      <c r="H185" t="s">
        <v>28</v>
      </c>
      <c r="I185">
        <v>450</v>
      </c>
      <c r="J185">
        <v>4243</v>
      </c>
      <c r="K185" t="s">
        <v>39</v>
      </c>
      <c r="L185" t="s">
        <v>64</v>
      </c>
      <c r="M185">
        <v>561</v>
      </c>
      <c r="N185">
        <v>153</v>
      </c>
      <c r="O185" t="s">
        <v>68</v>
      </c>
      <c r="P185" t="s">
        <v>39</v>
      </c>
      <c r="Q185">
        <v>91</v>
      </c>
      <c r="R185" t="s">
        <v>56</v>
      </c>
      <c r="S185">
        <v>15.99</v>
      </c>
    </row>
    <row r="186" spans="1:19" x14ac:dyDescent="0.3">
      <c r="A186">
        <f>'Raw Data'!D186-'Raw Data'!C186</f>
        <v>417</v>
      </c>
      <c r="B186" s="2" t="str">
        <f>_xlfn.IFS('Raw Data'!E186&gt;10,"Premium",'Raw Data'!E186&lt;10,"Basic")</f>
        <v>Basic</v>
      </c>
      <c r="C186">
        <v>7.99</v>
      </c>
      <c r="D186">
        <v>8015</v>
      </c>
      <c r="E186" t="s">
        <v>24</v>
      </c>
      <c r="F186" t="s">
        <v>30</v>
      </c>
      <c r="G186">
        <v>478</v>
      </c>
      <c r="H186" t="s">
        <v>28</v>
      </c>
      <c r="I186">
        <v>3325</v>
      </c>
      <c r="J186">
        <v>8015</v>
      </c>
      <c r="K186" t="s">
        <v>44</v>
      </c>
      <c r="L186" t="s">
        <v>40</v>
      </c>
      <c r="M186">
        <v>214</v>
      </c>
      <c r="N186">
        <v>191</v>
      </c>
      <c r="O186" t="s">
        <v>30</v>
      </c>
      <c r="P186" t="s">
        <v>44</v>
      </c>
      <c r="Q186">
        <v>478</v>
      </c>
      <c r="R186" t="s">
        <v>50</v>
      </c>
      <c r="S186">
        <v>7.99</v>
      </c>
    </row>
    <row r="187" spans="1:19" x14ac:dyDescent="0.3">
      <c r="A187">
        <f>'Raw Data'!D187-'Raw Data'!C187</f>
        <v>636</v>
      </c>
      <c r="B187" s="2" t="str">
        <f>_xlfn.IFS('Raw Data'!E187&gt;10,"Premium",'Raw Data'!E187&lt;10,"Basic")</f>
        <v>Basic</v>
      </c>
      <c r="C187">
        <v>7.99</v>
      </c>
      <c r="D187">
        <v>3440</v>
      </c>
      <c r="E187" t="s">
        <v>46</v>
      </c>
      <c r="F187" t="s">
        <v>52</v>
      </c>
      <c r="G187">
        <v>16</v>
      </c>
      <c r="H187" t="s">
        <v>28</v>
      </c>
      <c r="I187">
        <v>3059</v>
      </c>
      <c r="J187">
        <v>3440</v>
      </c>
      <c r="K187" t="s">
        <v>74</v>
      </c>
      <c r="L187" t="s">
        <v>26</v>
      </c>
      <c r="M187">
        <v>964</v>
      </c>
      <c r="N187">
        <v>111</v>
      </c>
      <c r="O187" t="s">
        <v>52</v>
      </c>
      <c r="P187" t="s">
        <v>74</v>
      </c>
      <c r="Q187">
        <v>16</v>
      </c>
      <c r="R187" t="s">
        <v>41</v>
      </c>
      <c r="S187">
        <v>7.99</v>
      </c>
    </row>
    <row r="188" spans="1:19" x14ac:dyDescent="0.3">
      <c r="A188">
        <f>'Raw Data'!D188-'Raw Data'!C188</f>
        <v>418</v>
      </c>
      <c r="B188" s="2" t="str">
        <f>_xlfn.IFS('Raw Data'!E188&gt;10,"Premium",'Raw Data'!E188&lt;10,"Basic")</f>
        <v>Premium</v>
      </c>
      <c r="C188">
        <v>11.99</v>
      </c>
      <c r="D188">
        <v>9914</v>
      </c>
      <c r="E188" t="s">
        <v>62</v>
      </c>
      <c r="F188" t="s">
        <v>30</v>
      </c>
      <c r="G188">
        <v>44</v>
      </c>
      <c r="H188" t="s">
        <v>28</v>
      </c>
      <c r="I188">
        <v>1065</v>
      </c>
      <c r="J188">
        <v>9914</v>
      </c>
      <c r="K188" t="s">
        <v>63</v>
      </c>
      <c r="L188" t="s">
        <v>26</v>
      </c>
      <c r="M188">
        <v>897</v>
      </c>
      <c r="N188">
        <v>62</v>
      </c>
      <c r="O188" t="s">
        <v>30</v>
      </c>
      <c r="P188" t="s">
        <v>63</v>
      </c>
      <c r="Q188">
        <v>44</v>
      </c>
      <c r="R188" t="s">
        <v>56</v>
      </c>
      <c r="S188">
        <v>11.99</v>
      </c>
    </row>
    <row r="189" spans="1:19" x14ac:dyDescent="0.3">
      <c r="A189">
        <f>'Raw Data'!D189-'Raw Data'!C189</f>
        <v>88</v>
      </c>
      <c r="B189" s="2" t="str">
        <f>_xlfn.IFS('Raw Data'!E189&gt;10,"Premium",'Raw Data'!E189&lt;10,"Basic")</f>
        <v>Premium</v>
      </c>
      <c r="C189">
        <v>11.99</v>
      </c>
      <c r="D189">
        <v>5045</v>
      </c>
      <c r="E189" t="s">
        <v>62</v>
      </c>
      <c r="F189" t="s">
        <v>52</v>
      </c>
      <c r="G189">
        <v>100</v>
      </c>
      <c r="H189" t="s">
        <v>28</v>
      </c>
      <c r="I189">
        <v>2575</v>
      </c>
      <c r="J189">
        <v>5045</v>
      </c>
      <c r="K189" t="s">
        <v>74</v>
      </c>
      <c r="L189" t="s">
        <v>26</v>
      </c>
      <c r="M189">
        <v>983</v>
      </c>
      <c r="N189">
        <v>191</v>
      </c>
      <c r="O189" t="s">
        <v>52</v>
      </c>
      <c r="P189" t="s">
        <v>74</v>
      </c>
      <c r="Q189">
        <v>100</v>
      </c>
      <c r="R189" t="s">
        <v>41</v>
      </c>
      <c r="S189">
        <v>11.99</v>
      </c>
    </row>
    <row r="190" spans="1:19" x14ac:dyDescent="0.3">
      <c r="A190">
        <f>'Raw Data'!D190-'Raw Data'!C190</f>
        <v>596</v>
      </c>
      <c r="B190" s="2" t="str">
        <f>_xlfn.IFS('Raw Data'!E190&gt;10,"Premium",'Raw Data'!E190&lt;10,"Basic")</f>
        <v>Premium</v>
      </c>
      <c r="C190">
        <v>11.99</v>
      </c>
      <c r="D190">
        <v>1379</v>
      </c>
      <c r="E190" t="s">
        <v>33</v>
      </c>
      <c r="F190" t="s">
        <v>30</v>
      </c>
      <c r="G190">
        <v>44</v>
      </c>
      <c r="H190" t="s">
        <v>28</v>
      </c>
      <c r="I190">
        <v>1690</v>
      </c>
      <c r="J190">
        <v>1379</v>
      </c>
      <c r="K190" t="s">
        <v>44</v>
      </c>
      <c r="L190" t="s">
        <v>26</v>
      </c>
      <c r="M190">
        <v>432</v>
      </c>
      <c r="N190">
        <v>73</v>
      </c>
      <c r="O190" t="s">
        <v>30</v>
      </c>
      <c r="P190" t="s">
        <v>44</v>
      </c>
      <c r="Q190">
        <v>44</v>
      </c>
      <c r="R190" t="s">
        <v>56</v>
      </c>
      <c r="S190">
        <v>11.99</v>
      </c>
    </row>
    <row r="191" spans="1:19" x14ac:dyDescent="0.3">
      <c r="A191">
        <f>'Raw Data'!D191-'Raw Data'!C191</f>
        <v>278</v>
      </c>
      <c r="B191" s="2" t="str">
        <f>_xlfn.IFS('Raw Data'!E191&gt;10,"Premium",'Raw Data'!E191&lt;10,"Basic")</f>
        <v>Premium</v>
      </c>
      <c r="C191">
        <v>11.99</v>
      </c>
      <c r="D191">
        <v>6099</v>
      </c>
      <c r="E191" t="s">
        <v>62</v>
      </c>
      <c r="F191" t="s">
        <v>30</v>
      </c>
      <c r="G191">
        <v>37</v>
      </c>
      <c r="H191" t="s">
        <v>28</v>
      </c>
      <c r="I191">
        <v>1382</v>
      </c>
      <c r="J191">
        <v>6099</v>
      </c>
      <c r="K191" t="s">
        <v>39</v>
      </c>
      <c r="L191" t="s">
        <v>40</v>
      </c>
      <c r="M191">
        <v>881</v>
      </c>
      <c r="N191">
        <v>189</v>
      </c>
      <c r="O191" t="s">
        <v>30</v>
      </c>
      <c r="P191" t="s">
        <v>39</v>
      </c>
      <c r="Q191">
        <v>37</v>
      </c>
      <c r="R191" t="s">
        <v>67</v>
      </c>
      <c r="S191">
        <v>11.99</v>
      </c>
    </row>
    <row r="192" spans="1:19" x14ac:dyDescent="0.3">
      <c r="A192">
        <f>'Raw Data'!D192-'Raw Data'!C192</f>
        <v>535</v>
      </c>
      <c r="B192" s="2" t="str">
        <f>_xlfn.IFS('Raw Data'!E192&gt;10,"Premium",'Raw Data'!E192&lt;10,"Basic")</f>
        <v>Premium</v>
      </c>
      <c r="C192">
        <v>15.99</v>
      </c>
      <c r="D192">
        <v>4696</v>
      </c>
      <c r="E192" t="s">
        <v>24</v>
      </c>
      <c r="F192" t="s">
        <v>36</v>
      </c>
      <c r="G192">
        <v>48</v>
      </c>
      <c r="H192" t="s">
        <v>28</v>
      </c>
      <c r="I192">
        <v>1050</v>
      </c>
      <c r="J192">
        <v>4696</v>
      </c>
      <c r="K192" t="s">
        <v>25</v>
      </c>
      <c r="L192" t="s">
        <v>64</v>
      </c>
      <c r="M192">
        <v>331</v>
      </c>
      <c r="N192">
        <v>93</v>
      </c>
      <c r="O192" t="s">
        <v>36</v>
      </c>
      <c r="P192" t="s">
        <v>25</v>
      </c>
      <c r="Q192">
        <v>48</v>
      </c>
      <c r="R192" t="s">
        <v>67</v>
      </c>
      <c r="S192">
        <v>15.99</v>
      </c>
    </row>
    <row r="193" spans="1:19" x14ac:dyDescent="0.3">
      <c r="A193">
        <f>'Raw Data'!D193-'Raw Data'!C193</f>
        <v>246</v>
      </c>
      <c r="B193" s="2" t="str">
        <f>_xlfn.IFS('Raw Data'!E193&gt;10,"Premium",'Raw Data'!E193&lt;10,"Basic")</f>
        <v>Basic</v>
      </c>
      <c r="C193">
        <v>7.99</v>
      </c>
      <c r="D193">
        <v>4808</v>
      </c>
      <c r="E193" t="s">
        <v>79</v>
      </c>
      <c r="F193" t="s">
        <v>60</v>
      </c>
      <c r="G193">
        <v>371</v>
      </c>
      <c r="H193" t="s">
        <v>28</v>
      </c>
      <c r="I193">
        <v>2328</v>
      </c>
      <c r="J193">
        <v>4808</v>
      </c>
      <c r="K193" t="s">
        <v>39</v>
      </c>
      <c r="L193" t="s">
        <v>26</v>
      </c>
      <c r="M193">
        <v>819</v>
      </c>
      <c r="N193">
        <v>71</v>
      </c>
      <c r="O193" t="s">
        <v>60</v>
      </c>
      <c r="P193" t="s">
        <v>39</v>
      </c>
      <c r="Q193">
        <v>371</v>
      </c>
      <c r="R193" t="s">
        <v>50</v>
      </c>
      <c r="S193">
        <v>7.99</v>
      </c>
    </row>
    <row r="194" spans="1:19" x14ac:dyDescent="0.3">
      <c r="A194">
        <f>'Raw Data'!D194-'Raw Data'!C194</f>
        <v>-8</v>
      </c>
      <c r="B194" s="2" t="str">
        <f>_xlfn.IFS('Raw Data'!E194&gt;10,"Premium",'Raw Data'!E194&lt;10,"Basic")</f>
        <v>Basic</v>
      </c>
      <c r="C194">
        <v>7.99</v>
      </c>
      <c r="D194">
        <v>3633</v>
      </c>
      <c r="E194" t="s">
        <v>24</v>
      </c>
      <c r="F194" t="s">
        <v>30</v>
      </c>
      <c r="G194">
        <v>176</v>
      </c>
      <c r="H194" t="s">
        <v>28</v>
      </c>
      <c r="I194">
        <v>4414</v>
      </c>
      <c r="J194">
        <v>3633</v>
      </c>
      <c r="K194" t="s">
        <v>74</v>
      </c>
      <c r="L194" t="s">
        <v>64</v>
      </c>
      <c r="M194">
        <v>936</v>
      </c>
      <c r="N194">
        <v>11</v>
      </c>
      <c r="O194" t="s">
        <v>30</v>
      </c>
      <c r="P194" t="s">
        <v>74</v>
      </c>
      <c r="Q194">
        <v>176</v>
      </c>
      <c r="R194" t="s">
        <v>56</v>
      </c>
      <c r="S194">
        <v>7.99</v>
      </c>
    </row>
    <row r="195" spans="1:19" x14ac:dyDescent="0.3">
      <c r="A195">
        <f>'Raw Data'!D195-'Raw Data'!C195</f>
        <v>8</v>
      </c>
      <c r="B195" s="2" t="str">
        <f>_xlfn.IFS('Raw Data'!E195&gt;10,"Premium",'Raw Data'!E195&lt;10,"Basic")</f>
        <v>Premium</v>
      </c>
      <c r="C195">
        <v>15.99</v>
      </c>
      <c r="D195">
        <v>4979</v>
      </c>
      <c r="E195" t="s">
        <v>33</v>
      </c>
      <c r="F195" t="s">
        <v>36</v>
      </c>
      <c r="G195">
        <v>312</v>
      </c>
      <c r="H195" t="s">
        <v>28</v>
      </c>
      <c r="I195">
        <v>3980</v>
      </c>
      <c r="J195">
        <v>4979</v>
      </c>
      <c r="K195" t="s">
        <v>59</v>
      </c>
      <c r="L195" t="s">
        <v>26</v>
      </c>
      <c r="M195">
        <v>321</v>
      </c>
      <c r="N195">
        <v>19</v>
      </c>
      <c r="O195" t="s">
        <v>36</v>
      </c>
      <c r="P195" t="s">
        <v>59</v>
      </c>
      <c r="Q195">
        <v>312</v>
      </c>
      <c r="R195" t="s">
        <v>50</v>
      </c>
      <c r="S195">
        <v>15.99</v>
      </c>
    </row>
    <row r="196" spans="1:19" x14ac:dyDescent="0.3">
      <c r="A196">
        <f>'Raw Data'!D196-'Raw Data'!C196</f>
        <v>34</v>
      </c>
      <c r="B196" s="2" t="str">
        <f>_xlfn.IFS('Raw Data'!E196&gt;10,"Premium",'Raw Data'!E196&lt;10,"Basic")</f>
        <v>Basic</v>
      </c>
      <c r="C196">
        <v>7.99</v>
      </c>
      <c r="D196">
        <v>2214</v>
      </c>
      <c r="E196" t="s">
        <v>79</v>
      </c>
      <c r="F196" t="s">
        <v>36</v>
      </c>
      <c r="G196">
        <v>375</v>
      </c>
      <c r="H196" t="s">
        <v>28</v>
      </c>
      <c r="I196">
        <v>3596</v>
      </c>
      <c r="J196">
        <v>2214</v>
      </c>
      <c r="K196" t="s">
        <v>48</v>
      </c>
      <c r="L196" t="s">
        <v>26</v>
      </c>
      <c r="M196">
        <v>244</v>
      </c>
      <c r="N196">
        <v>106</v>
      </c>
      <c r="O196" t="s">
        <v>36</v>
      </c>
      <c r="P196" t="s">
        <v>48</v>
      </c>
      <c r="Q196">
        <v>375</v>
      </c>
      <c r="R196" t="s">
        <v>67</v>
      </c>
      <c r="S196">
        <v>7.99</v>
      </c>
    </row>
    <row r="197" spans="1:19" x14ac:dyDescent="0.3">
      <c r="A197">
        <f>'Raw Data'!D197-'Raw Data'!C197</f>
        <v>308</v>
      </c>
      <c r="B197" s="2" t="str">
        <f>_xlfn.IFS('Raw Data'!E197&gt;10,"Premium",'Raw Data'!E197&lt;10,"Basic")</f>
        <v>Premium</v>
      </c>
      <c r="C197">
        <v>15.99</v>
      </c>
      <c r="D197">
        <v>6606</v>
      </c>
      <c r="E197" t="s">
        <v>43</v>
      </c>
      <c r="F197" t="s">
        <v>36</v>
      </c>
      <c r="G197">
        <v>134</v>
      </c>
      <c r="H197" t="s">
        <v>28</v>
      </c>
      <c r="I197">
        <v>1150</v>
      </c>
      <c r="J197">
        <v>6606</v>
      </c>
      <c r="K197" t="s">
        <v>74</v>
      </c>
      <c r="L197" t="s">
        <v>64</v>
      </c>
      <c r="M197">
        <v>826</v>
      </c>
      <c r="N197">
        <v>160</v>
      </c>
      <c r="O197" t="s">
        <v>36</v>
      </c>
      <c r="P197" t="s">
        <v>74</v>
      </c>
      <c r="Q197">
        <v>134</v>
      </c>
      <c r="R197" t="s">
        <v>56</v>
      </c>
      <c r="S197">
        <v>15.99</v>
      </c>
    </row>
    <row r="198" spans="1:19" x14ac:dyDescent="0.3">
      <c r="A198">
        <f>'Raw Data'!D198-'Raw Data'!C198</f>
        <v>448</v>
      </c>
      <c r="B198" s="2" t="str">
        <f>_xlfn.IFS('Raw Data'!E198&gt;10,"Premium",'Raw Data'!E198&lt;10,"Basic")</f>
        <v>Basic</v>
      </c>
      <c r="C198">
        <v>7.99</v>
      </c>
      <c r="D198">
        <v>4246</v>
      </c>
      <c r="E198" t="s">
        <v>33</v>
      </c>
      <c r="F198" t="s">
        <v>30</v>
      </c>
      <c r="G198">
        <v>91</v>
      </c>
      <c r="H198" t="s">
        <v>28</v>
      </c>
      <c r="I198">
        <v>1858</v>
      </c>
      <c r="J198">
        <v>4246</v>
      </c>
      <c r="K198" t="s">
        <v>44</v>
      </c>
      <c r="L198" t="s">
        <v>26</v>
      </c>
      <c r="M198">
        <v>159</v>
      </c>
      <c r="N198">
        <v>14</v>
      </c>
      <c r="O198" t="s">
        <v>30</v>
      </c>
      <c r="P198" t="s">
        <v>44</v>
      </c>
      <c r="Q198">
        <v>91</v>
      </c>
      <c r="R198" t="s">
        <v>50</v>
      </c>
      <c r="S198">
        <v>7.99</v>
      </c>
    </row>
    <row r="199" spans="1:19" x14ac:dyDescent="0.3">
      <c r="A199">
        <f>'Raw Data'!D199-'Raw Data'!C199</f>
        <v>314</v>
      </c>
      <c r="B199" s="2" t="str">
        <f>_xlfn.IFS('Raw Data'!E199&gt;10,"Premium",'Raw Data'!E199&lt;10,"Basic")</f>
        <v>Basic</v>
      </c>
      <c r="C199">
        <v>7.99</v>
      </c>
      <c r="D199">
        <v>2836</v>
      </c>
      <c r="E199" t="s">
        <v>55</v>
      </c>
      <c r="F199" t="s">
        <v>68</v>
      </c>
      <c r="G199">
        <v>359</v>
      </c>
      <c r="H199" t="s">
        <v>28</v>
      </c>
      <c r="I199">
        <v>1926</v>
      </c>
      <c r="J199">
        <v>2836</v>
      </c>
      <c r="K199" t="s">
        <v>59</v>
      </c>
      <c r="L199" t="s">
        <v>64</v>
      </c>
      <c r="M199">
        <v>305</v>
      </c>
      <c r="N199">
        <v>81</v>
      </c>
      <c r="O199" t="s">
        <v>68</v>
      </c>
      <c r="P199" t="s">
        <v>59</v>
      </c>
      <c r="Q199">
        <v>359</v>
      </c>
      <c r="R199" t="s">
        <v>34</v>
      </c>
      <c r="S199">
        <v>7.99</v>
      </c>
    </row>
    <row r="200" spans="1:19" x14ac:dyDescent="0.3">
      <c r="A200">
        <f>'Raw Data'!D200-'Raw Data'!C200</f>
        <v>512</v>
      </c>
      <c r="B200" s="2" t="str">
        <f>_xlfn.IFS('Raw Data'!E200&gt;10,"Premium",'Raw Data'!E200&lt;10,"Basic")</f>
        <v>Premium</v>
      </c>
      <c r="C200">
        <v>15.99</v>
      </c>
      <c r="D200">
        <v>6963</v>
      </c>
      <c r="E200" t="s">
        <v>62</v>
      </c>
      <c r="F200" t="s">
        <v>36</v>
      </c>
      <c r="G200">
        <v>172</v>
      </c>
      <c r="H200" t="s">
        <v>28</v>
      </c>
      <c r="I200">
        <v>2933</v>
      </c>
      <c r="J200">
        <v>6963</v>
      </c>
      <c r="K200" t="s">
        <v>44</v>
      </c>
      <c r="L200" t="s">
        <v>26</v>
      </c>
      <c r="M200">
        <v>841</v>
      </c>
      <c r="N200">
        <v>83</v>
      </c>
      <c r="O200" t="s">
        <v>36</v>
      </c>
      <c r="P200" t="s">
        <v>44</v>
      </c>
      <c r="Q200">
        <v>172</v>
      </c>
      <c r="R200" t="s">
        <v>67</v>
      </c>
      <c r="S200">
        <v>15.99</v>
      </c>
    </row>
    <row r="201" spans="1:19" x14ac:dyDescent="0.3">
      <c r="A201">
        <f>'Raw Data'!D201-'Raw Data'!C201</f>
        <v>138</v>
      </c>
      <c r="B201" s="2" t="str">
        <f>_xlfn.IFS('Raw Data'!E201&gt;10,"Premium",'Raw Data'!E201&lt;10,"Basic")</f>
        <v>Premium</v>
      </c>
      <c r="C201">
        <v>11.99</v>
      </c>
      <c r="D201">
        <v>2243</v>
      </c>
      <c r="E201" t="s">
        <v>62</v>
      </c>
      <c r="F201" t="s">
        <v>52</v>
      </c>
      <c r="G201">
        <v>490</v>
      </c>
      <c r="H201" t="s">
        <v>28</v>
      </c>
      <c r="I201">
        <v>2397</v>
      </c>
      <c r="J201">
        <v>2243</v>
      </c>
      <c r="K201" t="s">
        <v>74</v>
      </c>
      <c r="L201" t="s">
        <v>64</v>
      </c>
      <c r="M201">
        <v>123</v>
      </c>
      <c r="N201">
        <v>183</v>
      </c>
      <c r="O201" t="s">
        <v>52</v>
      </c>
      <c r="P201" t="s">
        <v>74</v>
      </c>
      <c r="Q201">
        <v>490</v>
      </c>
      <c r="R201" t="s">
        <v>34</v>
      </c>
      <c r="S201">
        <v>11.99</v>
      </c>
    </row>
    <row r="202" spans="1:19" x14ac:dyDescent="0.3">
      <c r="A202">
        <f>'Raw Data'!D202-'Raw Data'!C202</f>
        <v>24</v>
      </c>
      <c r="B202" s="2" t="str">
        <f>_xlfn.IFS('Raw Data'!E202&gt;10,"Premium",'Raw Data'!E202&lt;10,"Basic")</f>
        <v>Premium</v>
      </c>
      <c r="C202">
        <v>11.99</v>
      </c>
      <c r="D202">
        <v>5081</v>
      </c>
      <c r="E202" t="s">
        <v>79</v>
      </c>
      <c r="F202" t="s">
        <v>60</v>
      </c>
      <c r="G202">
        <v>16</v>
      </c>
      <c r="H202" t="s">
        <v>28</v>
      </c>
      <c r="I202">
        <v>1946</v>
      </c>
      <c r="J202">
        <v>5081</v>
      </c>
      <c r="K202" t="s">
        <v>59</v>
      </c>
      <c r="L202" t="s">
        <v>64</v>
      </c>
      <c r="M202">
        <v>803</v>
      </c>
      <c r="N202">
        <v>196</v>
      </c>
      <c r="O202" t="s">
        <v>60</v>
      </c>
      <c r="P202" t="s">
        <v>59</v>
      </c>
      <c r="Q202">
        <v>16</v>
      </c>
      <c r="R202" t="s">
        <v>27</v>
      </c>
      <c r="S202">
        <v>11.99</v>
      </c>
    </row>
    <row r="203" spans="1:19" x14ac:dyDescent="0.3">
      <c r="A203">
        <f>'Raw Data'!D203-'Raw Data'!C203</f>
        <v>163</v>
      </c>
      <c r="B203" s="2" t="str">
        <f>_xlfn.IFS('Raw Data'!E203&gt;10,"Premium",'Raw Data'!E203&lt;10,"Basic")</f>
        <v>Premium</v>
      </c>
      <c r="C203">
        <v>11.99</v>
      </c>
      <c r="D203">
        <v>4171</v>
      </c>
      <c r="E203" t="s">
        <v>43</v>
      </c>
      <c r="F203" t="s">
        <v>60</v>
      </c>
      <c r="G203">
        <v>291</v>
      </c>
      <c r="H203" t="s">
        <v>28</v>
      </c>
      <c r="I203">
        <v>2576</v>
      </c>
      <c r="J203">
        <v>4171</v>
      </c>
      <c r="K203" t="s">
        <v>39</v>
      </c>
      <c r="L203" t="s">
        <v>26</v>
      </c>
      <c r="M203">
        <v>380</v>
      </c>
      <c r="N203">
        <v>106</v>
      </c>
      <c r="O203" t="s">
        <v>60</v>
      </c>
      <c r="P203" t="s">
        <v>39</v>
      </c>
      <c r="Q203">
        <v>291</v>
      </c>
      <c r="R203" t="s">
        <v>50</v>
      </c>
      <c r="S203">
        <v>11.99</v>
      </c>
    </row>
    <row r="204" spans="1:19" x14ac:dyDescent="0.3">
      <c r="A204">
        <f>'Raw Data'!D204-'Raw Data'!C204</f>
        <v>118</v>
      </c>
      <c r="B204" s="2" t="str">
        <f>_xlfn.IFS('Raw Data'!E204&gt;10,"Premium",'Raw Data'!E204&lt;10,"Basic")</f>
        <v>Premium</v>
      </c>
      <c r="C204">
        <v>11.99</v>
      </c>
      <c r="D204">
        <v>7399</v>
      </c>
      <c r="E204" t="s">
        <v>79</v>
      </c>
      <c r="F204" t="s">
        <v>60</v>
      </c>
      <c r="G204">
        <v>119</v>
      </c>
      <c r="H204" t="s">
        <v>28</v>
      </c>
      <c r="I204">
        <v>2259</v>
      </c>
      <c r="J204">
        <v>7399</v>
      </c>
      <c r="K204" t="s">
        <v>63</v>
      </c>
      <c r="L204" t="s">
        <v>40</v>
      </c>
      <c r="M204">
        <v>344</v>
      </c>
      <c r="N204">
        <v>93</v>
      </c>
      <c r="O204" t="s">
        <v>60</v>
      </c>
      <c r="P204" t="s">
        <v>63</v>
      </c>
      <c r="Q204">
        <v>119</v>
      </c>
      <c r="R204" t="s">
        <v>27</v>
      </c>
      <c r="S204">
        <v>11.99</v>
      </c>
    </row>
    <row r="205" spans="1:19" x14ac:dyDescent="0.3">
      <c r="A205">
        <f>'Raw Data'!D205-'Raw Data'!C205</f>
        <v>213</v>
      </c>
      <c r="B205" s="2" t="str">
        <f>_xlfn.IFS('Raw Data'!E205&gt;10,"Premium",'Raw Data'!E205&lt;10,"Basic")</f>
        <v>Premium</v>
      </c>
      <c r="C205">
        <v>11.99</v>
      </c>
      <c r="D205">
        <v>1110</v>
      </c>
      <c r="E205" t="s">
        <v>24</v>
      </c>
      <c r="F205" t="s">
        <v>30</v>
      </c>
      <c r="G205">
        <v>35</v>
      </c>
      <c r="H205" t="s">
        <v>28</v>
      </c>
      <c r="I205">
        <v>1068</v>
      </c>
      <c r="J205">
        <v>1110</v>
      </c>
      <c r="K205" t="s">
        <v>25</v>
      </c>
      <c r="L205" t="s">
        <v>26</v>
      </c>
      <c r="M205">
        <v>908</v>
      </c>
      <c r="N205">
        <v>128</v>
      </c>
      <c r="O205" t="s">
        <v>30</v>
      </c>
      <c r="P205" t="s">
        <v>25</v>
      </c>
      <c r="Q205">
        <v>35</v>
      </c>
      <c r="R205" t="s">
        <v>50</v>
      </c>
      <c r="S205">
        <v>11.99</v>
      </c>
    </row>
    <row r="206" spans="1:19" x14ac:dyDescent="0.3">
      <c r="A206">
        <f>'Raw Data'!D206-'Raw Data'!C206</f>
        <v>356</v>
      </c>
      <c r="B206" s="2" t="str">
        <f>_xlfn.IFS('Raw Data'!E206&gt;10,"Premium",'Raw Data'!E206&lt;10,"Basic")</f>
        <v>Basic</v>
      </c>
      <c r="C206">
        <v>7.99</v>
      </c>
      <c r="D206">
        <v>5630</v>
      </c>
      <c r="E206" t="s">
        <v>33</v>
      </c>
      <c r="F206" t="s">
        <v>60</v>
      </c>
      <c r="G206">
        <v>88</v>
      </c>
      <c r="H206" t="s">
        <v>28</v>
      </c>
      <c r="I206">
        <v>2928</v>
      </c>
      <c r="J206">
        <v>5630</v>
      </c>
      <c r="K206" t="s">
        <v>25</v>
      </c>
      <c r="L206" t="s">
        <v>40</v>
      </c>
      <c r="M206">
        <v>782</v>
      </c>
      <c r="N206">
        <v>180</v>
      </c>
      <c r="O206" t="s">
        <v>60</v>
      </c>
      <c r="P206" t="s">
        <v>25</v>
      </c>
      <c r="Q206">
        <v>88</v>
      </c>
      <c r="R206" t="s">
        <v>67</v>
      </c>
      <c r="S206">
        <v>7.99</v>
      </c>
    </row>
    <row r="207" spans="1:19" x14ac:dyDescent="0.3">
      <c r="A207">
        <f>'Raw Data'!D207-'Raw Data'!C207</f>
        <v>384</v>
      </c>
      <c r="B207" s="2" t="str">
        <f>_xlfn.IFS('Raw Data'!E207&gt;10,"Premium",'Raw Data'!E207&lt;10,"Basic")</f>
        <v>Basic</v>
      </c>
      <c r="C207">
        <v>7.99</v>
      </c>
      <c r="D207">
        <v>9430</v>
      </c>
      <c r="E207" t="s">
        <v>43</v>
      </c>
      <c r="F207" t="s">
        <v>60</v>
      </c>
      <c r="G207">
        <v>312</v>
      </c>
      <c r="H207" t="s">
        <v>28</v>
      </c>
      <c r="I207">
        <v>3674</v>
      </c>
      <c r="J207">
        <v>9430</v>
      </c>
      <c r="K207" t="s">
        <v>44</v>
      </c>
      <c r="L207" t="s">
        <v>40</v>
      </c>
      <c r="M207">
        <v>769</v>
      </c>
      <c r="N207">
        <v>140</v>
      </c>
      <c r="O207" t="s">
        <v>60</v>
      </c>
      <c r="P207" t="s">
        <v>44</v>
      </c>
      <c r="Q207">
        <v>312</v>
      </c>
      <c r="R207" t="s">
        <v>41</v>
      </c>
      <c r="S207">
        <v>7.99</v>
      </c>
    </row>
    <row r="208" spans="1:19" x14ac:dyDescent="0.3">
      <c r="A208">
        <f>'Raw Data'!D208-'Raw Data'!C208</f>
        <v>299</v>
      </c>
      <c r="B208" s="2" t="str">
        <f>_xlfn.IFS('Raw Data'!E208&gt;10,"Premium",'Raw Data'!E208&lt;10,"Basic")</f>
        <v>Premium</v>
      </c>
      <c r="C208">
        <v>15.99</v>
      </c>
      <c r="D208">
        <v>7436</v>
      </c>
      <c r="E208" t="s">
        <v>43</v>
      </c>
      <c r="F208" t="s">
        <v>68</v>
      </c>
      <c r="G208">
        <v>238</v>
      </c>
      <c r="H208" t="s">
        <v>28</v>
      </c>
      <c r="I208">
        <v>130</v>
      </c>
      <c r="J208">
        <v>7436</v>
      </c>
      <c r="K208" t="s">
        <v>39</v>
      </c>
      <c r="L208" t="s">
        <v>40</v>
      </c>
      <c r="M208">
        <v>233</v>
      </c>
      <c r="N208">
        <v>102</v>
      </c>
      <c r="O208" t="s">
        <v>68</v>
      </c>
      <c r="P208" t="s">
        <v>39</v>
      </c>
      <c r="Q208">
        <v>238</v>
      </c>
      <c r="R208" t="s">
        <v>27</v>
      </c>
      <c r="S208">
        <v>15.99</v>
      </c>
    </row>
    <row r="209" spans="1:19" x14ac:dyDescent="0.3">
      <c r="A209">
        <f>'Raw Data'!D209-'Raw Data'!C209</f>
        <v>334</v>
      </c>
      <c r="B209" s="2" t="str">
        <f>_xlfn.IFS('Raw Data'!E209&gt;10,"Premium",'Raw Data'!E209&lt;10,"Basic")</f>
        <v>Premium</v>
      </c>
      <c r="C209">
        <v>11.99</v>
      </c>
      <c r="D209">
        <v>2147</v>
      </c>
      <c r="E209" t="s">
        <v>24</v>
      </c>
      <c r="F209" t="s">
        <v>60</v>
      </c>
      <c r="G209">
        <v>132</v>
      </c>
      <c r="H209" t="s">
        <v>28</v>
      </c>
      <c r="I209">
        <v>4873</v>
      </c>
      <c r="J209">
        <v>2147</v>
      </c>
      <c r="K209" t="s">
        <v>74</v>
      </c>
      <c r="L209" t="s">
        <v>40</v>
      </c>
      <c r="M209">
        <v>170</v>
      </c>
      <c r="N209">
        <v>164</v>
      </c>
      <c r="O209" t="s">
        <v>60</v>
      </c>
      <c r="P209" t="s">
        <v>74</v>
      </c>
      <c r="Q209">
        <v>132</v>
      </c>
      <c r="R209" t="s">
        <v>56</v>
      </c>
      <c r="S209">
        <v>11.99</v>
      </c>
    </row>
    <row r="210" spans="1:19" x14ac:dyDescent="0.3">
      <c r="A210">
        <f>'Raw Data'!D210-'Raw Data'!C210</f>
        <v>575</v>
      </c>
      <c r="B210" s="2" t="str">
        <f>_xlfn.IFS('Raw Data'!E210&gt;10,"Premium",'Raw Data'!E210&lt;10,"Basic")</f>
        <v>Premium</v>
      </c>
      <c r="C210">
        <v>11.99</v>
      </c>
      <c r="D210">
        <v>3264</v>
      </c>
      <c r="E210" t="s">
        <v>62</v>
      </c>
      <c r="F210" t="s">
        <v>68</v>
      </c>
      <c r="G210">
        <v>456</v>
      </c>
      <c r="H210" t="s">
        <v>28</v>
      </c>
      <c r="I210">
        <v>96</v>
      </c>
      <c r="J210">
        <v>3264</v>
      </c>
      <c r="K210" t="s">
        <v>44</v>
      </c>
      <c r="L210" t="s">
        <v>49</v>
      </c>
      <c r="M210">
        <v>945</v>
      </c>
      <c r="N210">
        <v>114</v>
      </c>
      <c r="O210" t="s">
        <v>68</v>
      </c>
      <c r="P210" t="s">
        <v>44</v>
      </c>
      <c r="Q210">
        <v>456</v>
      </c>
      <c r="R210" t="s">
        <v>34</v>
      </c>
      <c r="S210">
        <v>11.99</v>
      </c>
    </row>
    <row r="211" spans="1:19" x14ac:dyDescent="0.3">
      <c r="A211">
        <f>'Raw Data'!D211-'Raw Data'!C211</f>
        <v>552</v>
      </c>
      <c r="B211" s="2" t="str">
        <f>_xlfn.IFS('Raw Data'!E211&gt;10,"Premium",'Raw Data'!E211&lt;10,"Basic")</f>
        <v>Premium</v>
      </c>
      <c r="C211">
        <v>11.99</v>
      </c>
      <c r="D211">
        <v>1214</v>
      </c>
      <c r="E211" t="s">
        <v>24</v>
      </c>
      <c r="F211" t="s">
        <v>52</v>
      </c>
      <c r="G211">
        <v>281</v>
      </c>
      <c r="H211" t="s">
        <v>28</v>
      </c>
      <c r="I211">
        <v>110</v>
      </c>
      <c r="J211">
        <v>1214</v>
      </c>
      <c r="K211" t="s">
        <v>63</v>
      </c>
      <c r="L211" t="s">
        <v>26</v>
      </c>
      <c r="M211">
        <v>945</v>
      </c>
      <c r="N211">
        <v>108</v>
      </c>
      <c r="O211" t="s">
        <v>52</v>
      </c>
      <c r="P211" t="s">
        <v>63</v>
      </c>
      <c r="Q211">
        <v>281</v>
      </c>
      <c r="R211" t="s">
        <v>56</v>
      </c>
      <c r="S211">
        <v>11.99</v>
      </c>
    </row>
    <row r="212" spans="1:19" x14ac:dyDescent="0.3">
      <c r="A212">
        <f>'Raw Data'!D212-'Raw Data'!C212</f>
        <v>107</v>
      </c>
      <c r="B212" s="2" t="str">
        <f>_xlfn.IFS('Raw Data'!E212&gt;10,"Premium",'Raw Data'!E212&lt;10,"Basic")</f>
        <v>Premium</v>
      </c>
      <c r="C212">
        <v>11.99</v>
      </c>
      <c r="D212">
        <v>6050</v>
      </c>
      <c r="E212" t="s">
        <v>55</v>
      </c>
      <c r="F212" t="s">
        <v>60</v>
      </c>
      <c r="G212">
        <v>281</v>
      </c>
      <c r="H212" t="s">
        <v>28</v>
      </c>
      <c r="I212">
        <v>225</v>
      </c>
      <c r="J212">
        <v>6050</v>
      </c>
      <c r="K212" t="s">
        <v>25</v>
      </c>
      <c r="L212" t="s">
        <v>40</v>
      </c>
      <c r="M212">
        <v>217</v>
      </c>
      <c r="N212">
        <v>162</v>
      </c>
      <c r="O212" t="s">
        <v>60</v>
      </c>
      <c r="P212" t="s">
        <v>25</v>
      </c>
      <c r="Q212">
        <v>281</v>
      </c>
      <c r="R212" t="s">
        <v>41</v>
      </c>
      <c r="S212">
        <v>11.99</v>
      </c>
    </row>
    <row r="213" spans="1:19" x14ac:dyDescent="0.3">
      <c r="A213">
        <f>'Raw Data'!D213-'Raw Data'!C213</f>
        <v>375</v>
      </c>
      <c r="B213" s="2" t="str">
        <f>_xlfn.IFS('Raw Data'!E213&gt;10,"Premium",'Raw Data'!E213&lt;10,"Basic")</f>
        <v>Premium</v>
      </c>
      <c r="C213">
        <v>11.99</v>
      </c>
      <c r="D213">
        <v>7395</v>
      </c>
      <c r="E213" t="s">
        <v>24</v>
      </c>
      <c r="F213" t="s">
        <v>36</v>
      </c>
      <c r="G213">
        <v>73</v>
      </c>
      <c r="H213" t="s">
        <v>28</v>
      </c>
      <c r="I213">
        <v>4083</v>
      </c>
      <c r="J213">
        <v>7395</v>
      </c>
      <c r="K213" t="s">
        <v>59</v>
      </c>
      <c r="L213" t="s">
        <v>40</v>
      </c>
      <c r="M213">
        <v>664</v>
      </c>
      <c r="N213">
        <v>123</v>
      </c>
      <c r="O213" t="s">
        <v>36</v>
      </c>
      <c r="P213" t="s">
        <v>59</v>
      </c>
      <c r="Q213">
        <v>73</v>
      </c>
      <c r="R213" t="s">
        <v>34</v>
      </c>
      <c r="S213">
        <v>11.99</v>
      </c>
    </row>
    <row r="214" spans="1:19" x14ac:dyDescent="0.3">
      <c r="A214">
        <f>'Raw Data'!D214-'Raw Data'!C214</f>
        <v>174</v>
      </c>
      <c r="B214" s="2" t="str">
        <f>_xlfn.IFS('Raw Data'!E214&gt;10,"Premium",'Raw Data'!E214&lt;10,"Basic")</f>
        <v>Premium</v>
      </c>
      <c r="C214">
        <v>11.99</v>
      </c>
      <c r="D214">
        <v>3904</v>
      </c>
      <c r="E214" t="s">
        <v>55</v>
      </c>
      <c r="F214" t="s">
        <v>30</v>
      </c>
      <c r="G214">
        <v>365</v>
      </c>
      <c r="H214" t="s">
        <v>28</v>
      </c>
      <c r="I214">
        <v>2714</v>
      </c>
      <c r="J214">
        <v>3904</v>
      </c>
      <c r="K214" t="s">
        <v>74</v>
      </c>
      <c r="L214" t="s">
        <v>40</v>
      </c>
      <c r="M214">
        <v>679</v>
      </c>
      <c r="N214">
        <v>1</v>
      </c>
      <c r="O214" t="s">
        <v>30</v>
      </c>
      <c r="P214" t="s">
        <v>74</v>
      </c>
      <c r="Q214">
        <v>365</v>
      </c>
      <c r="R214" t="s">
        <v>67</v>
      </c>
      <c r="S214">
        <v>11.99</v>
      </c>
    </row>
    <row r="215" spans="1:19" x14ac:dyDescent="0.3">
      <c r="A215">
        <f>'Raw Data'!D215-'Raw Data'!C215</f>
        <v>178</v>
      </c>
      <c r="B215" s="2" t="str">
        <f>_xlfn.IFS('Raw Data'!E215&gt;10,"Premium",'Raw Data'!E215&lt;10,"Basic")</f>
        <v>Basic</v>
      </c>
      <c r="C215">
        <v>7.99</v>
      </c>
      <c r="D215">
        <v>6545</v>
      </c>
      <c r="E215" t="s">
        <v>33</v>
      </c>
      <c r="F215" t="s">
        <v>30</v>
      </c>
      <c r="G215">
        <v>61</v>
      </c>
      <c r="H215" t="s">
        <v>28</v>
      </c>
      <c r="I215">
        <v>674</v>
      </c>
      <c r="J215">
        <v>6545</v>
      </c>
      <c r="K215" t="s">
        <v>63</v>
      </c>
      <c r="L215" t="s">
        <v>64</v>
      </c>
      <c r="M215">
        <v>242</v>
      </c>
      <c r="N215">
        <v>200</v>
      </c>
      <c r="O215" t="s">
        <v>30</v>
      </c>
      <c r="P215" t="s">
        <v>63</v>
      </c>
      <c r="Q215">
        <v>61</v>
      </c>
      <c r="R215" t="s">
        <v>41</v>
      </c>
      <c r="S215">
        <v>7.99</v>
      </c>
    </row>
    <row r="216" spans="1:19" x14ac:dyDescent="0.3">
      <c r="A216">
        <f>'Raw Data'!D216-'Raw Data'!C216</f>
        <v>529</v>
      </c>
      <c r="B216" s="2" t="str">
        <f>_xlfn.IFS('Raw Data'!E216&gt;10,"Premium",'Raw Data'!E216&lt;10,"Basic")</f>
        <v>Premium</v>
      </c>
      <c r="C216">
        <v>15.99</v>
      </c>
      <c r="D216">
        <v>3131</v>
      </c>
      <c r="E216" t="s">
        <v>43</v>
      </c>
      <c r="F216" t="s">
        <v>68</v>
      </c>
      <c r="G216">
        <v>399</v>
      </c>
      <c r="H216" t="s">
        <v>28</v>
      </c>
      <c r="I216">
        <v>948</v>
      </c>
      <c r="J216">
        <v>3131</v>
      </c>
      <c r="K216" t="s">
        <v>44</v>
      </c>
      <c r="L216" t="s">
        <v>40</v>
      </c>
      <c r="M216">
        <v>541</v>
      </c>
      <c r="N216">
        <v>158</v>
      </c>
      <c r="O216" t="s">
        <v>68</v>
      </c>
      <c r="P216" t="s">
        <v>44</v>
      </c>
      <c r="Q216">
        <v>399</v>
      </c>
      <c r="R216" t="s">
        <v>67</v>
      </c>
      <c r="S216">
        <v>15.99</v>
      </c>
    </row>
    <row r="217" spans="1:19" x14ac:dyDescent="0.3">
      <c r="A217">
        <f>'Raw Data'!D217-'Raw Data'!C217</f>
        <v>671</v>
      </c>
      <c r="B217" s="2" t="str">
        <f>_xlfn.IFS('Raw Data'!E217&gt;10,"Premium",'Raw Data'!E217&lt;10,"Basic")</f>
        <v>Premium</v>
      </c>
      <c r="C217">
        <v>11.99</v>
      </c>
      <c r="D217">
        <v>8589</v>
      </c>
      <c r="E217" t="s">
        <v>79</v>
      </c>
      <c r="F217" t="s">
        <v>30</v>
      </c>
      <c r="G217">
        <v>102</v>
      </c>
      <c r="H217" t="s">
        <v>28</v>
      </c>
      <c r="I217">
        <v>933</v>
      </c>
      <c r="J217">
        <v>8589</v>
      </c>
      <c r="K217" t="s">
        <v>74</v>
      </c>
      <c r="L217" t="s">
        <v>26</v>
      </c>
      <c r="M217">
        <v>108</v>
      </c>
      <c r="N217">
        <v>105</v>
      </c>
      <c r="O217" t="s">
        <v>30</v>
      </c>
      <c r="P217" t="s">
        <v>74</v>
      </c>
      <c r="Q217">
        <v>102</v>
      </c>
      <c r="R217" t="s">
        <v>56</v>
      </c>
      <c r="S217">
        <v>11.99</v>
      </c>
    </row>
    <row r="218" spans="1:19" x14ac:dyDescent="0.3">
      <c r="A218">
        <f>'Raw Data'!D218-'Raw Data'!C218</f>
        <v>57</v>
      </c>
      <c r="B218" s="2" t="str">
        <f>_xlfn.IFS('Raw Data'!E218&gt;10,"Premium",'Raw Data'!E218&lt;10,"Basic")</f>
        <v>Premium</v>
      </c>
      <c r="C218">
        <v>11.99</v>
      </c>
      <c r="D218">
        <v>2908</v>
      </c>
      <c r="E218" t="s">
        <v>43</v>
      </c>
      <c r="F218" t="s">
        <v>68</v>
      </c>
      <c r="G218">
        <v>88</v>
      </c>
      <c r="H218" t="s">
        <v>28</v>
      </c>
      <c r="I218">
        <v>2914</v>
      </c>
      <c r="J218">
        <v>2908</v>
      </c>
      <c r="K218" t="s">
        <v>74</v>
      </c>
      <c r="L218" t="s">
        <v>64</v>
      </c>
      <c r="M218">
        <v>343</v>
      </c>
      <c r="N218">
        <v>163</v>
      </c>
      <c r="O218" t="s">
        <v>68</v>
      </c>
      <c r="P218" t="s">
        <v>74</v>
      </c>
      <c r="Q218">
        <v>88</v>
      </c>
      <c r="R218" t="s">
        <v>34</v>
      </c>
      <c r="S218">
        <v>11.99</v>
      </c>
    </row>
    <row r="219" spans="1:19" x14ac:dyDescent="0.3">
      <c r="A219">
        <f>'Raw Data'!D219-'Raw Data'!C219</f>
        <v>559</v>
      </c>
      <c r="B219" s="2" t="str">
        <f>_xlfn.IFS('Raw Data'!E219&gt;10,"Premium",'Raw Data'!E219&lt;10,"Basic")</f>
        <v>Premium</v>
      </c>
      <c r="C219">
        <v>11.99</v>
      </c>
      <c r="D219">
        <v>5209</v>
      </c>
      <c r="E219" t="s">
        <v>79</v>
      </c>
      <c r="F219" t="s">
        <v>60</v>
      </c>
      <c r="G219">
        <v>92</v>
      </c>
      <c r="H219" t="s">
        <v>28</v>
      </c>
      <c r="I219">
        <v>3928</v>
      </c>
      <c r="J219">
        <v>5209</v>
      </c>
      <c r="K219" t="s">
        <v>74</v>
      </c>
      <c r="L219" t="s">
        <v>49</v>
      </c>
      <c r="M219">
        <v>477</v>
      </c>
      <c r="N219">
        <v>38</v>
      </c>
      <c r="O219" t="s">
        <v>60</v>
      </c>
      <c r="P219" t="s">
        <v>74</v>
      </c>
      <c r="Q219">
        <v>92</v>
      </c>
      <c r="R219" t="s">
        <v>56</v>
      </c>
      <c r="S219">
        <v>11.99</v>
      </c>
    </row>
    <row r="220" spans="1:19" x14ac:dyDescent="0.3">
      <c r="A220">
        <f>'Raw Data'!D220-'Raw Data'!C220</f>
        <v>538</v>
      </c>
      <c r="B220" s="2" t="str">
        <f>_xlfn.IFS('Raw Data'!E220&gt;10,"Premium",'Raw Data'!E220&lt;10,"Basic")</f>
        <v>Premium</v>
      </c>
      <c r="C220">
        <v>15.99</v>
      </c>
      <c r="D220">
        <v>2319</v>
      </c>
      <c r="E220" t="s">
        <v>33</v>
      </c>
      <c r="F220" t="s">
        <v>30</v>
      </c>
      <c r="G220">
        <v>295</v>
      </c>
      <c r="H220" t="s">
        <v>28</v>
      </c>
      <c r="I220">
        <v>2559</v>
      </c>
      <c r="J220">
        <v>2319</v>
      </c>
      <c r="K220" t="s">
        <v>74</v>
      </c>
      <c r="L220" t="s">
        <v>49</v>
      </c>
      <c r="M220">
        <v>767</v>
      </c>
      <c r="N220">
        <v>190</v>
      </c>
      <c r="O220" t="s">
        <v>30</v>
      </c>
      <c r="P220" t="s">
        <v>74</v>
      </c>
      <c r="Q220">
        <v>295</v>
      </c>
      <c r="R220" t="s">
        <v>50</v>
      </c>
      <c r="S220">
        <v>15.99</v>
      </c>
    </row>
    <row r="221" spans="1:19" x14ac:dyDescent="0.3">
      <c r="A221">
        <f>'Raw Data'!D221-'Raw Data'!C221</f>
        <v>203</v>
      </c>
      <c r="B221" s="2" t="str">
        <f>_xlfn.IFS('Raw Data'!E221&gt;10,"Premium",'Raw Data'!E221&lt;10,"Basic")</f>
        <v>Premium</v>
      </c>
      <c r="C221">
        <v>11.99</v>
      </c>
      <c r="D221">
        <v>9026</v>
      </c>
      <c r="E221" t="s">
        <v>62</v>
      </c>
      <c r="F221" t="s">
        <v>30</v>
      </c>
      <c r="G221">
        <v>139</v>
      </c>
      <c r="H221" t="s">
        <v>28</v>
      </c>
      <c r="I221">
        <v>2571</v>
      </c>
      <c r="J221">
        <v>9026</v>
      </c>
      <c r="K221" t="s">
        <v>44</v>
      </c>
      <c r="L221" t="s">
        <v>49</v>
      </c>
      <c r="M221">
        <v>12</v>
      </c>
      <c r="N221">
        <v>9</v>
      </c>
      <c r="O221" t="s">
        <v>30</v>
      </c>
      <c r="P221" t="s">
        <v>44</v>
      </c>
      <c r="Q221">
        <v>139</v>
      </c>
      <c r="R221" t="s">
        <v>50</v>
      </c>
      <c r="S221">
        <v>11.99</v>
      </c>
    </row>
    <row r="222" spans="1:19" x14ac:dyDescent="0.3">
      <c r="A222">
        <f>'Raw Data'!D222-'Raw Data'!C222</f>
        <v>450</v>
      </c>
      <c r="B222" s="2" t="str">
        <f>_xlfn.IFS('Raw Data'!E222&gt;10,"Premium",'Raw Data'!E222&lt;10,"Basic")</f>
        <v>Premium</v>
      </c>
      <c r="C222">
        <v>15.99</v>
      </c>
      <c r="D222">
        <v>2723</v>
      </c>
      <c r="E222" t="s">
        <v>24</v>
      </c>
      <c r="F222" t="s">
        <v>68</v>
      </c>
      <c r="G222">
        <v>416</v>
      </c>
      <c r="H222" t="s">
        <v>28</v>
      </c>
      <c r="I222">
        <v>3834</v>
      </c>
      <c r="J222">
        <v>2723</v>
      </c>
      <c r="K222" t="s">
        <v>48</v>
      </c>
      <c r="L222" t="s">
        <v>40</v>
      </c>
      <c r="M222">
        <v>920</v>
      </c>
      <c r="N222">
        <v>79</v>
      </c>
      <c r="O222" t="s">
        <v>68</v>
      </c>
      <c r="P222" t="s">
        <v>48</v>
      </c>
      <c r="Q222">
        <v>416</v>
      </c>
      <c r="R222" t="s">
        <v>67</v>
      </c>
      <c r="S222">
        <v>15.99</v>
      </c>
    </row>
    <row r="223" spans="1:19" x14ac:dyDescent="0.3">
      <c r="A223">
        <f>'Raw Data'!D223-'Raw Data'!C223</f>
        <v>266</v>
      </c>
      <c r="B223" s="2" t="str">
        <f>_xlfn.IFS('Raw Data'!E223&gt;10,"Premium",'Raw Data'!E223&lt;10,"Basic")</f>
        <v>Basic</v>
      </c>
      <c r="C223">
        <v>7.99</v>
      </c>
      <c r="D223">
        <v>5487</v>
      </c>
      <c r="E223" t="s">
        <v>62</v>
      </c>
      <c r="F223" t="s">
        <v>36</v>
      </c>
      <c r="G223">
        <v>173</v>
      </c>
      <c r="H223" t="s">
        <v>28</v>
      </c>
      <c r="I223">
        <v>4714</v>
      </c>
      <c r="J223">
        <v>5487</v>
      </c>
      <c r="K223" t="s">
        <v>25</v>
      </c>
      <c r="L223" t="s">
        <v>26</v>
      </c>
      <c r="M223">
        <v>819</v>
      </c>
      <c r="N223">
        <v>174</v>
      </c>
      <c r="O223" t="s">
        <v>36</v>
      </c>
      <c r="P223" t="s">
        <v>25</v>
      </c>
      <c r="Q223">
        <v>173</v>
      </c>
      <c r="R223" t="s">
        <v>27</v>
      </c>
      <c r="S223">
        <v>7.99</v>
      </c>
    </row>
    <row r="224" spans="1:19" x14ac:dyDescent="0.3">
      <c r="A224">
        <f>'Raw Data'!D224-'Raw Data'!C224</f>
        <v>557</v>
      </c>
      <c r="B224" s="2" t="str">
        <f>_xlfn.IFS('Raw Data'!E224&gt;10,"Premium",'Raw Data'!E224&lt;10,"Basic")</f>
        <v>Basic</v>
      </c>
      <c r="C224">
        <v>7.99</v>
      </c>
      <c r="D224">
        <v>4656</v>
      </c>
      <c r="E224" t="s">
        <v>24</v>
      </c>
      <c r="F224" t="s">
        <v>36</v>
      </c>
      <c r="G224">
        <v>75</v>
      </c>
      <c r="H224" t="s">
        <v>28</v>
      </c>
      <c r="I224">
        <v>4800</v>
      </c>
      <c r="J224">
        <v>4656</v>
      </c>
      <c r="K224" t="s">
        <v>39</v>
      </c>
      <c r="L224" t="s">
        <v>64</v>
      </c>
      <c r="M224">
        <v>607</v>
      </c>
      <c r="N224">
        <v>94</v>
      </c>
      <c r="O224" t="s">
        <v>36</v>
      </c>
      <c r="P224" t="s">
        <v>39</v>
      </c>
      <c r="Q224">
        <v>75</v>
      </c>
      <c r="R224" t="s">
        <v>34</v>
      </c>
      <c r="S224">
        <v>7.99</v>
      </c>
    </row>
    <row r="225" spans="1:19" x14ac:dyDescent="0.3">
      <c r="A225">
        <f>'Raw Data'!D225-'Raw Data'!C225</f>
        <v>167</v>
      </c>
      <c r="B225" s="2" t="str">
        <f>_xlfn.IFS('Raw Data'!E225&gt;10,"Premium",'Raw Data'!E225&lt;10,"Basic")</f>
        <v>Premium</v>
      </c>
      <c r="C225">
        <v>15.99</v>
      </c>
      <c r="D225">
        <v>5718</v>
      </c>
      <c r="E225" t="s">
        <v>43</v>
      </c>
      <c r="F225" t="s">
        <v>60</v>
      </c>
      <c r="G225">
        <v>173</v>
      </c>
      <c r="H225" t="s">
        <v>28</v>
      </c>
      <c r="I225">
        <v>1610</v>
      </c>
      <c r="J225">
        <v>5718</v>
      </c>
      <c r="K225" t="s">
        <v>39</v>
      </c>
      <c r="L225" t="s">
        <v>26</v>
      </c>
      <c r="M225">
        <v>346</v>
      </c>
      <c r="N225">
        <v>76</v>
      </c>
      <c r="O225" t="s">
        <v>60</v>
      </c>
      <c r="P225" t="s">
        <v>39</v>
      </c>
      <c r="Q225">
        <v>173</v>
      </c>
      <c r="R225" t="s">
        <v>50</v>
      </c>
      <c r="S225">
        <v>15.99</v>
      </c>
    </row>
    <row r="226" spans="1:19" x14ac:dyDescent="0.3">
      <c r="A226">
        <f>'Raw Data'!D226-'Raw Data'!C226</f>
        <v>468</v>
      </c>
      <c r="B226" s="2" t="str">
        <f>_xlfn.IFS('Raw Data'!E226&gt;10,"Premium",'Raw Data'!E226&lt;10,"Basic")</f>
        <v>Basic</v>
      </c>
      <c r="C226">
        <v>7.99</v>
      </c>
      <c r="D226">
        <v>1215</v>
      </c>
      <c r="E226" t="s">
        <v>46</v>
      </c>
      <c r="F226" t="s">
        <v>36</v>
      </c>
      <c r="G226">
        <v>421</v>
      </c>
      <c r="H226" t="s">
        <v>28</v>
      </c>
      <c r="I226">
        <v>2780</v>
      </c>
      <c r="J226">
        <v>1215</v>
      </c>
      <c r="K226" t="s">
        <v>39</v>
      </c>
      <c r="L226" t="s">
        <v>49</v>
      </c>
      <c r="M226">
        <v>668</v>
      </c>
      <c r="N226">
        <v>17</v>
      </c>
      <c r="O226" t="s">
        <v>36</v>
      </c>
      <c r="P226" t="s">
        <v>39</v>
      </c>
      <c r="Q226">
        <v>421</v>
      </c>
      <c r="R226" t="s">
        <v>50</v>
      </c>
      <c r="S226">
        <v>7.99</v>
      </c>
    </row>
    <row r="227" spans="1:19" x14ac:dyDescent="0.3">
      <c r="A227">
        <f>'Raw Data'!D227-'Raw Data'!C227</f>
        <v>363</v>
      </c>
      <c r="B227" s="2" t="str">
        <f>_xlfn.IFS('Raw Data'!E227&gt;10,"Premium",'Raw Data'!E227&lt;10,"Basic")</f>
        <v>Premium</v>
      </c>
      <c r="C227">
        <v>15.99</v>
      </c>
      <c r="D227">
        <v>3427</v>
      </c>
      <c r="E227" t="s">
        <v>43</v>
      </c>
      <c r="F227" t="s">
        <v>36</v>
      </c>
      <c r="G227">
        <v>29</v>
      </c>
      <c r="H227" t="s">
        <v>28</v>
      </c>
      <c r="I227">
        <v>639</v>
      </c>
      <c r="J227">
        <v>3427</v>
      </c>
      <c r="K227" t="s">
        <v>25</v>
      </c>
      <c r="L227" t="s">
        <v>49</v>
      </c>
      <c r="M227">
        <v>317</v>
      </c>
      <c r="N227">
        <v>116</v>
      </c>
      <c r="O227" t="s">
        <v>36</v>
      </c>
      <c r="P227" t="s">
        <v>25</v>
      </c>
      <c r="Q227">
        <v>29</v>
      </c>
      <c r="R227" t="s">
        <v>34</v>
      </c>
      <c r="S227">
        <v>15.99</v>
      </c>
    </row>
    <row r="228" spans="1:19" x14ac:dyDescent="0.3">
      <c r="A228">
        <f>'Raw Data'!D228-'Raw Data'!C228</f>
        <v>268</v>
      </c>
      <c r="B228" s="2" t="str">
        <f>_xlfn.IFS('Raw Data'!E228&gt;10,"Premium",'Raw Data'!E228&lt;10,"Basic")</f>
        <v>Basic</v>
      </c>
      <c r="C228">
        <v>7.99</v>
      </c>
      <c r="D228">
        <v>2428</v>
      </c>
      <c r="E228" t="s">
        <v>62</v>
      </c>
      <c r="F228" t="s">
        <v>52</v>
      </c>
      <c r="G228">
        <v>180</v>
      </c>
      <c r="H228" t="s">
        <v>28</v>
      </c>
      <c r="I228">
        <v>1960</v>
      </c>
      <c r="J228">
        <v>2428</v>
      </c>
      <c r="K228" t="s">
        <v>74</v>
      </c>
      <c r="L228" t="s">
        <v>49</v>
      </c>
      <c r="M228">
        <v>297</v>
      </c>
      <c r="N228">
        <v>19</v>
      </c>
      <c r="O228" t="s">
        <v>52</v>
      </c>
      <c r="P228" t="s">
        <v>74</v>
      </c>
      <c r="Q228">
        <v>180</v>
      </c>
      <c r="R228" t="s">
        <v>27</v>
      </c>
      <c r="S228">
        <v>7.99</v>
      </c>
    </row>
    <row r="229" spans="1:19" x14ac:dyDescent="0.3">
      <c r="A229">
        <f>'Raw Data'!D229-'Raw Data'!C229</f>
        <v>84</v>
      </c>
      <c r="B229" s="2" t="str">
        <f>_xlfn.IFS('Raw Data'!E229&gt;10,"Premium",'Raw Data'!E229&lt;10,"Basic")</f>
        <v>Premium</v>
      </c>
      <c r="C229">
        <v>11.99</v>
      </c>
      <c r="D229">
        <v>1947</v>
      </c>
      <c r="E229" t="s">
        <v>24</v>
      </c>
      <c r="F229" t="s">
        <v>52</v>
      </c>
      <c r="G229">
        <v>469</v>
      </c>
      <c r="H229" t="s">
        <v>28</v>
      </c>
      <c r="I229">
        <v>1764</v>
      </c>
      <c r="J229">
        <v>1947</v>
      </c>
      <c r="K229" t="s">
        <v>39</v>
      </c>
      <c r="L229" t="s">
        <v>49</v>
      </c>
      <c r="M229">
        <v>866</v>
      </c>
      <c r="N229">
        <v>120</v>
      </c>
      <c r="O229" t="s">
        <v>52</v>
      </c>
      <c r="P229" t="s">
        <v>39</v>
      </c>
      <c r="Q229">
        <v>469</v>
      </c>
      <c r="R229" t="s">
        <v>56</v>
      </c>
      <c r="S229">
        <v>11.99</v>
      </c>
    </row>
    <row r="230" spans="1:19" x14ac:dyDescent="0.3">
      <c r="A230">
        <f>'Raw Data'!D230-'Raw Data'!C230</f>
        <v>105</v>
      </c>
      <c r="B230" s="2" t="str">
        <f>_xlfn.IFS('Raw Data'!E230&gt;10,"Premium",'Raw Data'!E230&lt;10,"Basic")</f>
        <v>Premium</v>
      </c>
      <c r="C230">
        <v>15.99</v>
      </c>
      <c r="D230">
        <v>5036</v>
      </c>
      <c r="E230" t="s">
        <v>55</v>
      </c>
      <c r="F230" t="s">
        <v>52</v>
      </c>
      <c r="G230">
        <v>381</v>
      </c>
      <c r="H230" t="s">
        <v>28</v>
      </c>
      <c r="I230">
        <v>967</v>
      </c>
      <c r="J230">
        <v>5036</v>
      </c>
      <c r="K230" t="s">
        <v>39</v>
      </c>
      <c r="L230" t="s">
        <v>64</v>
      </c>
      <c r="M230">
        <v>286</v>
      </c>
      <c r="N230">
        <v>121</v>
      </c>
      <c r="O230" t="s">
        <v>52</v>
      </c>
      <c r="P230" t="s">
        <v>39</v>
      </c>
      <c r="Q230">
        <v>381</v>
      </c>
      <c r="R230" t="s">
        <v>67</v>
      </c>
      <c r="S230">
        <v>15.99</v>
      </c>
    </row>
    <row r="231" spans="1:19" x14ac:dyDescent="0.3">
      <c r="A231">
        <f>'Raw Data'!D231-'Raw Data'!C231</f>
        <v>10</v>
      </c>
      <c r="B231" s="2" t="str">
        <f>_xlfn.IFS('Raw Data'!E231&gt;10,"Premium",'Raw Data'!E231&lt;10,"Basic")</f>
        <v>Premium</v>
      </c>
      <c r="C231">
        <v>15.99</v>
      </c>
      <c r="D231">
        <v>5857</v>
      </c>
      <c r="E231" t="s">
        <v>55</v>
      </c>
      <c r="F231" t="s">
        <v>68</v>
      </c>
      <c r="G231">
        <v>263</v>
      </c>
      <c r="H231" t="s">
        <v>28</v>
      </c>
      <c r="I231">
        <v>2086</v>
      </c>
      <c r="J231">
        <v>5857</v>
      </c>
      <c r="K231" t="s">
        <v>63</v>
      </c>
      <c r="L231" t="s">
        <v>49</v>
      </c>
      <c r="M231">
        <v>95</v>
      </c>
      <c r="N231">
        <v>149</v>
      </c>
      <c r="O231" t="s">
        <v>68</v>
      </c>
      <c r="P231" t="s">
        <v>63</v>
      </c>
      <c r="Q231">
        <v>263</v>
      </c>
      <c r="R231" t="s">
        <v>67</v>
      </c>
      <c r="S231">
        <v>15.99</v>
      </c>
    </row>
    <row r="232" spans="1:19" x14ac:dyDescent="0.3">
      <c r="A232">
        <f>'Raw Data'!D232-'Raw Data'!C232</f>
        <v>467</v>
      </c>
      <c r="B232" s="2" t="str">
        <f>_xlfn.IFS('Raw Data'!E232&gt;10,"Premium",'Raw Data'!E232&lt;10,"Basic")</f>
        <v>Basic</v>
      </c>
      <c r="C232">
        <v>7.99</v>
      </c>
      <c r="D232">
        <v>8770</v>
      </c>
      <c r="E232" t="s">
        <v>33</v>
      </c>
      <c r="F232" t="s">
        <v>68</v>
      </c>
      <c r="G232">
        <v>48</v>
      </c>
      <c r="H232" t="s">
        <v>28</v>
      </c>
      <c r="I232">
        <v>3288</v>
      </c>
      <c r="J232">
        <v>8770</v>
      </c>
      <c r="K232" t="s">
        <v>39</v>
      </c>
      <c r="L232" t="s">
        <v>64</v>
      </c>
      <c r="M232">
        <v>938</v>
      </c>
      <c r="N232">
        <v>92</v>
      </c>
      <c r="O232" t="s">
        <v>68</v>
      </c>
      <c r="P232" t="s">
        <v>39</v>
      </c>
      <c r="Q232">
        <v>48</v>
      </c>
      <c r="R232" t="s">
        <v>67</v>
      </c>
      <c r="S232">
        <v>7.99</v>
      </c>
    </row>
    <row r="233" spans="1:19" x14ac:dyDescent="0.3">
      <c r="A233">
        <f>'Raw Data'!D233-'Raw Data'!C233</f>
        <v>553</v>
      </c>
      <c r="B233" s="2" t="str">
        <f>_xlfn.IFS('Raw Data'!E233&gt;10,"Premium",'Raw Data'!E233&lt;10,"Basic")</f>
        <v>Premium</v>
      </c>
      <c r="C233">
        <v>11.99</v>
      </c>
      <c r="D233">
        <v>4118</v>
      </c>
      <c r="E233" t="s">
        <v>46</v>
      </c>
      <c r="F233" t="s">
        <v>68</v>
      </c>
      <c r="G233">
        <v>447</v>
      </c>
      <c r="H233" t="s">
        <v>28</v>
      </c>
      <c r="I233">
        <v>1486</v>
      </c>
      <c r="J233">
        <v>4118</v>
      </c>
      <c r="K233" t="s">
        <v>59</v>
      </c>
      <c r="L233" t="s">
        <v>26</v>
      </c>
      <c r="M233">
        <v>264</v>
      </c>
      <c r="N233">
        <v>55</v>
      </c>
      <c r="O233" t="s">
        <v>68</v>
      </c>
      <c r="P233" t="s">
        <v>59</v>
      </c>
      <c r="Q233">
        <v>447</v>
      </c>
      <c r="R233" t="s">
        <v>41</v>
      </c>
      <c r="S233">
        <v>11.99</v>
      </c>
    </row>
    <row r="234" spans="1:19" x14ac:dyDescent="0.3">
      <c r="A234">
        <f>'Raw Data'!D234-'Raw Data'!C234</f>
        <v>115</v>
      </c>
      <c r="B234" s="2" t="str">
        <f>_xlfn.IFS('Raw Data'!E234&gt;10,"Premium",'Raw Data'!E234&lt;10,"Basic")</f>
        <v>Premium</v>
      </c>
      <c r="C234">
        <v>15.99</v>
      </c>
      <c r="D234">
        <v>7162</v>
      </c>
      <c r="E234" t="s">
        <v>43</v>
      </c>
      <c r="F234" t="s">
        <v>68</v>
      </c>
      <c r="G234">
        <v>415</v>
      </c>
      <c r="H234" t="s">
        <v>28</v>
      </c>
      <c r="I234">
        <v>223</v>
      </c>
      <c r="J234">
        <v>7162</v>
      </c>
      <c r="K234" t="s">
        <v>74</v>
      </c>
      <c r="L234" t="s">
        <v>40</v>
      </c>
      <c r="M234">
        <v>44</v>
      </c>
      <c r="N234">
        <v>10</v>
      </c>
      <c r="O234" t="s">
        <v>68</v>
      </c>
      <c r="P234" t="s">
        <v>74</v>
      </c>
      <c r="Q234">
        <v>415</v>
      </c>
      <c r="R234" t="s">
        <v>67</v>
      </c>
      <c r="S234">
        <v>15.99</v>
      </c>
    </row>
    <row r="235" spans="1:19" x14ac:dyDescent="0.3">
      <c r="A235">
        <f>'Raw Data'!D235-'Raw Data'!C235</f>
        <v>86</v>
      </c>
      <c r="B235" s="2" t="str">
        <f>_xlfn.IFS('Raw Data'!E235&gt;10,"Premium",'Raw Data'!E235&lt;10,"Basic")</f>
        <v>Basic</v>
      </c>
      <c r="C235">
        <v>7.99</v>
      </c>
      <c r="D235">
        <v>9278</v>
      </c>
      <c r="E235" t="s">
        <v>33</v>
      </c>
      <c r="F235" t="s">
        <v>60</v>
      </c>
      <c r="G235">
        <v>429</v>
      </c>
      <c r="H235" t="s">
        <v>28</v>
      </c>
      <c r="I235">
        <v>2394</v>
      </c>
      <c r="J235">
        <v>9278</v>
      </c>
      <c r="K235" t="s">
        <v>74</v>
      </c>
      <c r="L235" t="s">
        <v>26</v>
      </c>
      <c r="M235">
        <v>944</v>
      </c>
      <c r="N235">
        <v>165</v>
      </c>
      <c r="O235" t="s">
        <v>60</v>
      </c>
      <c r="P235" t="s">
        <v>74</v>
      </c>
      <c r="Q235">
        <v>429</v>
      </c>
      <c r="R235" t="s">
        <v>67</v>
      </c>
      <c r="S235">
        <v>7.99</v>
      </c>
    </row>
    <row r="236" spans="1:19" x14ac:dyDescent="0.3">
      <c r="A236">
        <f>'Raw Data'!D236-'Raw Data'!C236</f>
        <v>56</v>
      </c>
      <c r="B236" s="2" t="str">
        <f>_xlfn.IFS('Raw Data'!E236&gt;10,"Premium",'Raw Data'!E236&lt;10,"Basic")</f>
        <v>Basic</v>
      </c>
      <c r="C236">
        <v>7.99</v>
      </c>
      <c r="D236">
        <v>5406</v>
      </c>
      <c r="E236" t="s">
        <v>33</v>
      </c>
      <c r="F236" t="s">
        <v>52</v>
      </c>
      <c r="G236">
        <v>26</v>
      </c>
      <c r="H236" t="s">
        <v>28</v>
      </c>
      <c r="I236">
        <v>4329</v>
      </c>
      <c r="J236">
        <v>5406</v>
      </c>
      <c r="K236" t="s">
        <v>39</v>
      </c>
      <c r="L236" t="s">
        <v>49</v>
      </c>
      <c r="M236">
        <v>542</v>
      </c>
      <c r="N236">
        <v>152</v>
      </c>
      <c r="O236" t="s">
        <v>52</v>
      </c>
      <c r="P236" t="s">
        <v>39</v>
      </c>
      <c r="Q236">
        <v>26</v>
      </c>
      <c r="R236" t="s">
        <v>41</v>
      </c>
      <c r="S236">
        <v>7.99</v>
      </c>
    </row>
    <row r="237" spans="1:19" x14ac:dyDescent="0.3">
      <c r="A237">
        <f>'Raw Data'!D237-'Raw Data'!C237</f>
        <v>87</v>
      </c>
      <c r="B237" s="2" t="str">
        <f>_xlfn.IFS('Raw Data'!E237&gt;10,"Premium",'Raw Data'!E237&lt;10,"Basic")</f>
        <v>Premium</v>
      </c>
      <c r="C237">
        <v>15.99</v>
      </c>
      <c r="D237">
        <v>4641</v>
      </c>
      <c r="E237" t="s">
        <v>79</v>
      </c>
      <c r="F237" t="s">
        <v>30</v>
      </c>
      <c r="G237">
        <v>101</v>
      </c>
      <c r="H237" t="s">
        <v>28</v>
      </c>
      <c r="I237">
        <v>2193</v>
      </c>
      <c r="J237">
        <v>4641</v>
      </c>
      <c r="K237" t="s">
        <v>59</v>
      </c>
      <c r="L237" t="s">
        <v>26</v>
      </c>
      <c r="M237">
        <v>350</v>
      </c>
      <c r="N237">
        <v>17</v>
      </c>
      <c r="O237" t="s">
        <v>30</v>
      </c>
      <c r="P237" t="s">
        <v>59</v>
      </c>
      <c r="Q237">
        <v>101</v>
      </c>
      <c r="R237" t="s">
        <v>41</v>
      </c>
      <c r="S237">
        <v>15.99</v>
      </c>
    </row>
    <row r="238" spans="1:19" x14ac:dyDescent="0.3">
      <c r="A238">
        <f>'Raw Data'!D238-'Raw Data'!C238</f>
        <v>569</v>
      </c>
      <c r="B238" s="2" t="str">
        <f>_xlfn.IFS('Raw Data'!E238&gt;10,"Premium",'Raw Data'!E238&lt;10,"Basic")</f>
        <v>Premium</v>
      </c>
      <c r="C238">
        <v>15.99</v>
      </c>
      <c r="D238">
        <v>3969</v>
      </c>
      <c r="E238" t="s">
        <v>43</v>
      </c>
      <c r="F238" t="s">
        <v>36</v>
      </c>
      <c r="G238">
        <v>461</v>
      </c>
      <c r="H238" t="s">
        <v>28</v>
      </c>
      <c r="I238">
        <v>3730</v>
      </c>
      <c r="J238">
        <v>3969</v>
      </c>
      <c r="K238" t="s">
        <v>39</v>
      </c>
      <c r="L238" t="s">
        <v>26</v>
      </c>
      <c r="M238">
        <v>31</v>
      </c>
      <c r="N238">
        <v>173</v>
      </c>
      <c r="O238" t="s">
        <v>36</v>
      </c>
      <c r="P238" t="s">
        <v>39</v>
      </c>
      <c r="Q238">
        <v>461</v>
      </c>
      <c r="R238" t="s">
        <v>50</v>
      </c>
      <c r="S238">
        <v>15.99</v>
      </c>
    </row>
    <row r="239" spans="1:19" x14ac:dyDescent="0.3">
      <c r="A239">
        <f>'Raw Data'!D239-'Raw Data'!C239</f>
        <v>539</v>
      </c>
      <c r="B239" s="2" t="str">
        <f>_xlfn.IFS('Raw Data'!E239&gt;10,"Premium",'Raw Data'!E239&lt;10,"Basic")</f>
        <v>Basic</v>
      </c>
      <c r="C239">
        <v>7.99</v>
      </c>
      <c r="D239">
        <v>3078</v>
      </c>
      <c r="E239" t="s">
        <v>24</v>
      </c>
      <c r="F239" t="s">
        <v>52</v>
      </c>
      <c r="G239">
        <v>246</v>
      </c>
      <c r="H239" t="s">
        <v>28</v>
      </c>
      <c r="I239">
        <v>2234</v>
      </c>
      <c r="J239">
        <v>3078</v>
      </c>
      <c r="K239" t="s">
        <v>63</v>
      </c>
      <c r="L239" t="s">
        <v>49</v>
      </c>
      <c r="M239">
        <v>358</v>
      </c>
      <c r="N239">
        <v>158</v>
      </c>
      <c r="O239" t="s">
        <v>52</v>
      </c>
      <c r="P239" t="s">
        <v>63</v>
      </c>
      <c r="Q239">
        <v>246</v>
      </c>
      <c r="R239" t="s">
        <v>27</v>
      </c>
      <c r="S239">
        <v>7.99</v>
      </c>
    </row>
    <row r="240" spans="1:19" x14ac:dyDescent="0.3">
      <c r="A240">
        <f>'Raw Data'!D240-'Raw Data'!C240</f>
        <v>398</v>
      </c>
      <c r="B240" s="2" t="str">
        <f>_xlfn.IFS('Raw Data'!E240&gt;10,"Premium",'Raw Data'!E240&lt;10,"Basic")</f>
        <v>Premium</v>
      </c>
      <c r="C240">
        <v>15.99</v>
      </c>
      <c r="D240">
        <v>2808</v>
      </c>
      <c r="E240" t="s">
        <v>55</v>
      </c>
      <c r="F240" t="s">
        <v>36</v>
      </c>
      <c r="G240">
        <v>91</v>
      </c>
      <c r="H240" t="s">
        <v>28</v>
      </c>
      <c r="I240">
        <v>718</v>
      </c>
      <c r="J240">
        <v>2808</v>
      </c>
      <c r="K240" t="s">
        <v>25</v>
      </c>
      <c r="L240" t="s">
        <v>26</v>
      </c>
      <c r="M240">
        <v>961</v>
      </c>
      <c r="N240">
        <v>170</v>
      </c>
      <c r="O240" t="s">
        <v>36</v>
      </c>
      <c r="P240" t="s">
        <v>25</v>
      </c>
      <c r="Q240">
        <v>91</v>
      </c>
      <c r="R240" t="s">
        <v>41</v>
      </c>
      <c r="S240">
        <v>15.99</v>
      </c>
    </row>
    <row r="241" spans="1:19" x14ac:dyDescent="0.3">
      <c r="A241">
        <f>'Raw Data'!D241-'Raw Data'!C241</f>
        <v>-17</v>
      </c>
      <c r="B241" s="2" t="str">
        <f>_xlfn.IFS('Raw Data'!E241&gt;10,"Premium",'Raw Data'!E241&lt;10,"Basic")</f>
        <v>Premium</v>
      </c>
      <c r="C241">
        <v>11.99</v>
      </c>
      <c r="D241">
        <v>7484</v>
      </c>
      <c r="E241" t="s">
        <v>79</v>
      </c>
      <c r="F241" t="s">
        <v>36</v>
      </c>
      <c r="G241">
        <v>152</v>
      </c>
      <c r="H241" t="s">
        <v>28</v>
      </c>
      <c r="I241">
        <v>1594</v>
      </c>
      <c r="J241">
        <v>7484</v>
      </c>
      <c r="K241" t="s">
        <v>39</v>
      </c>
      <c r="L241" t="s">
        <v>64</v>
      </c>
      <c r="M241">
        <v>623</v>
      </c>
      <c r="N241">
        <v>180</v>
      </c>
      <c r="O241" t="s">
        <v>36</v>
      </c>
      <c r="P241" t="s">
        <v>39</v>
      </c>
      <c r="Q241">
        <v>152</v>
      </c>
      <c r="R241" t="s">
        <v>67</v>
      </c>
      <c r="S241">
        <v>11.99</v>
      </c>
    </row>
    <row r="242" spans="1:19" x14ac:dyDescent="0.3">
      <c r="A242">
        <f>'Raw Data'!D242-'Raw Data'!C242</f>
        <v>359</v>
      </c>
      <c r="B242" s="2" t="str">
        <f>_xlfn.IFS('Raw Data'!E242&gt;10,"Premium",'Raw Data'!E242&lt;10,"Basic")</f>
        <v>Premium</v>
      </c>
      <c r="C242">
        <v>11.99</v>
      </c>
      <c r="D242">
        <v>2396</v>
      </c>
      <c r="E242" t="s">
        <v>24</v>
      </c>
      <c r="F242" t="s">
        <v>30</v>
      </c>
      <c r="G242">
        <v>283</v>
      </c>
      <c r="H242" t="s">
        <v>28</v>
      </c>
      <c r="I242">
        <v>681</v>
      </c>
      <c r="J242">
        <v>2396</v>
      </c>
      <c r="K242" t="s">
        <v>44</v>
      </c>
      <c r="L242" t="s">
        <v>26</v>
      </c>
      <c r="M242">
        <v>466</v>
      </c>
      <c r="N242">
        <v>139</v>
      </c>
      <c r="O242" t="s">
        <v>30</v>
      </c>
      <c r="P242" t="s">
        <v>44</v>
      </c>
      <c r="Q242">
        <v>283</v>
      </c>
      <c r="R242" t="s">
        <v>27</v>
      </c>
      <c r="S242">
        <v>11.99</v>
      </c>
    </row>
    <row r="243" spans="1:19" x14ac:dyDescent="0.3">
      <c r="A243">
        <f>'Raw Data'!D243-'Raw Data'!C243</f>
        <v>373</v>
      </c>
      <c r="B243" s="2" t="str">
        <f>_xlfn.IFS('Raw Data'!E243&gt;10,"Premium",'Raw Data'!E243&lt;10,"Basic")</f>
        <v>Basic</v>
      </c>
      <c r="C243">
        <v>7.99</v>
      </c>
      <c r="D243">
        <v>2472</v>
      </c>
      <c r="E243" t="s">
        <v>62</v>
      </c>
      <c r="F243" t="s">
        <v>68</v>
      </c>
      <c r="G243">
        <v>61</v>
      </c>
      <c r="H243" t="s">
        <v>28</v>
      </c>
      <c r="I243">
        <v>428</v>
      </c>
      <c r="J243">
        <v>2472</v>
      </c>
      <c r="K243" t="s">
        <v>48</v>
      </c>
      <c r="L243" t="s">
        <v>40</v>
      </c>
      <c r="M243">
        <v>860</v>
      </c>
      <c r="N243">
        <v>145</v>
      </c>
      <c r="O243" t="s">
        <v>68</v>
      </c>
      <c r="P243" t="s">
        <v>48</v>
      </c>
      <c r="Q243">
        <v>61</v>
      </c>
      <c r="R243" t="s">
        <v>50</v>
      </c>
      <c r="S243">
        <v>7.99</v>
      </c>
    </row>
    <row r="244" spans="1:19" x14ac:dyDescent="0.3">
      <c r="A244">
        <f>'Raw Data'!D244-'Raw Data'!C244</f>
        <v>444</v>
      </c>
      <c r="B244" s="2" t="str">
        <f>_xlfn.IFS('Raw Data'!E244&gt;10,"Premium",'Raw Data'!E244&lt;10,"Basic")</f>
        <v>Premium</v>
      </c>
      <c r="C244">
        <v>11.99</v>
      </c>
      <c r="D244">
        <v>7939</v>
      </c>
      <c r="E244" t="s">
        <v>62</v>
      </c>
      <c r="F244" t="s">
        <v>36</v>
      </c>
      <c r="G244">
        <v>410</v>
      </c>
      <c r="H244" t="s">
        <v>28</v>
      </c>
      <c r="I244">
        <v>2542</v>
      </c>
      <c r="J244">
        <v>7939</v>
      </c>
      <c r="K244" t="s">
        <v>74</v>
      </c>
      <c r="L244" t="s">
        <v>26</v>
      </c>
      <c r="M244">
        <v>410</v>
      </c>
      <c r="N244">
        <v>125</v>
      </c>
      <c r="O244" t="s">
        <v>36</v>
      </c>
      <c r="P244" t="s">
        <v>74</v>
      </c>
      <c r="Q244">
        <v>410</v>
      </c>
      <c r="R244" t="s">
        <v>34</v>
      </c>
      <c r="S244">
        <v>11.99</v>
      </c>
    </row>
    <row r="245" spans="1:19" x14ac:dyDescent="0.3">
      <c r="A245">
        <f>'Raw Data'!D245-'Raw Data'!C245</f>
        <v>295</v>
      </c>
      <c r="B245" s="2" t="str">
        <f>_xlfn.IFS('Raw Data'!E245&gt;10,"Premium",'Raw Data'!E245&lt;10,"Basic")</f>
        <v>Basic</v>
      </c>
      <c r="C245">
        <v>7.99</v>
      </c>
      <c r="D245">
        <v>8269</v>
      </c>
      <c r="E245" t="s">
        <v>24</v>
      </c>
      <c r="F245" t="s">
        <v>68</v>
      </c>
      <c r="G245">
        <v>88</v>
      </c>
      <c r="H245" t="s">
        <v>28</v>
      </c>
      <c r="I245">
        <v>4763</v>
      </c>
      <c r="J245">
        <v>8269</v>
      </c>
      <c r="K245" t="s">
        <v>48</v>
      </c>
      <c r="L245" t="s">
        <v>49</v>
      </c>
      <c r="M245">
        <v>69</v>
      </c>
      <c r="N245">
        <v>75</v>
      </c>
      <c r="O245" t="s">
        <v>68</v>
      </c>
      <c r="P245" t="s">
        <v>48</v>
      </c>
      <c r="Q245">
        <v>88</v>
      </c>
      <c r="R245" t="s">
        <v>34</v>
      </c>
      <c r="S245">
        <v>7.99</v>
      </c>
    </row>
    <row r="246" spans="1:19" x14ac:dyDescent="0.3">
      <c r="A246">
        <f>'Raw Data'!D246-'Raw Data'!C246</f>
        <v>517</v>
      </c>
      <c r="B246" s="2" t="str">
        <f>_xlfn.IFS('Raw Data'!E246&gt;10,"Premium",'Raw Data'!E246&lt;10,"Basic")</f>
        <v>Premium</v>
      </c>
      <c r="C246">
        <v>15.99</v>
      </c>
      <c r="D246">
        <v>9073</v>
      </c>
      <c r="E246" t="s">
        <v>46</v>
      </c>
      <c r="F246" t="s">
        <v>60</v>
      </c>
      <c r="G246">
        <v>322</v>
      </c>
      <c r="H246" t="s">
        <v>28</v>
      </c>
      <c r="I246">
        <v>486</v>
      </c>
      <c r="J246">
        <v>9073</v>
      </c>
      <c r="K246" t="s">
        <v>59</v>
      </c>
      <c r="L246" t="s">
        <v>49</v>
      </c>
      <c r="M246">
        <v>424</v>
      </c>
      <c r="N246">
        <v>74</v>
      </c>
      <c r="O246" t="s">
        <v>60</v>
      </c>
      <c r="P246" t="s">
        <v>59</v>
      </c>
      <c r="Q246">
        <v>322</v>
      </c>
      <c r="R246" t="s">
        <v>67</v>
      </c>
      <c r="S246">
        <v>15.99</v>
      </c>
    </row>
    <row r="247" spans="1:19" x14ac:dyDescent="0.3">
      <c r="A247">
        <f>'Raw Data'!D247-'Raw Data'!C247</f>
        <v>671</v>
      </c>
      <c r="B247" s="2" t="str">
        <f>_xlfn.IFS('Raw Data'!E247&gt;10,"Premium",'Raw Data'!E247&lt;10,"Basic")</f>
        <v>Basic</v>
      </c>
      <c r="C247">
        <v>7.99</v>
      </c>
      <c r="D247">
        <v>9879</v>
      </c>
      <c r="E247" t="s">
        <v>55</v>
      </c>
      <c r="F247" t="s">
        <v>36</v>
      </c>
      <c r="G247">
        <v>217</v>
      </c>
      <c r="H247" t="s">
        <v>28</v>
      </c>
      <c r="I247">
        <v>4327</v>
      </c>
      <c r="J247">
        <v>9879</v>
      </c>
      <c r="K247" t="s">
        <v>39</v>
      </c>
      <c r="L247" t="s">
        <v>26</v>
      </c>
      <c r="M247">
        <v>377</v>
      </c>
      <c r="N247">
        <v>136</v>
      </c>
      <c r="O247" t="s">
        <v>36</v>
      </c>
      <c r="P247" t="s">
        <v>39</v>
      </c>
      <c r="Q247">
        <v>217</v>
      </c>
      <c r="R247" t="s">
        <v>41</v>
      </c>
      <c r="S247">
        <v>7.99</v>
      </c>
    </row>
    <row r="248" spans="1:19" x14ac:dyDescent="0.3">
      <c r="A248">
        <f>'Raw Data'!D248-'Raw Data'!C248</f>
        <v>489</v>
      </c>
      <c r="B248" s="2" t="str">
        <f>_xlfn.IFS('Raw Data'!E248&gt;10,"Premium",'Raw Data'!E248&lt;10,"Basic")</f>
        <v>Premium</v>
      </c>
      <c r="C248">
        <v>15.99</v>
      </c>
      <c r="D248">
        <v>3822</v>
      </c>
      <c r="E248" t="s">
        <v>24</v>
      </c>
      <c r="F248" t="s">
        <v>30</v>
      </c>
      <c r="G248">
        <v>180</v>
      </c>
      <c r="H248" t="s">
        <v>28</v>
      </c>
      <c r="I248">
        <v>2938</v>
      </c>
      <c r="J248">
        <v>3822</v>
      </c>
      <c r="K248" t="s">
        <v>25</v>
      </c>
      <c r="L248" t="s">
        <v>49</v>
      </c>
      <c r="M248">
        <v>132</v>
      </c>
      <c r="N248">
        <v>127</v>
      </c>
      <c r="O248" t="s">
        <v>30</v>
      </c>
      <c r="P248" t="s">
        <v>25</v>
      </c>
      <c r="Q248">
        <v>180</v>
      </c>
      <c r="R248" t="s">
        <v>56</v>
      </c>
      <c r="S248">
        <v>15.99</v>
      </c>
    </row>
    <row r="249" spans="1:19" x14ac:dyDescent="0.3">
      <c r="A249">
        <f>'Raw Data'!D249-'Raw Data'!C249</f>
        <v>593</v>
      </c>
      <c r="B249" s="2" t="str">
        <f>_xlfn.IFS('Raw Data'!E249&gt;10,"Premium",'Raw Data'!E249&lt;10,"Basic")</f>
        <v>Premium</v>
      </c>
      <c r="C249">
        <v>15.99</v>
      </c>
      <c r="D249">
        <v>9183</v>
      </c>
      <c r="E249" t="s">
        <v>43</v>
      </c>
      <c r="F249" t="s">
        <v>52</v>
      </c>
      <c r="G249">
        <v>11</v>
      </c>
      <c r="H249" t="s">
        <v>28</v>
      </c>
      <c r="I249">
        <v>1429</v>
      </c>
      <c r="J249">
        <v>9183</v>
      </c>
      <c r="K249" t="s">
        <v>63</v>
      </c>
      <c r="L249" t="s">
        <v>26</v>
      </c>
      <c r="M249">
        <v>818</v>
      </c>
      <c r="N249">
        <v>45</v>
      </c>
      <c r="O249" t="s">
        <v>52</v>
      </c>
      <c r="P249" t="s">
        <v>63</v>
      </c>
      <c r="Q249">
        <v>11</v>
      </c>
      <c r="R249" t="s">
        <v>50</v>
      </c>
      <c r="S249">
        <v>15.99</v>
      </c>
    </row>
    <row r="250" spans="1:19" x14ac:dyDescent="0.3">
      <c r="A250">
        <f>'Raw Data'!D250-'Raw Data'!C250</f>
        <v>689</v>
      </c>
      <c r="B250" s="2" t="str">
        <f>_xlfn.IFS('Raw Data'!E250&gt;10,"Premium",'Raw Data'!E250&lt;10,"Basic")</f>
        <v>Premium</v>
      </c>
      <c r="C250">
        <v>15.99</v>
      </c>
      <c r="D250">
        <v>8674</v>
      </c>
      <c r="E250" t="s">
        <v>62</v>
      </c>
      <c r="F250" t="s">
        <v>36</v>
      </c>
      <c r="G250">
        <v>455</v>
      </c>
      <c r="H250" t="s">
        <v>28</v>
      </c>
      <c r="I250">
        <v>2897</v>
      </c>
      <c r="J250">
        <v>8674</v>
      </c>
      <c r="K250" t="s">
        <v>39</v>
      </c>
      <c r="L250" t="s">
        <v>64</v>
      </c>
      <c r="M250">
        <v>813</v>
      </c>
      <c r="N250">
        <v>155</v>
      </c>
      <c r="O250" t="s">
        <v>36</v>
      </c>
      <c r="P250" t="s">
        <v>39</v>
      </c>
      <c r="Q250">
        <v>455</v>
      </c>
      <c r="R250" t="s">
        <v>67</v>
      </c>
      <c r="S250">
        <v>15.99</v>
      </c>
    </row>
    <row r="251" spans="1:19" x14ac:dyDescent="0.3">
      <c r="A251">
        <f>'Raw Data'!D251-'Raw Data'!C251</f>
        <v>242</v>
      </c>
      <c r="B251" s="2" t="str">
        <f>_xlfn.IFS('Raw Data'!E251&gt;10,"Premium",'Raw Data'!E251&lt;10,"Basic")</f>
        <v>Basic</v>
      </c>
      <c r="C251">
        <v>7.99</v>
      </c>
      <c r="D251">
        <v>2481</v>
      </c>
      <c r="E251" t="s">
        <v>79</v>
      </c>
      <c r="F251" t="s">
        <v>60</v>
      </c>
      <c r="G251">
        <v>487</v>
      </c>
      <c r="H251" t="s">
        <v>28</v>
      </c>
      <c r="I251">
        <v>274</v>
      </c>
      <c r="J251">
        <v>2481</v>
      </c>
      <c r="K251" t="s">
        <v>74</v>
      </c>
      <c r="L251" t="s">
        <v>64</v>
      </c>
      <c r="M251">
        <v>362</v>
      </c>
      <c r="N251">
        <v>130</v>
      </c>
      <c r="O251" t="s">
        <v>60</v>
      </c>
      <c r="P251" t="s">
        <v>74</v>
      </c>
      <c r="Q251">
        <v>487</v>
      </c>
      <c r="R251" t="s">
        <v>56</v>
      </c>
      <c r="S251">
        <v>7.99</v>
      </c>
    </row>
    <row r="252" spans="1:19" x14ac:dyDescent="0.3">
      <c r="A252">
        <f>'Raw Data'!D252-'Raw Data'!C252</f>
        <v>339</v>
      </c>
      <c r="B252" s="2" t="str">
        <f>_xlfn.IFS('Raw Data'!E252&gt;10,"Premium",'Raw Data'!E252&lt;10,"Basic")</f>
        <v>Basic</v>
      </c>
      <c r="C252">
        <v>7.99</v>
      </c>
      <c r="D252">
        <v>8729</v>
      </c>
      <c r="E252" t="s">
        <v>46</v>
      </c>
      <c r="F252" t="s">
        <v>60</v>
      </c>
      <c r="G252">
        <v>459</v>
      </c>
      <c r="H252" t="s">
        <v>28</v>
      </c>
      <c r="I252">
        <v>3910</v>
      </c>
      <c r="J252">
        <v>8729</v>
      </c>
      <c r="K252" t="s">
        <v>59</v>
      </c>
      <c r="L252" t="s">
        <v>26</v>
      </c>
      <c r="M252">
        <v>573</v>
      </c>
      <c r="N252">
        <v>190</v>
      </c>
      <c r="O252" t="s">
        <v>60</v>
      </c>
      <c r="P252" t="s">
        <v>59</v>
      </c>
      <c r="Q252">
        <v>459</v>
      </c>
      <c r="R252" t="s">
        <v>50</v>
      </c>
      <c r="S252">
        <v>7.99</v>
      </c>
    </row>
    <row r="253" spans="1:19" x14ac:dyDescent="0.3">
      <c r="A253">
        <f>'Raw Data'!D253-'Raw Data'!C253</f>
        <v>650</v>
      </c>
      <c r="B253" s="2" t="str">
        <f>_xlfn.IFS('Raw Data'!E253&gt;10,"Premium",'Raw Data'!E253&lt;10,"Basic")</f>
        <v>Basic</v>
      </c>
      <c r="C253">
        <v>7.99</v>
      </c>
      <c r="D253">
        <v>5534</v>
      </c>
      <c r="E253" t="s">
        <v>33</v>
      </c>
      <c r="F253" t="s">
        <v>52</v>
      </c>
      <c r="G253">
        <v>74</v>
      </c>
      <c r="H253" t="s">
        <v>28</v>
      </c>
      <c r="I253">
        <v>130</v>
      </c>
      <c r="J253">
        <v>5534</v>
      </c>
      <c r="K253" t="s">
        <v>39</v>
      </c>
      <c r="L253" t="s">
        <v>40</v>
      </c>
      <c r="M253">
        <v>657</v>
      </c>
      <c r="N253">
        <v>88</v>
      </c>
      <c r="O253" t="s">
        <v>52</v>
      </c>
      <c r="P253" t="s">
        <v>39</v>
      </c>
      <c r="Q253">
        <v>74</v>
      </c>
      <c r="R253" t="s">
        <v>41</v>
      </c>
      <c r="S253">
        <v>7.99</v>
      </c>
    </row>
    <row r="254" spans="1:19" x14ac:dyDescent="0.3">
      <c r="A254">
        <f>'Raw Data'!D254-'Raw Data'!C254</f>
        <v>349</v>
      </c>
      <c r="B254" s="2" t="str">
        <f>_xlfn.IFS('Raw Data'!E254&gt;10,"Premium",'Raw Data'!E254&lt;10,"Basic")</f>
        <v>Premium</v>
      </c>
      <c r="C254">
        <v>11.99</v>
      </c>
      <c r="D254">
        <v>9785</v>
      </c>
      <c r="E254" t="s">
        <v>24</v>
      </c>
      <c r="F254" t="s">
        <v>30</v>
      </c>
      <c r="G254">
        <v>54</v>
      </c>
      <c r="H254" t="s">
        <v>28</v>
      </c>
      <c r="I254">
        <v>2557</v>
      </c>
      <c r="J254">
        <v>9785</v>
      </c>
      <c r="K254" t="s">
        <v>63</v>
      </c>
      <c r="L254" t="s">
        <v>26</v>
      </c>
      <c r="M254">
        <v>659</v>
      </c>
      <c r="N254">
        <v>2</v>
      </c>
      <c r="O254" t="s">
        <v>30</v>
      </c>
      <c r="P254" t="s">
        <v>63</v>
      </c>
      <c r="Q254">
        <v>54</v>
      </c>
      <c r="R254" t="s">
        <v>41</v>
      </c>
      <c r="S254">
        <v>11.99</v>
      </c>
    </row>
    <row r="255" spans="1:19" x14ac:dyDescent="0.3">
      <c r="A255">
        <f>'Raw Data'!D255-'Raw Data'!C255</f>
        <v>451</v>
      </c>
      <c r="B255" s="2" t="str">
        <f>_xlfn.IFS('Raw Data'!E255&gt;10,"Premium",'Raw Data'!E255&lt;10,"Basic")</f>
        <v>Premium</v>
      </c>
      <c r="C255">
        <v>11.99</v>
      </c>
      <c r="D255">
        <v>9609</v>
      </c>
      <c r="E255" t="s">
        <v>79</v>
      </c>
      <c r="F255" t="s">
        <v>60</v>
      </c>
      <c r="G255">
        <v>292</v>
      </c>
      <c r="H255" t="s">
        <v>28</v>
      </c>
      <c r="I255">
        <v>3823</v>
      </c>
      <c r="J255">
        <v>9609</v>
      </c>
      <c r="K255" t="s">
        <v>59</v>
      </c>
      <c r="L255" t="s">
        <v>40</v>
      </c>
      <c r="M255">
        <v>653</v>
      </c>
      <c r="N255">
        <v>173</v>
      </c>
      <c r="O255" t="s">
        <v>60</v>
      </c>
      <c r="P255" t="s">
        <v>59</v>
      </c>
      <c r="Q255">
        <v>292</v>
      </c>
      <c r="R255" t="s">
        <v>27</v>
      </c>
      <c r="S255">
        <v>11.99</v>
      </c>
    </row>
    <row r="256" spans="1:19" x14ac:dyDescent="0.3">
      <c r="A256">
        <f>'Raw Data'!D256-'Raw Data'!C256</f>
        <v>77</v>
      </c>
      <c r="B256" s="2" t="str">
        <f>_xlfn.IFS('Raw Data'!E256&gt;10,"Premium",'Raw Data'!E256&lt;10,"Basic")</f>
        <v>Premium</v>
      </c>
      <c r="C256">
        <v>15.99</v>
      </c>
      <c r="D256">
        <v>2829</v>
      </c>
      <c r="E256" t="s">
        <v>24</v>
      </c>
      <c r="F256" t="s">
        <v>36</v>
      </c>
      <c r="G256">
        <v>23</v>
      </c>
      <c r="H256" t="s">
        <v>28</v>
      </c>
      <c r="I256">
        <v>4048</v>
      </c>
      <c r="J256">
        <v>2829</v>
      </c>
      <c r="K256" t="s">
        <v>74</v>
      </c>
      <c r="L256" t="s">
        <v>49</v>
      </c>
      <c r="M256">
        <v>577</v>
      </c>
      <c r="N256">
        <v>131</v>
      </c>
      <c r="O256" t="s">
        <v>36</v>
      </c>
      <c r="P256" t="s">
        <v>74</v>
      </c>
      <c r="Q256">
        <v>23</v>
      </c>
      <c r="R256" t="s">
        <v>34</v>
      </c>
      <c r="S256">
        <v>15.99</v>
      </c>
    </row>
    <row r="257" spans="1:19" x14ac:dyDescent="0.3">
      <c r="A257">
        <f>'Raw Data'!D257-'Raw Data'!C257</f>
        <v>455</v>
      </c>
      <c r="B257" s="2" t="str">
        <f>_xlfn.IFS('Raw Data'!E257&gt;10,"Premium",'Raw Data'!E257&lt;10,"Basic")</f>
        <v>Premium</v>
      </c>
      <c r="C257">
        <v>11.99</v>
      </c>
      <c r="D257">
        <v>1714</v>
      </c>
      <c r="E257" t="s">
        <v>55</v>
      </c>
      <c r="F257" t="s">
        <v>30</v>
      </c>
      <c r="G257">
        <v>147</v>
      </c>
      <c r="H257" t="s">
        <v>28</v>
      </c>
      <c r="I257">
        <v>3173</v>
      </c>
      <c r="J257">
        <v>1714</v>
      </c>
      <c r="K257" t="s">
        <v>74</v>
      </c>
      <c r="L257" t="s">
        <v>49</v>
      </c>
      <c r="M257">
        <v>802</v>
      </c>
      <c r="N257">
        <v>177</v>
      </c>
      <c r="O257" t="s">
        <v>30</v>
      </c>
      <c r="P257" t="s">
        <v>74</v>
      </c>
      <c r="Q257">
        <v>147</v>
      </c>
      <c r="R257" t="s">
        <v>34</v>
      </c>
      <c r="S257">
        <v>11.99</v>
      </c>
    </row>
    <row r="258" spans="1:19" x14ac:dyDescent="0.3">
      <c r="A258">
        <f>'Raw Data'!D258-'Raw Data'!C258</f>
        <v>352</v>
      </c>
      <c r="B258" s="2" t="str">
        <f>_xlfn.IFS('Raw Data'!E258&gt;10,"Premium",'Raw Data'!E258&lt;10,"Basic")</f>
        <v>Basic</v>
      </c>
      <c r="C258">
        <v>7.99</v>
      </c>
      <c r="D258">
        <v>4475</v>
      </c>
      <c r="E258" t="s">
        <v>24</v>
      </c>
      <c r="F258" t="s">
        <v>36</v>
      </c>
      <c r="G258">
        <v>221</v>
      </c>
      <c r="H258" t="s">
        <v>28</v>
      </c>
      <c r="I258">
        <v>3289</v>
      </c>
      <c r="J258">
        <v>4475</v>
      </c>
      <c r="K258" t="s">
        <v>39</v>
      </c>
      <c r="L258" t="s">
        <v>26</v>
      </c>
      <c r="M258">
        <v>702</v>
      </c>
      <c r="N258">
        <v>130</v>
      </c>
      <c r="O258" t="s">
        <v>36</v>
      </c>
      <c r="P258" t="s">
        <v>39</v>
      </c>
      <c r="Q258">
        <v>221</v>
      </c>
      <c r="R258" t="s">
        <v>67</v>
      </c>
      <c r="S258">
        <v>7.99</v>
      </c>
    </row>
    <row r="259" spans="1:19" x14ac:dyDescent="0.3">
      <c r="A259">
        <f>'Raw Data'!D259-'Raw Data'!C259</f>
        <v>37</v>
      </c>
      <c r="B259" s="2" t="str">
        <f>_xlfn.IFS('Raw Data'!E259&gt;10,"Premium",'Raw Data'!E259&lt;10,"Basic")</f>
        <v>Basic</v>
      </c>
      <c r="C259">
        <v>7.99</v>
      </c>
      <c r="D259">
        <v>9820</v>
      </c>
      <c r="E259" t="s">
        <v>46</v>
      </c>
      <c r="F259" t="s">
        <v>36</v>
      </c>
      <c r="G259">
        <v>40</v>
      </c>
      <c r="H259" t="s">
        <v>28</v>
      </c>
      <c r="I259">
        <v>4377</v>
      </c>
      <c r="J259">
        <v>9820</v>
      </c>
      <c r="K259" t="s">
        <v>44</v>
      </c>
      <c r="L259" t="s">
        <v>49</v>
      </c>
      <c r="M259">
        <v>92</v>
      </c>
      <c r="N259">
        <v>184</v>
      </c>
      <c r="O259" t="s">
        <v>36</v>
      </c>
      <c r="P259" t="s">
        <v>44</v>
      </c>
      <c r="Q259">
        <v>40</v>
      </c>
      <c r="R259" t="s">
        <v>41</v>
      </c>
      <c r="S259">
        <v>7.99</v>
      </c>
    </row>
    <row r="260" spans="1:19" x14ac:dyDescent="0.3">
      <c r="A260">
        <f>'Raw Data'!D260-'Raw Data'!C260</f>
        <v>713</v>
      </c>
      <c r="B260" s="2" t="str">
        <f>_xlfn.IFS('Raw Data'!E260&gt;10,"Premium",'Raw Data'!E260&lt;10,"Basic")</f>
        <v>Premium</v>
      </c>
      <c r="C260">
        <v>11.99</v>
      </c>
      <c r="D260">
        <v>3261</v>
      </c>
      <c r="E260" t="s">
        <v>43</v>
      </c>
      <c r="F260" t="s">
        <v>36</v>
      </c>
      <c r="G260">
        <v>365</v>
      </c>
      <c r="H260" t="s">
        <v>28</v>
      </c>
      <c r="I260">
        <v>995</v>
      </c>
      <c r="J260">
        <v>3261</v>
      </c>
      <c r="K260" t="s">
        <v>59</v>
      </c>
      <c r="L260" t="s">
        <v>64</v>
      </c>
      <c r="M260">
        <v>582</v>
      </c>
      <c r="N260">
        <v>162</v>
      </c>
      <c r="O260" t="s">
        <v>36</v>
      </c>
      <c r="P260" t="s">
        <v>59</v>
      </c>
      <c r="Q260">
        <v>365</v>
      </c>
      <c r="R260" t="s">
        <v>27</v>
      </c>
      <c r="S260">
        <v>11.99</v>
      </c>
    </row>
    <row r="261" spans="1:19" x14ac:dyDescent="0.3">
      <c r="A261">
        <f>'Raw Data'!D261-'Raw Data'!C261</f>
        <v>235</v>
      </c>
      <c r="B261" s="2" t="str">
        <f>_xlfn.IFS('Raw Data'!E261&gt;10,"Premium",'Raw Data'!E261&lt;10,"Basic")</f>
        <v>Premium</v>
      </c>
      <c r="C261">
        <v>11.99</v>
      </c>
      <c r="D261">
        <v>6130</v>
      </c>
      <c r="E261" t="s">
        <v>79</v>
      </c>
      <c r="F261" t="s">
        <v>68</v>
      </c>
      <c r="G261">
        <v>360</v>
      </c>
      <c r="H261" t="s">
        <v>28</v>
      </c>
      <c r="I261">
        <v>2299</v>
      </c>
      <c r="J261">
        <v>6130</v>
      </c>
      <c r="K261" t="s">
        <v>48</v>
      </c>
      <c r="L261" t="s">
        <v>40</v>
      </c>
      <c r="M261">
        <v>161</v>
      </c>
      <c r="N261">
        <v>93</v>
      </c>
      <c r="O261" t="s">
        <v>68</v>
      </c>
      <c r="P261" t="s">
        <v>48</v>
      </c>
      <c r="Q261">
        <v>360</v>
      </c>
      <c r="R261" t="s">
        <v>50</v>
      </c>
      <c r="S261">
        <v>11.99</v>
      </c>
    </row>
    <row r="262" spans="1:19" x14ac:dyDescent="0.3">
      <c r="A262">
        <f>'Raw Data'!D262-'Raw Data'!C262</f>
        <v>584</v>
      </c>
      <c r="B262" s="2" t="str">
        <f>_xlfn.IFS('Raw Data'!E262&gt;10,"Premium",'Raw Data'!E262&lt;10,"Basic")</f>
        <v>Basic</v>
      </c>
      <c r="C262">
        <v>7.99</v>
      </c>
      <c r="D262">
        <v>9399</v>
      </c>
      <c r="E262" t="s">
        <v>24</v>
      </c>
      <c r="F262" t="s">
        <v>36</v>
      </c>
      <c r="G262">
        <v>127</v>
      </c>
      <c r="H262" t="s">
        <v>28</v>
      </c>
      <c r="I262">
        <v>4644</v>
      </c>
      <c r="J262">
        <v>9399</v>
      </c>
      <c r="K262" t="s">
        <v>39</v>
      </c>
      <c r="L262" t="s">
        <v>64</v>
      </c>
      <c r="M262">
        <v>842</v>
      </c>
      <c r="N262">
        <v>24</v>
      </c>
      <c r="O262" t="s">
        <v>36</v>
      </c>
      <c r="P262" t="s">
        <v>39</v>
      </c>
      <c r="Q262">
        <v>127</v>
      </c>
      <c r="R262" t="s">
        <v>50</v>
      </c>
      <c r="S262">
        <v>7.99</v>
      </c>
    </row>
    <row r="263" spans="1:19" x14ac:dyDescent="0.3">
      <c r="A263">
        <f>'Raw Data'!D263-'Raw Data'!C263</f>
        <v>9</v>
      </c>
      <c r="B263" s="2" t="str">
        <f>_xlfn.IFS('Raw Data'!E263&gt;10,"Premium",'Raw Data'!E263&lt;10,"Basic")</f>
        <v>Premium</v>
      </c>
      <c r="C263">
        <v>15.99</v>
      </c>
      <c r="D263">
        <v>6047</v>
      </c>
      <c r="E263" t="s">
        <v>55</v>
      </c>
      <c r="F263" t="s">
        <v>68</v>
      </c>
      <c r="G263">
        <v>30</v>
      </c>
      <c r="H263" t="s">
        <v>28</v>
      </c>
      <c r="I263">
        <v>746</v>
      </c>
      <c r="J263">
        <v>6047</v>
      </c>
      <c r="K263" t="s">
        <v>39</v>
      </c>
      <c r="L263" t="s">
        <v>26</v>
      </c>
      <c r="M263">
        <v>609</v>
      </c>
      <c r="N263">
        <v>6</v>
      </c>
      <c r="O263" t="s">
        <v>68</v>
      </c>
      <c r="P263" t="s">
        <v>39</v>
      </c>
      <c r="Q263">
        <v>30</v>
      </c>
      <c r="R263" t="s">
        <v>41</v>
      </c>
      <c r="S263">
        <v>15.99</v>
      </c>
    </row>
    <row r="264" spans="1:19" x14ac:dyDescent="0.3">
      <c r="A264">
        <f>'Raw Data'!D264-'Raw Data'!C264</f>
        <v>486</v>
      </c>
      <c r="B264" s="2" t="str">
        <f>_xlfn.IFS('Raw Data'!E264&gt;10,"Premium",'Raw Data'!E264&lt;10,"Basic")</f>
        <v>Basic</v>
      </c>
      <c r="C264">
        <v>7.99</v>
      </c>
      <c r="D264">
        <v>7789</v>
      </c>
      <c r="E264" t="s">
        <v>33</v>
      </c>
      <c r="F264" t="s">
        <v>60</v>
      </c>
      <c r="G264">
        <v>222</v>
      </c>
      <c r="H264" t="s">
        <v>28</v>
      </c>
      <c r="I264">
        <v>2835</v>
      </c>
      <c r="J264">
        <v>7789</v>
      </c>
      <c r="K264" t="s">
        <v>25</v>
      </c>
      <c r="L264" t="s">
        <v>64</v>
      </c>
      <c r="M264">
        <v>391</v>
      </c>
      <c r="N264">
        <v>17</v>
      </c>
      <c r="O264" t="s">
        <v>60</v>
      </c>
      <c r="P264" t="s">
        <v>25</v>
      </c>
      <c r="Q264">
        <v>222</v>
      </c>
      <c r="R264" t="s">
        <v>27</v>
      </c>
      <c r="S264">
        <v>7.99</v>
      </c>
    </row>
    <row r="265" spans="1:19" x14ac:dyDescent="0.3">
      <c r="A265">
        <f>'Raw Data'!D265-'Raw Data'!C265</f>
        <v>398</v>
      </c>
      <c r="B265" s="2" t="str">
        <f>_xlfn.IFS('Raw Data'!E265&gt;10,"Premium",'Raw Data'!E265&lt;10,"Basic")</f>
        <v>Premium</v>
      </c>
      <c r="C265">
        <v>11.99</v>
      </c>
      <c r="D265">
        <v>6111</v>
      </c>
      <c r="E265" t="s">
        <v>79</v>
      </c>
      <c r="F265" t="s">
        <v>30</v>
      </c>
      <c r="G265">
        <v>168</v>
      </c>
      <c r="H265" t="s">
        <v>28</v>
      </c>
      <c r="I265">
        <v>3626</v>
      </c>
      <c r="J265">
        <v>6111</v>
      </c>
      <c r="K265" t="s">
        <v>74</v>
      </c>
      <c r="L265" t="s">
        <v>64</v>
      </c>
      <c r="M265">
        <v>247</v>
      </c>
      <c r="N265">
        <v>172</v>
      </c>
      <c r="O265" t="s">
        <v>30</v>
      </c>
      <c r="P265" t="s">
        <v>74</v>
      </c>
      <c r="Q265">
        <v>168</v>
      </c>
      <c r="R265" t="s">
        <v>67</v>
      </c>
      <c r="S265">
        <v>11.99</v>
      </c>
    </row>
    <row r="266" spans="1:19" x14ac:dyDescent="0.3">
      <c r="A266">
        <f>'Raw Data'!D266-'Raw Data'!C266</f>
        <v>229</v>
      </c>
      <c r="B266" s="2" t="str">
        <f>_xlfn.IFS('Raw Data'!E266&gt;10,"Premium",'Raw Data'!E266&lt;10,"Basic")</f>
        <v>Basic</v>
      </c>
      <c r="C266">
        <v>7.99</v>
      </c>
      <c r="D266">
        <v>4968</v>
      </c>
      <c r="E266" t="s">
        <v>62</v>
      </c>
      <c r="F266" t="s">
        <v>68</v>
      </c>
      <c r="G266">
        <v>317</v>
      </c>
      <c r="H266" t="s">
        <v>28</v>
      </c>
      <c r="I266">
        <v>1000</v>
      </c>
      <c r="J266">
        <v>4968</v>
      </c>
      <c r="K266" t="s">
        <v>48</v>
      </c>
      <c r="L266" t="s">
        <v>49</v>
      </c>
      <c r="M266">
        <v>559</v>
      </c>
      <c r="N266">
        <v>113</v>
      </c>
      <c r="O266" t="s">
        <v>68</v>
      </c>
      <c r="P266" t="s">
        <v>48</v>
      </c>
      <c r="Q266">
        <v>317</v>
      </c>
      <c r="R266" t="s">
        <v>56</v>
      </c>
      <c r="S266">
        <v>7.99</v>
      </c>
    </row>
    <row r="267" spans="1:19" x14ac:dyDescent="0.3">
      <c r="A267">
        <f>'Raw Data'!D267-'Raw Data'!C267</f>
        <v>576</v>
      </c>
      <c r="B267" s="2" t="str">
        <f>_xlfn.IFS('Raw Data'!E267&gt;10,"Premium",'Raw Data'!E267&lt;10,"Basic")</f>
        <v>Premium</v>
      </c>
      <c r="C267">
        <v>15.99</v>
      </c>
      <c r="D267">
        <v>2739</v>
      </c>
      <c r="E267" t="s">
        <v>46</v>
      </c>
      <c r="F267" t="s">
        <v>36</v>
      </c>
      <c r="G267">
        <v>285</v>
      </c>
      <c r="H267" t="s">
        <v>28</v>
      </c>
      <c r="I267">
        <v>368</v>
      </c>
      <c r="J267">
        <v>2739</v>
      </c>
      <c r="K267" t="s">
        <v>44</v>
      </c>
      <c r="L267" t="s">
        <v>26</v>
      </c>
      <c r="M267">
        <v>706</v>
      </c>
      <c r="N267">
        <v>22</v>
      </c>
      <c r="O267" t="s">
        <v>36</v>
      </c>
      <c r="P267" t="s">
        <v>44</v>
      </c>
      <c r="Q267">
        <v>285</v>
      </c>
      <c r="R267" t="s">
        <v>41</v>
      </c>
      <c r="S267">
        <v>15.99</v>
      </c>
    </row>
    <row r="268" spans="1:19" x14ac:dyDescent="0.3">
      <c r="A268">
        <f>'Raw Data'!D268-'Raw Data'!C268</f>
        <v>456</v>
      </c>
      <c r="B268" s="2" t="str">
        <f>_xlfn.IFS('Raw Data'!E268&gt;10,"Premium",'Raw Data'!E268&lt;10,"Basic")</f>
        <v>Premium</v>
      </c>
      <c r="C268">
        <v>11.99</v>
      </c>
      <c r="D268">
        <v>6974</v>
      </c>
      <c r="E268" t="s">
        <v>62</v>
      </c>
      <c r="F268" t="s">
        <v>36</v>
      </c>
      <c r="G268">
        <v>420</v>
      </c>
      <c r="H268" t="s">
        <v>28</v>
      </c>
      <c r="I268">
        <v>2229</v>
      </c>
      <c r="J268">
        <v>6974</v>
      </c>
      <c r="K268" t="s">
        <v>48</v>
      </c>
      <c r="L268" t="s">
        <v>64</v>
      </c>
      <c r="M268">
        <v>1000</v>
      </c>
      <c r="N268">
        <v>159</v>
      </c>
      <c r="O268" t="s">
        <v>36</v>
      </c>
      <c r="P268" t="s">
        <v>48</v>
      </c>
      <c r="Q268">
        <v>420</v>
      </c>
      <c r="R268" t="s">
        <v>34</v>
      </c>
      <c r="S268">
        <v>11.99</v>
      </c>
    </row>
    <row r="269" spans="1:19" x14ac:dyDescent="0.3">
      <c r="A269">
        <f>'Raw Data'!D269-'Raw Data'!C269</f>
        <v>554</v>
      </c>
      <c r="B269" s="2" t="str">
        <f>_xlfn.IFS('Raw Data'!E269&gt;10,"Premium",'Raw Data'!E269&lt;10,"Basic")</f>
        <v>Premium</v>
      </c>
      <c r="C269">
        <v>15.99</v>
      </c>
      <c r="D269">
        <v>1784</v>
      </c>
      <c r="E269" t="s">
        <v>33</v>
      </c>
      <c r="F269" t="s">
        <v>36</v>
      </c>
      <c r="G269">
        <v>100</v>
      </c>
      <c r="H269" t="s">
        <v>28</v>
      </c>
      <c r="I269">
        <v>2643</v>
      </c>
      <c r="J269">
        <v>1784</v>
      </c>
      <c r="K269" t="s">
        <v>74</v>
      </c>
      <c r="L269" t="s">
        <v>49</v>
      </c>
      <c r="M269">
        <v>586</v>
      </c>
      <c r="N269">
        <v>32</v>
      </c>
      <c r="O269" t="s">
        <v>36</v>
      </c>
      <c r="P269" t="s">
        <v>74</v>
      </c>
      <c r="Q269">
        <v>100</v>
      </c>
      <c r="R269" t="s">
        <v>27</v>
      </c>
      <c r="S269">
        <v>15.99</v>
      </c>
    </row>
    <row r="270" spans="1:19" x14ac:dyDescent="0.3">
      <c r="A270">
        <f>'Raw Data'!D270-'Raw Data'!C270</f>
        <v>198</v>
      </c>
      <c r="B270" s="2" t="str">
        <f>_xlfn.IFS('Raw Data'!E270&gt;10,"Premium",'Raw Data'!E270&lt;10,"Basic")</f>
        <v>Premium</v>
      </c>
      <c r="C270">
        <v>11.99</v>
      </c>
      <c r="D270">
        <v>8077</v>
      </c>
      <c r="E270" t="s">
        <v>46</v>
      </c>
      <c r="F270" t="s">
        <v>36</v>
      </c>
      <c r="G270">
        <v>426</v>
      </c>
      <c r="H270" t="s">
        <v>28</v>
      </c>
      <c r="I270">
        <v>2647</v>
      </c>
      <c r="J270">
        <v>8077</v>
      </c>
      <c r="K270" t="s">
        <v>63</v>
      </c>
      <c r="L270" t="s">
        <v>40</v>
      </c>
      <c r="M270">
        <v>450</v>
      </c>
      <c r="N270">
        <v>92</v>
      </c>
      <c r="O270" t="s">
        <v>36</v>
      </c>
      <c r="P270" t="s">
        <v>63</v>
      </c>
      <c r="Q270">
        <v>426</v>
      </c>
      <c r="R270" t="s">
        <v>27</v>
      </c>
      <c r="S270">
        <v>11.99</v>
      </c>
    </row>
    <row r="271" spans="1:19" x14ac:dyDescent="0.3">
      <c r="A271">
        <f>'Raw Data'!D271-'Raw Data'!C271</f>
        <v>314</v>
      </c>
      <c r="B271" s="2" t="str">
        <f>_xlfn.IFS('Raw Data'!E271&gt;10,"Premium",'Raw Data'!E271&lt;10,"Basic")</f>
        <v>Basic</v>
      </c>
      <c r="C271">
        <v>7.99</v>
      </c>
      <c r="D271">
        <v>2727</v>
      </c>
      <c r="E271" t="s">
        <v>79</v>
      </c>
      <c r="F271" t="s">
        <v>36</v>
      </c>
      <c r="G271">
        <v>263</v>
      </c>
      <c r="H271" t="s">
        <v>28</v>
      </c>
      <c r="I271">
        <v>4497</v>
      </c>
      <c r="J271">
        <v>2727</v>
      </c>
      <c r="K271" t="s">
        <v>48</v>
      </c>
      <c r="L271" t="s">
        <v>40</v>
      </c>
      <c r="M271">
        <v>468</v>
      </c>
      <c r="N271">
        <v>95</v>
      </c>
      <c r="O271" t="s">
        <v>36</v>
      </c>
      <c r="P271" t="s">
        <v>48</v>
      </c>
      <c r="Q271">
        <v>263</v>
      </c>
      <c r="R271" t="s">
        <v>56</v>
      </c>
      <c r="S271">
        <v>7.99</v>
      </c>
    </row>
    <row r="272" spans="1:19" x14ac:dyDescent="0.3">
      <c r="A272">
        <f>'Raw Data'!D272-'Raw Data'!C272</f>
        <v>482</v>
      </c>
      <c r="B272" s="2" t="str">
        <f>_xlfn.IFS('Raw Data'!E272&gt;10,"Premium",'Raw Data'!E272&lt;10,"Basic")</f>
        <v>Premium</v>
      </c>
      <c r="C272">
        <v>11.99</v>
      </c>
      <c r="D272">
        <v>7661</v>
      </c>
      <c r="E272" t="s">
        <v>24</v>
      </c>
      <c r="F272" t="s">
        <v>60</v>
      </c>
      <c r="G272">
        <v>162</v>
      </c>
      <c r="H272" t="s">
        <v>28</v>
      </c>
      <c r="I272">
        <v>1121</v>
      </c>
      <c r="J272">
        <v>7661</v>
      </c>
      <c r="K272" t="s">
        <v>25</v>
      </c>
      <c r="L272" t="s">
        <v>40</v>
      </c>
      <c r="M272">
        <v>370</v>
      </c>
      <c r="N272">
        <v>130</v>
      </c>
      <c r="O272" t="s">
        <v>60</v>
      </c>
      <c r="P272" t="s">
        <v>25</v>
      </c>
      <c r="Q272">
        <v>162</v>
      </c>
      <c r="R272" t="s">
        <v>27</v>
      </c>
      <c r="S272">
        <v>11.99</v>
      </c>
    </row>
    <row r="273" spans="1:19" x14ac:dyDescent="0.3">
      <c r="A273">
        <f>'Raw Data'!D273-'Raw Data'!C273</f>
        <v>-1</v>
      </c>
      <c r="B273" s="2" t="str">
        <f>_xlfn.IFS('Raw Data'!E273&gt;10,"Premium",'Raw Data'!E273&lt;10,"Basic")</f>
        <v>Premium</v>
      </c>
      <c r="C273">
        <v>15.99</v>
      </c>
      <c r="D273">
        <v>5083</v>
      </c>
      <c r="E273" t="s">
        <v>79</v>
      </c>
      <c r="F273" t="s">
        <v>60</v>
      </c>
      <c r="G273">
        <v>19</v>
      </c>
      <c r="H273" t="s">
        <v>28</v>
      </c>
      <c r="I273">
        <v>1525</v>
      </c>
      <c r="J273">
        <v>5083</v>
      </c>
      <c r="K273" t="s">
        <v>39</v>
      </c>
      <c r="L273" t="s">
        <v>40</v>
      </c>
      <c r="M273">
        <v>781</v>
      </c>
      <c r="N273">
        <v>179</v>
      </c>
      <c r="O273" t="s">
        <v>60</v>
      </c>
      <c r="P273" t="s">
        <v>39</v>
      </c>
      <c r="Q273">
        <v>19</v>
      </c>
      <c r="R273" t="s">
        <v>34</v>
      </c>
      <c r="S273">
        <v>15.99</v>
      </c>
    </row>
    <row r="274" spans="1:19" x14ac:dyDescent="0.3">
      <c r="A274">
        <f>'Raw Data'!D274-'Raw Data'!C274</f>
        <v>93</v>
      </c>
      <c r="B274" s="2" t="str">
        <f>_xlfn.IFS('Raw Data'!E274&gt;10,"Premium",'Raw Data'!E274&lt;10,"Basic")</f>
        <v>Premium</v>
      </c>
      <c r="C274">
        <v>11.99</v>
      </c>
      <c r="D274">
        <v>7275</v>
      </c>
      <c r="E274" t="s">
        <v>79</v>
      </c>
      <c r="F274" t="s">
        <v>68</v>
      </c>
      <c r="G274">
        <v>358</v>
      </c>
      <c r="H274" t="s">
        <v>28</v>
      </c>
      <c r="I274">
        <v>3488</v>
      </c>
      <c r="J274">
        <v>7275</v>
      </c>
      <c r="K274" t="s">
        <v>63</v>
      </c>
      <c r="L274" t="s">
        <v>26</v>
      </c>
      <c r="M274">
        <v>829</v>
      </c>
      <c r="N274">
        <v>62</v>
      </c>
      <c r="O274" t="s">
        <v>68</v>
      </c>
      <c r="P274" t="s">
        <v>63</v>
      </c>
      <c r="Q274">
        <v>358</v>
      </c>
      <c r="R274" t="s">
        <v>34</v>
      </c>
      <c r="S274">
        <v>11.99</v>
      </c>
    </row>
    <row r="275" spans="1:19" x14ac:dyDescent="0.3">
      <c r="A275">
        <f>'Raw Data'!D275-'Raw Data'!C275</f>
        <v>660</v>
      </c>
      <c r="B275" s="2" t="str">
        <f>_xlfn.IFS('Raw Data'!E275&gt;10,"Premium",'Raw Data'!E275&lt;10,"Basic")</f>
        <v>Premium</v>
      </c>
      <c r="C275">
        <v>11.99</v>
      </c>
      <c r="D275">
        <v>7316</v>
      </c>
      <c r="E275" t="s">
        <v>33</v>
      </c>
      <c r="F275" t="s">
        <v>60</v>
      </c>
      <c r="G275">
        <v>183</v>
      </c>
      <c r="H275" t="s">
        <v>28</v>
      </c>
      <c r="I275">
        <v>3009</v>
      </c>
      <c r="J275">
        <v>7316</v>
      </c>
      <c r="K275" t="s">
        <v>39</v>
      </c>
      <c r="L275" t="s">
        <v>26</v>
      </c>
      <c r="M275">
        <v>944</v>
      </c>
      <c r="N275">
        <v>94</v>
      </c>
      <c r="O275" t="s">
        <v>60</v>
      </c>
      <c r="P275" t="s">
        <v>39</v>
      </c>
      <c r="Q275">
        <v>183</v>
      </c>
      <c r="R275" t="s">
        <v>56</v>
      </c>
      <c r="S275">
        <v>11.99</v>
      </c>
    </row>
    <row r="276" spans="1:19" x14ac:dyDescent="0.3">
      <c r="A276">
        <f>'Raw Data'!D276-'Raw Data'!C276</f>
        <v>712</v>
      </c>
      <c r="B276" s="2" t="str">
        <f>_xlfn.IFS('Raw Data'!E276&gt;10,"Premium",'Raw Data'!E276&lt;10,"Basic")</f>
        <v>Premium</v>
      </c>
      <c r="C276">
        <v>15.99</v>
      </c>
      <c r="D276">
        <v>4497</v>
      </c>
      <c r="E276" t="s">
        <v>24</v>
      </c>
      <c r="F276" t="s">
        <v>30</v>
      </c>
      <c r="G276">
        <v>63</v>
      </c>
      <c r="H276" t="s">
        <v>28</v>
      </c>
      <c r="I276">
        <v>15</v>
      </c>
      <c r="J276">
        <v>4497</v>
      </c>
      <c r="K276" t="s">
        <v>25</v>
      </c>
      <c r="L276" t="s">
        <v>26</v>
      </c>
      <c r="M276">
        <v>670</v>
      </c>
      <c r="N276">
        <v>72</v>
      </c>
      <c r="O276" t="s">
        <v>30</v>
      </c>
      <c r="P276" t="s">
        <v>25</v>
      </c>
      <c r="Q276">
        <v>63</v>
      </c>
      <c r="R276" t="s">
        <v>50</v>
      </c>
      <c r="S276">
        <v>15.99</v>
      </c>
    </row>
    <row r="277" spans="1:19" x14ac:dyDescent="0.3">
      <c r="A277">
        <f>'Raw Data'!D277-'Raw Data'!C277</f>
        <v>256</v>
      </c>
      <c r="B277" s="2" t="str">
        <f>_xlfn.IFS('Raw Data'!E277&gt;10,"Premium",'Raw Data'!E277&lt;10,"Basic")</f>
        <v>Premium</v>
      </c>
      <c r="C277">
        <v>11.99</v>
      </c>
      <c r="D277">
        <v>8685</v>
      </c>
      <c r="E277" t="s">
        <v>46</v>
      </c>
      <c r="F277" t="s">
        <v>60</v>
      </c>
      <c r="G277">
        <v>446</v>
      </c>
      <c r="H277" t="s">
        <v>28</v>
      </c>
      <c r="I277">
        <v>3007</v>
      </c>
      <c r="J277">
        <v>8685</v>
      </c>
      <c r="K277" t="s">
        <v>74</v>
      </c>
      <c r="L277" t="s">
        <v>26</v>
      </c>
      <c r="M277">
        <v>831</v>
      </c>
      <c r="N277">
        <v>37</v>
      </c>
      <c r="O277" t="s">
        <v>60</v>
      </c>
      <c r="P277" t="s">
        <v>74</v>
      </c>
      <c r="Q277">
        <v>446</v>
      </c>
      <c r="R277" t="s">
        <v>56</v>
      </c>
      <c r="S277">
        <v>11.99</v>
      </c>
    </row>
    <row r="278" spans="1:19" x14ac:dyDescent="0.3">
      <c r="A278">
        <f>'Raw Data'!D278-'Raw Data'!C278</f>
        <v>11</v>
      </c>
      <c r="B278" s="2" t="str">
        <f>_xlfn.IFS('Raw Data'!E278&gt;10,"Premium",'Raw Data'!E278&lt;10,"Basic")</f>
        <v>Premium</v>
      </c>
      <c r="C278">
        <v>15.99</v>
      </c>
      <c r="D278">
        <v>8583</v>
      </c>
      <c r="E278" t="s">
        <v>43</v>
      </c>
      <c r="F278" t="s">
        <v>30</v>
      </c>
      <c r="G278">
        <v>352</v>
      </c>
      <c r="H278" t="s">
        <v>28</v>
      </c>
      <c r="I278">
        <v>4588</v>
      </c>
      <c r="J278">
        <v>8583</v>
      </c>
      <c r="K278" t="s">
        <v>74</v>
      </c>
      <c r="L278" t="s">
        <v>40</v>
      </c>
      <c r="M278">
        <v>154</v>
      </c>
      <c r="N278">
        <v>148</v>
      </c>
      <c r="O278" t="s">
        <v>30</v>
      </c>
      <c r="P278" t="s">
        <v>74</v>
      </c>
      <c r="Q278">
        <v>352</v>
      </c>
      <c r="R278" t="s">
        <v>56</v>
      </c>
      <c r="S278">
        <v>15.99</v>
      </c>
    </row>
    <row r="279" spans="1:19" x14ac:dyDescent="0.3">
      <c r="A279">
        <f>'Raw Data'!D279-'Raw Data'!C279</f>
        <v>71</v>
      </c>
      <c r="B279" s="2" t="str">
        <f>_xlfn.IFS('Raw Data'!E279&gt;10,"Premium",'Raw Data'!E279&lt;10,"Basic")</f>
        <v>Basic</v>
      </c>
      <c r="C279">
        <v>7.99</v>
      </c>
      <c r="D279">
        <v>1062</v>
      </c>
      <c r="E279" t="s">
        <v>43</v>
      </c>
      <c r="F279" t="s">
        <v>68</v>
      </c>
      <c r="G279">
        <v>209</v>
      </c>
      <c r="H279" t="s">
        <v>28</v>
      </c>
      <c r="I279">
        <v>73</v>
      </c>
      <c r="J279">
        <v>1062</v>
      </c>
      <c r="K279" t="s">
        <v>25</v>
      </c>
      <c r="L279" t="s">
        <v>40</v>
      </c>
      <c r="M279">
        <v>707</v>
      </c>
      <c r="N279">
        <v>162</v>
      </c>
      <c r="O279" t="s">
        <v>68</v>
      </c>
      <c r="P279" t="s">
        <v>25</v>
      </c>
      <c r="Q279">
        <v>209</v>
      </c>
      <c r="R279" t="s">
        <v>34</v>
      </c>
      <c r="S279">
        <v>7.99</v>
      </c>
    </row>
    <row r="280" spans="1:19" x14ac:dyDescent="0.3">
      <c r="A280">
        <f>'Raw Data'!D280-'Raw Data'!C280</f>
        <v>721</v>
      </c>
      <c r="B280" s="2" t="str">
        <f>_xlfn.IFS('Raw Data'!E280&gt;10,"Premium",'Raw Data'!E280&lt;10,"Basic")</f>
        <v>Basic</v>
      </c>
      <c r="C280">
        <v>7.99</v>
      </c>
      <c r="D280">
        <v>2593</v>
      </c>
      <c r="E280" t="s">
        <v>55</v>
      </c>
      <c r="F280" t="s">
        <v>52</v>
      </c>
      <c r="G280">
        <v>311</v>
      </c>
      <c r="H280" t="s">
        <v>28</v>
      </c>
      <c r="I280">
        <v>4635</v>
      </c>
      <c r="J280">
        <v>2593</v>
      </c>
      <c r="K280" t="s">
        <v>48</v>
      </c>
      <c r="L280" t="s">
        <v>26</v>
      </c>
      <c r="M280">
        <v>587</v>
      </c>
      <c r="N280">
        <v>140</v>
      </c>
      <c r="O280" t="s">
        <v>52</v>
      </c>
      <c r="P280" t="s">
        <v>48</v>
      </c>
      <c r="Q280">
        <v>311</v>
      </c>
      <c r="R280" t="s">
        <v>41</v>
      </c>
      <c r="S280">
        <v>7.99</v>
      </c>
    </row>
    <row r="281" spans="1:19" x14ac:dyDescent="0.3">
      <c r="A281">
        <f>'Raw Data'!D281-'Raw Data'!C281</f>
        <v>529</v>
      </c>
      <c r="B281" s="2" t="str">
        <f>_xlfn.IFS('Raw Data'!E281&gt;10,"Premium",'Raw Data'!E281&lt;10,"Basic")</f>
        <v>Premium</v>
      </c>
      <c r="C281">
        <v>11.99</v>
      </c>
      <c r="D281">
        <v>3951</v>
      </c>
      <c r="E281" t="s">
        <v>43</v>
      </c>
      <c r="F281" t="s">
        <v>60</v>
      </c>
      <c r="G281">
        <v>293</v>
      </c>
      <c r="H281" t="s">
        <v>28</v>
      </c>
      <c r="I281">
        <v>1882</v>
      </c>
      <c r="J281">
        <v>3951</v>
      </c>
      <c r="K281" t="s">
        <v>48</v>
      </c>
      <c r="L281" t="s">
        <v>49</v>
      </c>
      <c r="M281">
        <v>158</v>
      </c>
      <c r="N281">
        <v>119</v>
      </c>
      <c r="O281" t="s">
        <v>60</v>
      </c>
      <c r="P281" t="s">
        <v>48</v>
      </c>
      <c r="Q281">
        <v>293</v>
      </c>
      <c r="R281" t="s">
        <v>50</v>
      </c>
      <c r="S281">
        <v>11.99</v>
      </c>
    </row>
    <row r="282" spans="1:19" x14ac:dyDescent="0.3">
      <c r="A282">
        <f>'Raw Data'!D282-'Raw Data'!C282</f>
        <v>191</v>
      </c>
      <c r="B282" s="2" t="str">
        <f>_xlfn.IFS('Raw Data'!E282&gt;10,"Premium",'Raw Data'!E282&lt;10,"Basic")</f>
        <v>Premium</v>
      </c>
      <c r="C282">
        <v>15.99</v>
      </c>
      <c r="D282">
        <v>8580</v>
      </c>
      <c r="E282" t="s">
        <v>79</v>
      </c>
      <c r="F282" t="s">
        <v>36</v>
      </c>
      <c r="G282">
        <v>119</v>
      </c>
      <c r="H282" t="s">
        <v>28</v>
      </c>
      <c r="I282">
        <v>1690</v>
      </c>
      <c r="J282">
        <v>8580</v>
      </c>
      <c r="K282" t="s">
        <v>25</v>
      </c>
      <c r="L282" t="s">
        <v>64</v>
      </c>
      <c r="M282">
        <v>936</v>
      </c>
      <c r="N282">
        <v>188</v>
      </c>
      <c r="O282" t="s">
        <v>36</v>
      </c>
      <c r="P282" t="s">
        <v>25</v>
      </c>
      <c r="Q282">
        <v>119</v>
      </c>
      <c r="R282" t="s">
        <v>41</v>
      </c>
      <c r="S282">
        <v>15.99</v>
      </c>
    </row>
    <row r="283" spans="1:19" x14ac:dyDescent="0.3">
      <c r="A283">
        <f>'Raw Data'!D283-'Raw Data'!C283</f>
        <v>687</v>
      </c>
      <c r="B283" s="2" t="str">
        <f>_xlfn.IFS('Raw Data'!E283&gt;10,"Premium",'Raw Data'!E283&lt;10,"Basic")</f>
        <v>Premium</v>
      </c>
      <c r="C283">
        <v>15.99</v>
      </c>
      <c r="D283">
        <v>4372</v>
      </c>
      <c r="E283" t="s">
        <v>43</v>
      </c>
      <c r="F283" t="s">
        <v>30</v>
      </c>
      <c r="G283">
        <v>329</v>
      </c>
      <c r="H283" t="s">
        <v>28</v>
      </c>
      <c r="I283">
        <v>2572</v>
      </c>
      <c r="J283">
        <v>4372</v>
      </c>
      <c r="K283" t="s">
        <v>44</v>
      </c>
      <c r="L283" t="s">
        <v>26</v>
      </c>
      <c r="M283">
        <v>670</v>
      </c>
      <c r="N283">
        <v>94</v>
      </c>
      <c r="O283" t="s">
        <v>30</v>
      </c>
      <c r="P283" t="s">
        <v>44</v>
      </c>
      <c r="Q283">
        <v>329</v>
      </c>
      <c r="R283" t="s">
        <v>27</v>
      </c>
      <c r="S283">
        <v>15.99</v>
      </c>
    </row>
    <row r="284" spans="1:19" x14ac:dyDescent="0.3">
      <c r="A284">
        <f>'Raw Data'!D284-'Raw Data'!C284</f>
        <v>406</v>
      </c>
      <c r="B284" s="2" t="str">
        <f>_xlfn.IFS('Raw Data'!E284&gt;10,"Premium",'Raw Data'!E284&lt;10,"Basic")</f>
        <v>Premium</v>
      </c>
      <c r="C284">
        <v>15.99</v>
      </c>
      <c r="D284">
        <v>4463</v>
      </c>
      <c r="E284" t="s">
        <v>55</v>
      </c>
      <c r="F284" t="s">
        <v>52</v>
      </c>
      <c r="G284">
        <v>141</v>
      </c>
      <c r="H284" t="s">
        <v>28</v>
      </c>
      <c r="I284">
        <v>3865</v>
      </c>
      <c r="J284">
        <v>4463</v>
      </c>
      <c r="K284" t="s">
        <v>44</v>
      </c>
      <c r="L284" t="s">
        <v>49</v>
      </c>
      <c r="M284">
        <v>636</v>
      </c>
      <c r="N284">
        <v>186</v>
      </c>
      <c r="O284" t="s">
        <v>52</v>
      </c>
      <c r="P284" t="s">
        <v>44</v>
      </c>
      <c r="Q284">
        <v>141</v>
      </c>
      <c r="R284" t="s">
        <v>41</v>
      </c>
      <c r="S284">
        <v>15.99</v>
      </c>
    </row>
    <row r="285" spans="1:19" x14ac:dyDescent="0.3">
      <c r="A285">
        <f>'Raw Data'!D285-'Raw Data'!C285</f>
        <v>654</v>
      </c>
      <c r="B285" s="2" t="str">
        <f>_xlfn.IFS('Raw Data'!E285&gt;10,"Premium",'Raw Data'!E285&lt;10,"Basic")</f>
        <v>Premium</v>
      </c>
      <c r="C285">
        <v>11.99</v>
      </c>
      <c r="D285">
        <v>7498</v>
      </c>
      <c r="E285" t="s">
        <v>46</v>
      </c>
      <c r="F285" t="s">
        <v>36</v>
      </c>
      <c r="G285">
        <v>15</v>
      </c>
      <c r="H285" t="s">
        <v>28</v>
      </c>
      <c r="I285">
        <v>380</v>
      </c>
      <c r="J285">
        <v>7498</v>
      </c>
      <c r="K285" t="s">
        <v>59</v>
      </c>
      <c r="L285" t="s">
        <v>64</v>
      </c>
      <c r="M285">
        <v>700</v>
      </c>
      <c r="N285">
        <v>64</v>
      </c>
      <c r="O285" t="s">
        <v>36</v>
      </c>
      <c r="P285" t="s">
        <v>59</v>
      </c>
      <c r="Q285">
        <v>15</v>
      </c>
      <c r="R285" t="s">
        <v>50</v>
      </c>
      <c r="S285">
        <v>11.99</v>
      </c>
    </row>
    <row r="286" spans="1:19" x14ac:dyDescent="0.3">
      <c r="A286">
        <f>'Raw Data'!D286-'Raw Data'!C286</f>
        <v>13</v>
      </c>
      <c r="B286" s="2" t="str">
        <f>_xlfn.IFS('Raw Data'!E286&gt;10,"Premium",'Raw Data'!E286&lt;10,"Basic")</f>
        <v>Premium</v>
      </c>
      <c r="C286">
        <v>11.99</v>
      </c>
      <c r="D286">
        <v>9618</v>
      </c>
      <c r="E286" t="s">
        <v>62</v>
      </c>
      <c r="F286" t="s">
        <v>36</v>
      </c>
      <c r="G286">
        <v>30</v>
      </c>
      <c r="H286" t="s">
        <v>28</v>
      </c>
      <c r="I286">
        <v>3566</v>
      </c>
      <c r="J286">
        <v>9618</v>
      </c>
      <c r="K286" t="s">
        <v>59</v>
      </c>
      <c r="L286" t="s">
        <v>40</v>
      </c>
      <c r="M286">
        <v>310</v>
      </c>
      <c r="N286">
        <v>162</v>
      </c>
      <c r="O286" t="s">
        <v>36</v>
      </c>
      <c r="P286" t="s">
        <v>59</v>
      </c>
      <c r="Q286">
        <v>30</v>
      </c>
      <c r="R286" t="s">
        <v>34</v>
      </c>
      <c r="S286">
        <v>11.99</v>
      </c>
    </row>
    <row r="287" spans="1:19" x14ac:dyDescent="0.3">
      <c r="A287">
        <f>'Raw Data'!D287-'Raw Data'!C287</f>
        <v>161</v>
      </c>
      <c r="B287" s="2" t="str">
        <f>_xlfn.IFS('Raw Data'!E287&gt;10,"Premium",'Raw Data'!E287&lt;10,"Basic")</f>
        <v>Premium</v>
      </c>
      <c r="C287">
        <v>11.99</v>
      </c>
      <c r="D287">
        <v>1813</v>
      </c>
      <c r="E287" t="s">
        <v>55</v>
      </c>
      <c r="F287" t="s">
        <v>60</v>
      </c>
      <c r="G287">
        <v>145</v>
      </c>
      <c r="H287" t="s">
        <v>28</v>
      </c>
      <c r="I287">
        <v>1835</v>
      </c>
      <c r="J287">
        <v>1813</v>
      </c>
      <c r="K287" t="s">
        <v>59</v>
      </c>
      <c r="L287" t="s">
        <v>64</v>
      </c>
      <c r="M287">
        <v>237</v>
      </c>
      <c r="N287">
        <v>32</v>
      </c>
      <c r="O287" t="s">
        <v>60</v>
      </c>
      <c r="P287" t="s">
        <v>59</v>
      </c>
      <c r="Q287">
        <v>145</v>
      </c>
      <c r="R287" t="s">
        <v>67</v>
      </c>
      <c r="S287">
        <v>11.99</v>
      </c>
    </row>
    <row r="288" spans="1:19" x14ac:dyDescent="0.3">
      <c r="A288">
        <f>'Raw Data'!D288-'Raw Data'!C288</f>
        <v>80</v>
      </c>
      <c r="B288" s="2" t="str">
        <f>_xlfn.IFS('Raw Data'!E288&gt;10,"Premium",'Raw Data'!E288&lt;10,"Basic")</f>
        <v>Premium</v>
      </c>
      <c r="C288">
        <v>15.99</v>
      </c>
      <c r="D288">
        <v>3009</v>
      </c>
      <c r="E288" t="s">
        <v>46</v>
      </c>
      <c r="F288" t="s">
        <v>52</v>
      </c>
      <c r="G288">
        <v>250</v>
      </c>
      <c r="H288" t="s">
        <v>28</v>
      </c>
      <c r="I288">
        <v>1882</v>
      </c>
      <c r="J288">
        <v>3009</v>
      </c>
      <c r="K288" t="s">
        <v>59</v>
      </c>
      <c r="L288" t="s">
        <v>40</v>
      </c>
      <c r="M288">
        <v>774</v>
      </c>
      <c r="N288">
        <v>88</v>
      </c>
      <c r="O288" t="s">
        <v>52</v>
      </c>
      <c r="P288" t="s">
        <v>59</v>
      </c>
      <c r="Q288">
        <v>250</v>
      </c>
      <c r="R288" t="s">
        <v>41</v>
      </c>
      <c r="S288">
        <v>15.99</v>
      </c>
    </row>
    <row r="289" spans="1:19" x14ac:dyDescent="0.3">
      <c r="A289">
        <f>'Raw Data'!D289-'Raw Data'!C289</f>
        <v>687</v>
      </c>
      <c r="B289" s="2" t="str">
        <f>_xlfn.IFS('Raw Data'!E289&gt;10,"Premium",'Raw Data'!E289&lt;10,"Basic")</f>
        <v>Premium</v>
      </c>
      <c r="C289">
        <v>15.99</v>
      </c>
      <c r="D289">
        <v>8210</v>
      </c>
      <c r="E289" t="s">
        <v>55</v>
      </c>
      <c r="F289" t="s">
        <v>60</v>
      </c>
      <c r="G289">
        <v>243</v>
      </c>
      <c r="H289" t="s">
        <v>28</v>
      </c>
      <c r="I289">
        <v>525</v>
      </c>
      <c r="J289">
        <v>8210</v>
      </c>
      <c r="K289" t="s">
        <v>63</v>
      </c>
      <c r="L289" t="s">
        <v>26</v>
      </c>
      <c r="M289">
        <v>532</v>
      </c>
      <c r="N289">
        <v>110</v>
      </c>
      <c r="O289" t="s">
        <v>60</v>
      </c>
      <c r="P289" t="s">
        <v>63</v>
      </c>
      <c r="Q289">
        <v>243</v>
      </c>
      <c r="R289" t="s">
        <v>50</v>
      </c>
      <c r="S289">
        <v>15.99</v>
      </c>
    </row>
    <row r="290" spans="1:19" x14ac:dyDescent="0.3">
      <c r="A290">
        <f>'Raw Data'!D290-'Raw Data'!C290</f>
        <v>484</v>
      </c>
      <c r="B290" s="2" t="str">
        <f>_xlfn.IFS('Raw Data'!E290&gt;10,"Premium",'Raw Data'!E290&lt;10,"Basic")</f>
        <v>Premium</v>
      </c>
      <c r="C290">
        <v>11.99</v>
      </c>
      <c r="D290">
        <v>8439</v>
      </c>
      <c r="E290" t="s">
        <v>55</v>
      </c>
      <c r="F290" t="s">
        <v>52</v>
      </c>
      <c r="G290">
        <v>392</v>
      </c>
      <c r="H290" t="s">
        <v>28</v>
      </c>
      <c r="I290">
        <v>1025</v>
      </c>
      <c r="J290">
        <v>8439</v>
      </c>
      <c r="K290" t="s">
        <v>44</v>
      </c>
      <c r="L290" t="s">
        <v>64</v>
      </c>
      <c r="M290">
        <v>813</v>
      </c>
      <c r="N290">
        <v>2</v>
      </c>
      <c r="O290" t="s">
        <v>52</v>
      </c>
      <c r="P290" t="s">
        <v>44</v>
      </c>
      <c r="Q290">
        <v>392</v>
      </c>
      <c r="R290" t="s">
        <v>56</v>
      </c>
      <c r="S290">
        <v>11.99</v>
      </c>
    </row>
    <row r="291" spans="1:19" x14ac:dyDescent="0.3">
      <c r="A291">
        <f>'Raw Data'!D291-'Raw Data'!C291</f>
        <v>562</v>
      </c>
      <c r="B291" s="2" t="str">
        <f>_xlfn.IFS('Raw Data'!E291&gt;10,"Premium",'Raw Data'!E291&lt;10,"Basic")</f>
        <v>Premium</v>
      </c>
      <c r="C291">
        <v>11.99</v>
      </c>
      <c r="D291">
        <v>8310</v>
      </c>
      <c r="E291" t="s">
        <v>33</v>
      </c>
      <c r="F291" t="s">
        <v>60</v>
      </c>
      <c r="G291">
        <v>389</v>
      </c>
      <c r="H291" t="s">
        <v>28</v>
      </c>
      <c r="I291">
        <v>2508</v>
      </c>
      <c r="J291">
        <v>8310</v>
      </c>
      <c r="K291" t="s">
        <v>63</v>
      </c>
      <c r="L291" t="s">
        <v>26</v>
      </c>
      <c r="M291">
        <v>727</v>
      </c>
      <c r="N291">
        <v>26</v>
      </c>
      <c r="O291" t="s">
        <v>60</v>
      </c>
      <c r="P291" t="s">
        <v>63</v>
      </c>
      <c r="Q291">
        <v>389</v>
      </c>
      <c r="R291" t="s">
        <v>56</v>
      </c>
      <c r="S291">
        <v>11.99</v>
      </c>
    </row>
    <row r="292" spans="1:19" x14ac:dyDescent="0.3">
      <c r="A292">
        <f>'Raw Data'!D292-'Raw Data'!C292</f>
        <v>401</v>
      </c>
      <c r="B292" s="2" t="str">
        <f>_xlfn.IFS('Raw Data'!E292&gt;10,"Premium",'Raw Data'!E292&lt;10,"Basic")</f>
        <v>Basic</v>
      </c>
      <c r="C292">
        <v>7.99</v>
      </c>
      <c r="D292">
        <v>6369</v>
      </c>
      <c r="E292" t="s">
        <v>55</v>
      </c>
      <c r="F292" t="s">
        <v>36</v>
      </c>
      <c r="G292">
        <v>414</v>
      </c>
      <c r="H292" t="s">
        <v>28</v>
      </c>
      <c r="I292">
        <v>1546</v>
      </c>
      <c r="J292">
        <v>6369</v>
      </c>
      <c r="K292" t="s">
        <v>48</v>
      </c>
      <c r="L292" t="s">
        <v>26</v>
      </c>
      <c r="M292">
        <v>271</v>
      </c>
      <c r="N292">
        <v>51</v>
      </c>
      <c r="O292" t="s">
        <v>36</v>
      </c>
      <c r="P292" t="s">
        <v>48</v>
      </c>
      <c r="Q292">
        <v>414</v>
      </c>
      <c r="R292" t="s">
        <v>34</v>
      </c>
      <c r="S292">
        <v>7.99</v>
      </c>
    </row>
    <row r="293" spans="1:19" x14ac:dyDescent="0.3">
      <c r="A293">
        <f>'Raw Data'!D293-'Raw Data'!C293</f>
        <v>550</v>
      </c>
      <c r="B293" s="2" t="str">
        <f>_xlfn.IFS('Raw Data'!E293&gt;10,"Premium",'Raw Data'!E293&lt;10,"Basic")</f>
        <v>Premium</v>
      </c>
      <c r="C293">
        <v>15.99</v>
      </c>
      <c r="D293">
        <v>5721</v>
      </c>
      <c r="E293" t="s">
        <v>46</v>
      </c>
      <c r="F293" t="s">
        <v>30</v>
      </c>
      <c r="G293">
        <v>415</v>
      </c>
      <c r="H293" t="s">
        <v>28</v>
      </c>
      <c r="I293">
        <v>1955</v>
      </c>
      <c r="J293">
        <v>5721</v>
      </c>
      <c r="K293" t="s">
        <v>25</v>
      </c>
      <c r="L293" t="s">
        <v>49</v>
      </c>
      <c r="M293">
        <v>958</v>
      </c>
      <c r="N293">
        <v>192</v>
      </c>
      <c r="O293" t="s">
        <v>30</v>
      </c>
      <c r="P293" t="s">
        <v>25</v>
      </c>
      <c r="Q293">
        <v>415</v>
      </c>
      <c r="R293" t="s">
        <v>34</v>
      </c>
      <c r="S293">
        <v>15.99</v>
      </c>
    </row>
    <row r="294" spans="1:19" x14ac:dyDescent="0.3">
      <c r="A294">
        <f>'Raw Data'!D294-'Raw Data'!C294</f>
        <v>398</v>
      </c>
      <c r="B294" s="2" t="str">
        <f>_xlfn.IFS('Raw Data'!E294&gt;10,"Premium",'Raw Data'!E294&lt;10,"Basic")</f>
        <v>Premium</v>
      </c>
      <c r="C294">
        <v>11.99</v>
      </c>
      <c r="D294">
        <v>4204</v>
      </c>
      <c r="E294" t="s">
        <v>55</v>
      </c>
      <c r="F294" t="s">
        <v>30</v>
      </c>
      <c r="G294">
        <v>494</v>
      </c>
      <c r="H294" t="s">
        <v>28</v>
      </c>
      <c r="I294">
        <v>4889</v>
      </c>
      <c r="J294">
        <v>4204</v>
      </c>
      <c r="K294" t="s">
        <v>44</v>
      </c>
      <c r="L294" t="s">
        <v>40</v>
      </c>
      <c r="M294">
        <v>202</v>
      </c>
      <c r="N294">
        <v>163</v>
      </c>
      <c r="O294" t="s">
        <v>30</v>
      </c>
      <c r="P294" t="s">
        <v>44</v>
      </c>
      <c r="Q294">
        <v>494</v>
      </c>
      <c r="R294" t="s">
        <v>50</v>
      </c>
      <c r="S294">
        <v>11.99</v>
      </c>
    </row>
    <row r="295" spans="1:19" x14ac:dyDescent="0.3">
      <c r="A295">
        <f>'Raw Data'!D295-'Raw Data'!C295</f>
        <v>578</v>
      </c>
      <c r="B295" s="2" t="str">
        <f>_xlfn.IFS('Raw Data'!E295&gt;10,"Premium",'Raw Data'!E295&lt;10,"Basic")</f>
        <v>Basic</v>
      </c>
      <c r="C295">
        <v>7.99</v>
      </c>
      <c r="D295">
        <v>5666</v>
      </c>
      <c r="E295" t="s">
        <v>33</v>
      </c>
      <c r="F295" t="s">
        <v>52</v>
      </c>
      <c r="G295">
        <v>109</v>
      </c>
      <c r="H295" t="s">
        <v>28</v>
      </c>
      <c r="I295">
        <v>1185</v>
      </c>
      <c r="J295">
        <v>5666</v>
      </c>
      <c r="K295" t="s">
        <v>44</v>
      </c>
      <c r="L295" t="s">
        <v>49</v>
      </c>
      <c r="M295">
        <v>899</v>
      </c>
      <c r="N295">
        <v>11</v>
      </c>
      <c r="O295" t="s">
        <v>52</v>
      </c>
      <c r="P295" t="s">
        <v>44</v>
      </c>
      <c r="Q295">
        <v>109</v>
      </c>
      <c r="R295" t="s">
        <v>34</v>
      </c>
      <c r="S295">
        <v>7.99</v>
      </c>
    </row>
    <row r="296" spans="1:19" x14ac:dyDescent="0.3">
      <c r="A296">
        <f>'Raw Data'!D296-'Raw Data'!C296</f>
        <v>355</v>
      </c>
      <c r="B296" s="2" t="str">
        <f>_xlfn.IFS('Raw Data'!E296&gt;10,"Premium",'Raw Data'!E296&lt;10,"Basic")</f>
        <v>Basic</v>
      </c>
      <c r="C296">
        <v>7.99</v>
      </c>
      <c r="D296">
        <v>5943</v>
      </c>
      <c r="E296" t="s">
        <v>79</v>
      </c>
      <c r="F296" t="s">
        <v>68</v>
      </c>
      <c r="G296">
        <v>200</v>
      </c>
      <c r="H296" t="s">
        <v>28</v>
      </c>
      <c r="I296">
        <v>3040</v>
      </c>
      <c r="J296">
        <v>5943</v>
      </c>
      <c r="K296" t="s">
        <v>48</v>
      </c>
      <c r="L296" t="s">
        <v>64</v>
      </c>
      <c r="M296">
        <v>465</v>
      </c>
      <c r="N296">
        <v>35</v>
      </c>
      <c r="O296" t="s">
        <v>68</v>
      </c>
      <c r="P296" t="s">
        <v>48</v>
      </c>
      <c r="Q296">
        <v>200</v>
      </c>
      <c r="R296" t="s">
        <v>41</v>
      </c>
      <c r="S296">
        <v>7.99</v>
      </c>
    </row>
    <row r="297" spans="1:19" x14ac:dyDescent="0.3">
      <c r="A297">
        <f>'Raw Data'!D297-'Raw Data'!C297</f>
        <v>285</v>
      </c>
      <c r="B297" s="2" t="str">
        <f>_xlfn.IFS('Raw Data'!E297&gt;10,"Premium",'Raw Data'!E297&lt;10,"Basic")</f>
        <v>Premium</v>
      </c>
      <c r="C297">
        <v>11.99</v>
      </c>
      <c r="D297">
        <v>3202</v>
      </c>
      <c r="E297" t="s">
        <v>43</v>
      </c>
      <c r="F297" t="s">
        <v>60</v>
      </c>
      <c r="G297">
        <v>134</v>
      </c>
      <c r="H297" t="s">
        <v>28</v>
      </c>
      <c r="I297">
        <v>4729</v>
      </c>
      <c r="J297">
        <v>3202</v>
      </c>
      <c r="K297" t="s">
        <v>44</v>
      </c>
      <c r="L297" t="s">
        <v>64</v>
      </c>
      <c r="M297">
        <v>459</v>
      </c>
      <c r="N297">
        <v>105</v>
      </c>
      <c r="O297" t="s">
        <v>60</v>
      </c>
      <c r="P297" t="s">
        <v>44</v>
      </c>
      <c r="Q297">
        <v>134</v>
      </c>
      <c r="R297" t="s">
        <v>34</v>
      </c>
      <c r="S297">
        <v>11.99</v>
      </c>
    </row>
    <row r="298" spans="1:19" x14ac:dyDescent="0.3">
      <c r="A298">
        <f>'Raw Data'!D298-'Raw Data'!C298</f>
        <v>648</v>
      </c>
      <c r="B298" s="2" t="str">
        <f>_xlfn.IFS('Raw Data'!E298&gt;10,"Premium",'Raw Data'!E298&lt;10,"Basic")</f>
        <v>Premium</v>
      </c>
      <c r="C298">
        <v>11.99</v>
      </c>
      <c r="D298">
        <v>4512</v>
      </c>
      <c r="E298" t="s">
        <v>46</v>
      </c>
      <c r="F298" t="s">
        <v>36</v>
      </c>
      <c r="G298">
        <v>250</v>
      </c>
      <c r="H298" t="s">
        <v>28</v>
      </c>
      <c r="I298">
        <v>4193</v>
      </c>
      <c r="J298">
        <v>4512</v>
      </c>
      <c r="K298" t="s">
        <v>44</v>
      </c>
      <c r="L298" t="s">
        <v>49</v>
      </c>
      <c r="M298">
        <v>611</v>
      </c>
      <c r="N298">
        <v>170</v>
      </c>
      <c r="O298" t="s">
        <v>36</v>
      </c>
      <c r="P298" t="s">
        <v>44</v>
      </c>
      <c r="Q298">
        <v>250</v>
      </c>
      <c r="R298" t="s">
        <v>56</v>
      </c>
      <c r="S298">
        <v>11.99</v>
      </c>
    </row>
    <row r="299" spans="1:19" x14ac:dyDescent="0.3">
      <c r="A299">
        <f>'Raw Data'!D299-'Raw Data'!C299</f>
        <v>42</v>
      </c>
      <c r="B299" s="2" t="str">
        <f>_xlfn.IFS('Raw Data'!E299&gt;10,"Premium",'Raw Data'!E299&lt;10,"Basic")</f>
        <v>Basic</v>
      </c>
      <c r="C299">
        <v>7.99</v>
      </c>
      <c r="D299">
        <v>2075</v>
      </c>
      <c r="E299" t="s">
        <v>33</v>
      </c>
      <c r="F299" t="s">
        <v>68</v>
      </c>
      <c r="G299">
        <v>305</v>
      </c>
      <c r="H299" t="s">
        <v>28</v>
      </c>
      <c r="I299">
        <v>4626</v>
      </c>
      <c r="J299">
        <v>2075</v>
      </c>
      <c r="K299" t="s">
        <v>25</v>
      </c>
      <c r="L299" t="s">
        <v>40</v>
      </c>
      <c r="M299">
        <v>49</v>
      </c>
      <c r="N299">
        <v>146</v>
      </c>
      <c r="O299" t="s">
        <v>68</v>
      </c>
      <c r="P299" t="s">
        <v>25</v>
      </c>
      <c r="Q299">
        <v>305</v>
      </c>
      <c r="R299" t="s">
        <v>41</v>
      </c>
      <c r="S299">
        <v>7.99</v>
      </c>
    </row>
    <row r="300" spans="1:19" x14ac:dyDescent="0.3">
      <c r="A300">
        <f>'Raw Data'!D300-'Raw Data'!C300</f>
        <v>202</v>
      </c>
      <c r="B300" s="2" t="str">
        <f>_xlfn.IFS('Raw Data'!E300&gt;10,"Premium",'Raw Data'!E300&lt;10,"Basic")</f>
        <v>Premium</v>
      </c>
      <c r="C300">
        <v>15.99</v>
      </c>
      <c r="D300">
        <v>4057</v>
      </c>
      <c r="E300" t="s">
        <v>62</v>
      </c>
      <c r="F300" t="s">
        <v>68</v>
      </c>
      <c r="G300">
        <v>256</v>
      </c>
      <c r="H300" t="s">
        <v>28</v>
      </c>
      <c r="I300">
        <v>60</v>
      </c>
      <c r="J300">
        <v>4057</v>
      </c>
      <c r="K300" t="s">
        <v>39</v>
      </c>
      <c r="L300" t="s">
        <v>26</v>
      </c>
      <c r="M300">
        <v>929</v>
      </c>
      <c r="N300">
        <v>89</v>
      </c>
      <c r="O300" t="s">
        <v>68</v>
      </c>
      <c r="P300" t="s">
        <v>39</v>
      </c>
      <c r="Q300">
        <v>256</v>
      </c>
      <c r="R300" t="s">
        <v>50</v>
      </c>
      <c r="S300">
        <v>15.99</v>
      </c>
    </row>
    <row r="301" spans="1:19" x14ac:dyDescent="0.3">
      <c r="A301">
        <f>'Raw Data'!D301-'Raw Data'!C301</f>
        <v>68</v>
      </c>
      <c r="B301" s="2" t="str">
        <f>_xlfn.IFS('Raw Data'!E301&gt;10,"Premium",'Raw Data'!E301&lt;10,"Basic")</f>
        <v>Premium</v>
      </c>
      <c r="C301">
        <v>11.99</v>
      </c>
      <c r="D301">
        <v>5537</v>
      </c>
      <c r="E301" t="s">
        <v>46</v>
      </c>
      <c r="F301" t="s">
        <v>60</v>
      </c>
      <c r="G301">
        <v>214</v>
      </c>
      <c r="H301" t="s">
        <v>28</v>
      </c>
      <c r="I301">
        <v>2597</v>
      </c>
      <c r="J301">
        <v>5537</v>
      </c>
      <c r="K301" t="s">
        <v>39</v>
      </c>
      <c r="L301" t="s">
        <v>40</v>
      </c>
      <c r="M301">
        <v>39</v>
      </c>
      <c r="N301">
        <v>89</v>
      </c>
      <c r="O301" t="s">
        <v>60</v>
      </c>
      <c r="P301" t="s">
        <v>39</v>
      </c>
      <c r="Q301">
        <v>214</v>
      </c>
      <c r="R301" t="s">
        <v>27</v>
      </c>
      <c r="S301">
        <v>11.99</v>
      </c>
    </row>
    <row r="302" spans="1:19" x14ac:dyDescent="0.3">
      <c r="A302">
        <f>'Raw Data'!D302-'Raw Data'!C302</f>
        <v>484</v>
      </c>
      <c r="B302" s="2" t="str">
        <f>_xlfn.IFS('Raw Data'!E302&gt;10,"Premium",'Raw Data'!E302&lt;10,"Basic")</f>
        <v>Premium</v>
      </c>
      <c r="C302">
        <v>11.99</v>
      </c>
      <c r="D302">
        <v>9520</v>
      </c>
      <c r="E302" t="s">
        <v>79</v>
      </c>
      <c r="F302" t="s">
        <v>68</v>
      </c>
      <c r="G302">
        <v>272</v>
      </c>
      <c r="H302" t="s">
        <v>28</v>
      </c>
      <c r="I302">
        <v>260</v>
      </c>
      <c r="J302">
        <v>9520</v>
      </c>
      <c r="K302" t="s">
        <v>63</v>
      </c>
      <c r="L302" t="s">
        <v>26</v>
      </c>
      <c r="M302">
        <v>520</v>
      </c>
      <c r="N302">
        <v>170</v>
      </c>
      <c r="O302" t="s">
        <v>68</v>
      </c>
      <c r="P302" t="s">
        <v>63</v>
      </c>
      <c r="Q302">
        <v>272</v>
      </c>
      <c r="R302" t="s">
        <v>34</v>
      </c>
      <c r="S302">
        <v>11.99</v>
      </c>
    </row>
    <row r="303" spans="1:19" x14ac:dyDescent="0.3">
      <c r="A303">
        <f>'Raw Data'!D303-'Raw Data'!C303</f>
        <v>124</v>
      </c>
      <c r="B303" s="2" t="str">
        <f>_xlfn.IFS('Raw Data'!E303&gt;10,"Premium",'Raw Data'!E303&lt;10,"Basic")</f>
        <v>Premium</v>
      </c>
      <c r="C303">
        <v>15.99</v>
      </c>
      <c r="D303">
        <v>1081</v>
      </c>
      <c r="E303" t="s">
        <v>33</v>
      </c>
      <c r="F303" t="s">
        <v>30</v>
      </c>
      <c r="G303">
        <v>144</v>
      </c>
      <c r="H303" t="s">
        <v>28</v>
      </c>
      <c r="I303">
        <v>1544</v>
      </c>
      <c r="J303">
        <v>1081</v>
      </c>
      <c r="K303" t="s">
        <v>39</v>
      </c>
      <c r="L303" t="s">
        <v>40</v>
      </c>
      <c r="M303">
        <v>501</v>
      </c>
      <c r="N303">
        <v>64</v>
      </c>
      <c r="O303" t="s">
        <v>30</v>
      </c>
      <c r="P303" t="s">
        <v>39</v>
      </c>
      <c r="Q303">
        <v>144</v>
      </c>
      <c r="R303" t="s">
        <v>56</v>
      </c>
      <c r="S303">
        <v>15.99</v>
      </c>
    </row>
    <row r="304" spans="1:19" x14ac:dyDescent="0.3">
      <c r="A304">
        <f>'Raw Data'!D304-'Raw Data'!C304</f>
        <v>457</v>
      </c>
      <c r="B304" s="2" t="str">
        <f>_xlfn.IFS('Raw Data'!E304&gt;10,"Premium",'Raw Data'!E304&lt;10,"Basic")</f>
        <v>Basic</v>
      </c>
      <c r="C304">
        <v>7.99</v>
      </c>
      <c r="D304">
        <v>7621</v>
      </c>
      <c r="E304" t="s">
        <v>33</v>
      </c>
      <c r="F304" t="s">
        <v>68</v>
      </c>
      <c r="G304">
        <v>381</v>
      </c>
      <c r="H304" t="s">
        <v>28</v>
      </c>
      <c r="I304">
        <v>4528</v>
      </c>
      <c r="J304">
        <v>7621</v>
      </c>
      <c r="K304" t="s">
        <v>59</v>
      </c>
      <c r="L304" t="s">
        <v>40</v>
      </c>
      <c r="M304">
        <v>593</v>
      </c>
      <c r="N304">
        <v>46</v>
      </c>
      <c r="O304" t="s">
        <v>68</v>
      </c>
      <c r="P304" t="s">
        <v>59</v>
      </c>
      <c r="Q304">
        <v>381</v>
      </c>
      <c r="R304" t="s">
        <v>56</v>
      </c>
      <c r="S304">
        <v>7.99</v>
      </c>
    </row>
    <row r="305" spans="1:19" x14ac:dyDescent="0.3">
      <c r="A305">
        <f>'Raw Data'!D305-'Raw Data'!C305</f>
        <v>672</v>
      </c>
      <c r="B305" s="2" t="str">
        <f>_xlfn.IFS('Raw Data'!E305&gt;10,"Premium",'Raw Data'!E305&lt;10,"Basic")</f>
        <v>Premium</v>
      </c>
      <c r="C305">
        <v>11.99</v>
      </c>
      <c r="D305">
        <v>4558</v>
      </c>
      <c r="E305" t="s">
        <v>33</v>
      </c>
      <c r="F305" t="s">
        <v>68</v>
      </c>
      <c r="G305">
        <v>292</v>
      </c>
      <c r="H305" t="s">
        <v>28</v>
      </c>
      <c r="I305">
        <v>1127</v>
      </c>
      <c r="J305">
        <v>4558</v>
      </c>
      <c r="K305" t="s">
        <v>63</v>
      </c>
      <c r="L305" t="s">
        <v>49</v>
      </c>
      <c r="M305">
        <v>109</v>
      </c>
      <c r="N305">
        <v>68</v>
      </c>
      <c r="O305" t="s">
        <v>68</v>
      </c>
      <c r="P305" t="s">
        <v>63</v>
      </c>
      <c r="Q305">
        <v>292</v>
      </c>
      <c r="R305" t="s">
        <v>56</v>
      </c>
      <c r="S305">
        <v>11.99</v>
      </c>
    </row>
    <row r="306" spans="1:19" x14ac:dyDescent="0.3">
      <c r="A306">
        <f>'Raw Data'!D306-'Raw Data'!C306</f>
        <v>628</v>
      </c>
      <c r="B306" s="2" t="str">
        <f>_xlfn.IFS('Raw Data'!E306&gt;10,"Premium",'Raw Data'!E306&lt;10,"Basic")</f>
        <v>Premium</v>
      </c>
      <c r="C306">
        <v>11.99</v>
      </c>
      <c r="D306">
        <v>6628</v>
      </c>
      <c r="E306" t="s">
        <v>79</v>
      </c>
      <c r="F306" t="s">
        <v>60</v>
      </c>
      <c r="G306">
        <v>358</v>
      </c>
      <c r="H306" t="s">
        <v>28</v>
      </c>
      <c r="I306">
        <v>4542</v>
      </c>
      <c r="J306">
        <v>6628</v>
      </c>
      <c r="K306" t="s">
        <v>48</v>
      </c>
      <c r="L306" t="s">
        <v>40</v>
      </c>
      <c r="M306">
        <v>472</v>
      </c>
      <c r="N306">
        <v>65</v>
      </c>
      <c r="O306" t="s">
        <v>60</v>
      </c>
      <c r="P306" t="s">
        <v>48</v>
      </c>
      <c r="Q306">
        <v>358</v>
      </c>
      <c r="R306" t="s">
        <v>50</v>
      </c>
      <c r="S306">
        <v>11.99</v>
      </c>
    </row>
    <row r="307" spans="1:19" x14ac:dyDescent="0.3">
      <c r="A307">
        <f>'Raw Data'!D307-'Raw Data'!C307</f>
        <v>146</v>
      </c>
      <c r="B307" s="2" t="str">
        <f>_xlfn.IFS('Raw Data'!E307&gt;10,"Premium",'Raw Data'!E307&lt;10,"Basic")</f>
        <v>Premium</v>
      </c>
      <c r="C307">
        <v>15.99</v>
      </c>
      <c r="D307">
        <v>7643</v>
      </c>
      <c r="E307" t="s">
        <v>43</v>
      </c>
      <c r="F307" t="s">
        <v>68</v>
      </c>
      <c r="G307">
        <v>426</v>
      </c>
      <c r="H307" t="s">
        <v>28</v>
      </c>
      <c r="I307">
        <v>1436</v>
      </c>
      <c r="J307">
        <v>7643</v>
      </c>
      <c r="K307" t="s">
        <v>25</v>
      </c>
      <c r="L307" t="s">
        <v>26</v>
      </c>
      <c r="M307">
        <v>229</v>
      </c>
      <c r="N307">
        <v>120</v>
      </c>
      <c r="O307" t="s">
        <v>68</v>
      </c>
      <c r="P307" t="s">
        <v>25</v>
      </c>
      <c r="Q307">
        <v>426</v>
      </c>
      <c r="R307" t="s">
        <v>67</v>
      </c>
      <c r="S307">
        <v>15.99</v>
      </c>
    </row>
    <row r="308" spans="1:19" x14ac:dyDescent="0.3">
      <c r="A308">
        <f>'Raw Data'!D308-'Raw Data'!C308</f>
        <v>429</v>
      </c>
      <c r="B308" s="2" t="str">
        <f>_xlfn.IFS('Raw Data'!E308&gt;10,"Premium",'Raw Data'!E308&lt;10,"Basic")</f>
        <v>Premium</v>
      </c>
      <c r="C308">
        <v>11.99</v>
      </c>
      <c r="D308">
        <v>4709</v>
      </c>
      <c r="E308" t="s">
        <v>62</v>
      </c>
      <c r="F308" t="s">
        <v>60</v>
      </c>
      <c r="G308">
        <v>474</v>
      </c>
      <c r="H308" t="s">
        <v>28</v>
      </c>
      <c r="I308">
        <v>4438</v>
      </c>
      <c r="J308">
        <v>4709</v>
      </c>
      <c r="K308" t="s">
        <v>59</v>
      </c>
      <c r="L308" t="s">
        <v>40</v>
      </c>
      <c r="M308">
        <v>487</v>
      </c>
      <c r="N308">
        <v>107</v>
      </c>
      <c r="O308" t="s">
        <v>60</v>
      </c>
      <c r="P308" t="s">
        <v>59</v>
      </c>
      <c r="Q308">
        <v>474</v>
      </c>
      <c r="R308" t="s">
        <v>34</v>
      </c>
      <c r="S308">
        <v>11.99</v>
      </c>
    </row>
    <row r="309" spans="1:19" x14ac:dyDescent="0.3">
      <c r="A309">
        <f>'Raw Data'!D309-'Raw Data'!C309</f>
        <v>503</v>
      </c>
      <c r="B309" s="2" t="str">
        <f>_xlfn.IFS('Raw Data'!E309&gt;10,"Premium",'Raw Data'!E309&lt;10,"Basic")</f>
        <v>Basic</v>
      </c>
      <c r="C309">
        <v>7.99</v>
      </c>
      <c r="D309">
        <v>8408</v>
      </c>
      <c r="E309" t="s">
        <v>46</v>
      </c>
      <c r="F309" t="s">
        <v>30</v>
      </c>
      <c r="G309">
        <v>286</v>
      </c>
      <c r="H309" t="s">
        <v>28</v>
      </c>
      <c r="I309">
        <v>3130</v>
      </c>
      <c r="J309">
        <v>8408</v>
      </c>
      <c r="K309" t="s">
        <v>25</v>
      </c>
      <c r="L309" t="s">
        <v>49</v>
      </c>
      <c r="M309">
        <v>543</v>
      </c>
      <c r="N309">
        <v>16</v>
      </c>
      <c r="O309" t="s">
        <v>30</v>
      </c>
      <c r="P309" t="s">
        <v>25</v>
      </c>
      <c r="Q309">
        <v>286</v>
      </c>
      <c r="R309" t="s">
        <v>41</v>
      </c>
      <c r="S309">
        <v>7.99</v>
      </c>
    </row>
    <row r="310" spans="1:19" x14ac:dyDescent="0.3">
      <c r="A310">
        <f>'Raw Data'!D310-'Raw Data'!C310</f>
        <v>57</v>
      </c>
      <c r="B310" s="2" t="str">
        <f>_xlfn.IFS('Raw Data'!E310&gt;10,"Premium",'Raw Data'!E310&lt;10,"Basic")</f>
        <v>Premium</v>
      </c>
      <c r="C310">
        <v>15.99</v>
      </c>
      <c r="D310">
        <v>3530</v>
      </c>
      <c r="E310" t="s">
        <v>33</v>
      </c>
      <c r="F310" t="s">
        <v>36</v>
      </c>
      <c r="G310">
        <v>498</v>
      </c>
      <c r="H310" t="s">
        <v>28</v>
      </c>
      <c r="I310">
        <v>3379</v>
      </c>
      <c r="J310">
        <v>3530</v>
      </c>
      <c r="K310" t="s">
        <v>48</v>
      </c>
      <c r="L310" t="s">
        <v>40</v>
      </c>
      <c r="M310">
        <v>105</v>
      </c>
      <c r="N310">
        <v>35</v>
      </c>
      <c r="O310" t="s">
        <v>36</v>
      </c>
      <c r="P310" t="s">
        <v>48</v>
      </c>
      <c r="Q310">
        <v>498</v>
      </c>
      <c r="R310" t="s">
        <v>56</v>
      </c>
      <c r="S310">
        <v>15.99</v>
      </c>
    </row>
    <row r="311" spans="1:19" x14ac:dyDescent="0.3">
      <c r="A311">
        <f>'Raw Data'!D311-'Raw Data'!C311</f>
        <v>177</v>
      </c>
      <c r="B311" s="2" t="str">
        <f>_xlfn.IFS('Raw Data'!E311&gt;10,"Premium",'Raw Data'!E311&lt;10,"Basic")</f>
        <v>Premium</v>
      </c>
      <c r="C311">
        <v>11.99</v>
      </c>
      <c r="D311">
        <v>3779</v>
      </c>
      <c r="E311" t="s">
        <v>33</v>
      </c>
      <c r="F311" t="s">
        <v>36</v>
      </c>
      <c r="G311">
        <v>32</v>
      </c>
      <c r="H311" t="s">
        <v>28</v>
      </c>
      <c r="I311">
        <v>3696</v>
      </c>
      <c r="J311">
        <v>3779</v>
      </c>
      <c r="K311" t="s">
        <v>44</v>
      </c>
      <c r="L311" t="s">
        <v>64</v>
      </c>
      <c r="M311">
        <v>334</v>
      </c>
      <c r="N311">
        <v>151</v>
      </c>
      <c r="O311" t="s">
        <v>36</v>
      </c>
      <c r="P311" t="s">
        <v>44</v>
      </c>
      <c r="Q311">
        <v>32</v>
      </c>
      <c r="R311" t="s">
        <v>50</v>
      </c>
      <c r="S311">
        <v>11.99</v>
      </c>
    </row>
    <row r="312" spans="1:19" x14ac:dyDescent="0.3">
      <c r="A312">
        <f>'Raw Data'!D312-'Raw Data'!C312</f>
        <v>594</v>
      </c>
      <c r="B312" s="2" t="str">
        <f>_xlfn.IFS('Raw Data'!E312&gt;10,"Premium",'Raw Data'!E312&lt;10,"Basic")</f>
        <v>Basic</v>
      </c>
      <c r="C312">
        <v>7.99</v>
      </c>
      <c r="D312">
        <v>8564</v>
      </c>
      <c r="E312" t="s">
        <v>79</v>
      </c>
      <c r="F312" t="s">
        <v>60</v>
      </c>
      <c r="G312">
        <v>84</v>
      </c>
      <c r="H312" t="s">
        <v>28</v>
      </c>
      <c r="I312">
        <v>2416</v>
      </c>
      <c r="J312">
        <v>8564</v>
      </c>
      <c r="K312" t="s">
        <v>25</v>
      </c>
      <c r="L312" t="s">
        <v>40</v>
      </c>
      <c r="M312">
        <v>871</v>
      </c>
      <c r="N312">
        <v>187</v>
      </c>
      <c r="O312" t="s">
        <v>60</v>
      </c>
      <c r="P312" t="s">
        <v>25</v>
      </c>
      <c r="Q312">
        <v>84</v>
      </c>
      <c r="R312" t="s">
        <v>41</v>
      </c>
      <c r="S312">
        <v>7.99</v>
      </c>
    </row>
    <row r="313" spans="1:19" x14ac:dyDescent="0.3">
      <c r="A313">
        <f>'Raw Data'!D313-'Raw Data'!C313</f>
        <v>337</v>
      </c>
      <c r="B313" s="2" t="str">
        <f>_xlfn.IFS('Raw Data'!E313&gt;10,"Premium",'Raw Data'!E313&lt;10,"Basic")</f>
        <v>Premium</v>
      </c>
      <c r="C313">
        <v>15.99</v>
      </c>
      <c r="D313">
        <v>8731</v>
      </c>
      <c r="E313" t="s">
        <v>79</v>
      </c>
      <c r="F313" t="s">
        <v>60</v>
      </c>
      <c r="G313">
        <v>210</v>
      </c>
      <c r="H313" t="s">
        <v>28</v>
      </c>
      <c r="I313">
        <v>2856</v>
      </c>
      <c r="J313">
        <v>8731</v>
      </c>
      <c r="K313" t="s">
        <v>39</v>
      </c>
      <c r="L313" t="s">
        <v>26</v>
      </c>
      <c r="M313">
        <v>206</v>
      </c>
      <c r="N313">
        <v>194</v>
      </c>
      <c r="O313" t="s">
        <v>60</v>
      </c>
      <c r="P313" t="s">
        <v>39</v>
      </c>
      <c r="Q313">
        <v>210</v>
      </c>
      <c r="R313" t="s">
        <v>27</v>
      </c>
      <c r="S313">
        <v>15.99</v>
      </c>
    </row>
    <row r="314" spans="1:19" x14ac:dyDescent="0.3">
      <c r="A314">
        <f>'Raw Data'!D314-'Raw Data'!C314</f>
        <v>648</v>
      </c>
      <c r="B314" s="2" t="str">
        <f>_xlfn.IFS('Raw Data'!E314&gt;10,"Premium",'Raw Data'!E314&lt;10,"Basic")</f>
        <v>Premium</v>
      </c>
      <c r="C314">
        <v>15.99</v>
      </c>
      <c r="D314">
        <v>5000</v>
      </c>
      <c r="E314" t="s">
        <v>55</v>
      </c>
      <c r="F314" t="s">
        <v>52</v>
      </c>
      <c r="G314">
        <v>231</v>
      </c>
      <c r="H314" t="s">
        <v>28</v>
      </c>
      <c r="I314">
        <v>4177</v>
      </c>
      <c r="J314">
        <v>5000</v>
      </c>
      <c r="K314" t="s">
        <v>48</v>
      </c>
      <c r="L314" t="s">
        <v>49</v>
      </c>
      <c r="M314">
        <v>701</v>
      </c>
      <c r="N314">
        <v>173</v>
      </c>
      <c r="O314" t="s">
        <v>52</v>
      </c>
      <c r="P314" t="s">
        <v>48</v>
      </c>
      <c r="Q314">
        <v>231</v>
      </c>
      <c r="R314" t="s">
        <v>34</v>
      </c>
      <c r="S314">
        <v>15.99</v>
      </c>
    </row>
    <row r="315" spans="1:19" x14ac:dyDescent="0.3">
      <c r="A315">
        <f>'Raw Data'!D315-'Raw Data'!C315</f>
        <v>14</v>
      </c>
      <c r="B315" s="2" t="str">
        <f>_xlfn.IFS('Raw Data'!E315&gt;10,"Premium",'Raw Data'!E315&lt;10,"Basic")</f>
        <v>Premium</v>
      </c>
      <c r="C315">
        <v>15.99</v>
      </c>
      <c r="D315">
        <v>3882</v>
      </c>
      <c r="E315" t="s">
        <v>33</v>
      </c>
      <c r="F315" t="s">
        <v>52</v>
      </c>
      <c r="G315">
        <v>246</v>
      </c>
      <c r="H315" t="s">
        <v>28</v>
      </c>
      <c r="I315">
        <v>1912</v>
      </c>
      <c r="J315">
        <v>3882</v>
      </c>
      <c r="K315" t="s">
        <v>39</v>
      </c>
      <c r="L315" t="s">
        <v>49</v>
      </c>
      <c r="M315">
        <v>505</v>
      </c>
      <c r="N315">
        <v>129</v>
      </c>
      <c r="O315" t="s">
        <v>52</v>
      </c>
      <c r="P315" t="s">
        <v>39</v>
      </c>
      <c r="Q315">
        <v>246</v>
      </c>
      <c r="R315" t="s">
        <v>56</v>
      </c>
      <c r="S315">
        <v>15.99</v>
      </c>
    </row>
    <row r="316" spans="1:19" x14ac:dyDescent="0.3">
      <c r="A316">
        <f>'Raw Data'!D316-'Raw Data'!C316</f>
        <v>305</v>
      </c>
      <c r="B316" s="2" t="str">
        <f>_xlfn.IFS('Raw Data'!E316&gt;10,"Premium",'Raw Data'!E316&lt;10,"Basic")</f>
        <v>Premium</v>
      </c>
      <c r="C316">
        <v>11.99</v>
      </c>
      <c r="D316">
        <v>4551</v>
      </c>
      <c r="E316" t="s">
        <v>79</v>
      </c>
      <c r="F316" t="s">
        <v>52</v>
      </c>
      <c r="G316">
        <v>174</v>
      </c>
      <c r="H316" t="s">
        <v>28</v>
      </c>
      <c r="I316">
        <v>2388</v>
      </c>
      <c r="J316">
        <v>4551</v>
      </c>
      <c r="K316" t="s">
        <v>25</v>
      </c>
      <c r="L316" t="s">
        <v>49</v>
      </c>
      <c r="M316">
        <v>239</v>
      </c>
      <c r="N316">
        <v>175</v>
      </c>
      <c r="O316" t="s">
        <v>52</v>
      </c>
      <c r="P316" t="s">
        <v>25</v>
      </c>
      <c r="Q316">
        <v>174</v>
      </c>
      <c r="R316" t="s">
        <v>56</v>
      </c>
      <c r="S316">
        <v>11.99</v>
      </c>
    </row>
    <row r="317" spans="1:19" x14ac:dyDescent="0.3">
      <c r="A317">
        <f>'Raw Data'!D317-'Raw Data'!C317</f>
        <v>487</v>
      </c>
      <c r="B317" s="2" t="str">
        <f>_xlfn.IFS('Raw Data'!E317&gt;10,"Premium",'Raw Data'!E317&lt;10,"Basic")</f>
        <v>Premium</v>
      </c>
      <c r="C317">
        <v>15.99</v>
      </c>
      <c r="D317">
        <v>7970</v>
      </c>
      <c r="E317" t="s">
        <v>62</v>
      </c>
      <c r="F317" t="s">
        <v>68</v>
      </c>
      <c r="G317">
        <v>298</v>
      </c>
      <c r="H317" t="s">
        <v>28</v>
      </c>
      <c r="I317">
        <v>4216</v>
      </c>
      <c r="J317">
        <v>7970</v>
      </c>
      <c r="K317" t="s">
        <v>63</v>
      </c>
      <c r="L317" t="s">
        <v>26</v>
      </c>
      <c r="M317">
        <v>115</v>
      </c>
      <c r="N317">
        <v>168</v>
      </c>
      <c r="O317" t="s">
        <v>68</v>
      </c>
      <c r="P317" t="s">
        <v>63</v>
      </c>
      <c r="Q317">
        <v>298</v>
      </c>
      <c r="R317" t="s">
        <v>27</v>
      </c>
      <c r="S317">
        <v>15.99</v>
      </c>
    </row>
    <row r="318" spans="1:19" x14ac:dyDescent="0.3">
      <c r="A318">
        <f>'Raw Data'!D318-'Raw Data'!C318</f>
        <v>35</v>
      </c>
      <c r="B318" s="2" t="str">
        <f>_xlfn.IFS('Raw Data'!E318&gt;10,"Premium",'Raw Data'!E318&lt;10,"Basic")</f>
        <v>Premium</v>
      </c>
      <c r="C318">
        <v>11.99</v>
      </c>
      <c r="D318">
        <v>2466</v>
      </c>
      <c r="E318" t="s">
        <v>46</v>
      </c>
      <c r="F318" t="s">
        <v>36</v>
      </c>
      <c r="G318">
        <v>344</v>
      </c>
      <c r="H318" t="s">
        <v>28</v>
      </c>
      <c r="I318">
        <v>599</v>
      </c>
      <c r="J318">
        <v>2466</v>
      </c>
      <c r="K318" t="s">
        <v>25</v>
      </c>
      <c r="L318" t="s">
        <v>26</v>
      </c>
      <c r="M318">
        <v>142</v>
      </c>
      <c r="N318">
        <v>113</v>
      </c>
      <c r="O318" t="s">
        <v>36</v>
      </c>
      <c r="P318" t="s">
        <v>25</v>
      </c>
      <c r="Q318">
        <v>344</v>
      </c>
      <c r="R318" t="s">
        <v>34</v>
      </c>
      <c r="S318">
        <v>11.99</v>
      </c>
    </row>
    <row r="319" spans="1:19" x14ac:dyDescent="0.3">
      <c r="A319">
        <f>'Raw Data'!D319-'Raw Data'!C319</f>
        <v>536</v>
      </c>
      <c r="B319" s="2" t="str">
        <f>_xlfn.IFS('Raw Data'!E319&gt;10,"Premium",'Raw Data'!E319&lt;10,"Basic")</f>
        <v>Premium</v>
      </c>
      <c r="C319">
        <v>11.99</v>
      </c>
      <c r="D319">
        <v>1303</v>
      </c>
      <c r="E319" t="s">
        <v>79</v>
      </c>
      <c r="F319" t="s">
        <v>36</v>
      </c>
      <c r="G319">
        <v>264</v>
      </c>
      <c r="H319" t="s">
        <v>28</v>
      </c>
      <c r="I319">
        <v>804</v>
      </c>
      <c r="J319">
        <v>1303</v>
      </c>
      <c r="K319" t="s">
        <v>59</v>
      </c>
      <c r="L319" t="s">
        <v>64</v>
      </c>
      <c r="M319">
        <v>744</v>
      </c>
      <c r="N319">
        <v>33</v>
      </c>
      <c r="O319" t="s">
        <v>36</v>
      </c>
      <c r="P319" t="s">
        <v>59</v>
      </c>
      <c r="Q319">
        <v>264</v>
      </c>
      <c r="R319" t="s">
        <v>56</v>
      </c>
      <c r="S319">
        <v>11.99</v>
      </c>
    </row>
    <row r="320" spans="1:19" x14ac:dyDescent="0.3">
      <c r="A320">
        <f>'Raw Data'!D320-'Raw Data'!C320</f>
        <v>701</v>
      </c>
      <c r="B320" s="2" t="str">
        <f>_xlfn.IFS('Raw Data'!E320&gt;10,"Premium",'Raw Data'!E320&lt;10,"Basic")</f>
        <v>Basic</v>
      </c>
      <c r="C320">
        <v>7.99</v>
      </c>
      <c r="D320">
        <v>9832</v>
      </c>
      <c r="E320" t="s">
        <v>33</v>
      </c>
      <c r="F320" t="s">
        <v>36</v>
      </c>
      <c r="G320">
        <v>380</v>
      </c>
      <c r="H320" t="s">
        <v>28</v>
      </c>
      <c r="I320">
        <v>4565</v>
      </c>
      <c r="J320">
        <v>9832</v>
      </c>
      <c r="K320" t="s">
        <v>59</v>
      </c>
      <c r="L320" t="s">
        <v>26</v>
      </c>
      <c r="M320">
        <v>820</v>
      </c>
      <c r="N320">
        <v>17</v>
      </c>
      <c r="O320" t="s">
        <v>36</v>
      </c>
      <c r="P320" t="s">
        <v>59</v>
      </c>
      <c r="Q320">
        <v>380</v>
      </c>
      <c r="R320" t="s">
        <v>67</v>
      </c>
      <c r="S320">
        <v>7.99</v>
      </c>
    </row>
    <row r="321" spans="1:19" x14ac:dyDescent="0.3">
      <c r="A321">
        <f>'Raw Data'!D321-'Raw Data'!C321</f>
        <v>304</v>
      </c>
      <c r="B321" s="2" t="str">
        <f>_xlfn.IFS('Raw Data'!E321&gt;10,"Premium",'Raw Data'!E321&lt;10,"Basic")</f>
        <v>Premium</v>
      </c>
      <c r="C321">
        <v>11.99</v>
      </c>
      <c r="D321">
        <v>3618</v>
      </c>
      <c r="E321" t="s">
        <v>24</v>
      </c>
      <c r="F321" t="s">
        <v>68</v>
      </c>
      <c r="G321">
        <v>160</v>
      </c>
      <c r="H321" t="s">
        <v>28</v>
      </c>
      <c r="I321">
        <v>1095</v>
      </c>
      <c r="J321">
        <v>3618</v>
      </c>
      <c r="K321" t="s">
        <v>59</v>
      </c>
      <c r="L321" t="s">
        <v>64</v>
      </c>
      <c r="M321">
        <v>940</v>
      </c>
      <c r="N321">
        <v>50</v>
      </c>
      <c r="O321" t="s">
        <v>68</v>
      </c>
      <c r="P321" t="s">
        <v>59</v>
      </c>
      <c r="Q321">
        <v>160</v>
      </c>
      <c r="R321" t="s">
        <v>34</v>
      </c>
      <c r="S321">
        <v>11.99</v>
      </c>
    </row>
    <row r="322" spans="1:19" x14ac:dyDescent="0.3">
      <c r="A322">
        <f>'Raw Data'!D322-'Raw Data'!C322</f>
        <v>493</v>
      </c>
      <c r="B322" s="2" t="str">
        <f>_xlfn.IFS('Raw Data'!E322&gt;10,"Premium",'Raw Data'!E322&lt;10,"Basic")</f>
        <v>Basic</v>
      </c>
      <c r="C322">
        <v>7.99</v>
      </c>
      <c r="D322">
        <v>7424</v>
      </c>
      <c r="E322" t="s">
        <v>62</v>
      </c>
      <c r="F322" t="s">
        <v>60</v>
      </c>
      <c r="G322">
        <v>55</v>
      </c>
      <c r="H322" t="s">
        <v>28</v>
      </c>
      <c r="I322">
        <v>1512</v>
      </c>
      <c r="J322">
        <v>7424</v>
      </c>
      <c r="K322" t="s">
        <v>63</v>
      </c>
      <c r="L322" t="s">
        <v>49</v>
      </c>
      <c r="M322">
        <v>135</v>
      </c>
      <c r="N322">
        <v>138</v>
      </c>
      <c r="O322" t="s">
        <v>60</v>
      </c>
      <c r="P322" t="s">
        <v>63</v>
      </c>
      <c r="Q322">
        <v>55</v>
      </c>
      <c r="R322" t="s">
        <v>67</v>
      </c>
      <c r="S322">
        <v>7.99</v>
      </c>
    </row>
    <row r="323" spans="1:19" x14ac:dyDescent="0.3">
      <c r="A323">
        <f>'Raw Data'!D323-'Raw Data'!C323</f>
        <v>314</v>
      </c>
      <c r="B323" s="2" t="str">
        <f>_xlfn.IFS('Raw Data'!E323&gt;10,"Premium",'Raw Data'!E323&lt;10,"Basic")</f>
        <v>Premium</v>
      </c>
      <c r="C323">
        <v>11.99</v>
      </c>
      <c r="D323">
        <v>8414</v>
      </c>
      <c r="E323" t="s">
        <v>33</v>
      </c>
      <c r="F323" t="s">
        <v>68</v>
      </c>
      <c r="G323">
        <v>70</v>
      </c>
      <c r="H323" t="s">
        <v>28</v>
      </c>
      <c r="I323">
        <v>1422</v>
      </c>
      <c r="J323">
        <v>8414</v>
      </c>
      <c r="K323" t="s">
        <v>48</v>
      </c>
      <c r="L323" t="s">
        <v>64</v>
      </c>
      <c r="M323">
        <v>803</v>
      </c>
      <c r="N323">
        <v>51</v>
      </c>
      <c r="O323" t="s">
        <v>68</v>
      </c>
      <c r="P323" t="s">
        <v>48</v>
      </c>
      <c r="Q323">
        <v>70</v>
      </c>
      <c r="R323" t="s">
        <v>41</v>
      </c>
      <c r="S323">
        <v>11.99</v>
      </c>
    </row>
    <row r="324" spans="1:19" x14ac:dyDescent="0.3">
      <c r="A324">
        <f>'Raw Data'!D324-'Raw Data'!C324</f>
        <v>64</v>
      </c>
      <c r="B324" s="2" t="str">
        <f>_xlfn.IFS('Raw Data'!E324&gt;10,"Premium",'Raw Data'!E324&lt;10,"Basic")</f>
        <v>Basic</v>
      </c>
      <c r="C324">
        <v>7.99</v>
      </c>
      <c r="D324">
        <v>5688</v>
      </c>
      <c r="E324" t="s">
        <v>33</v>
      </c>
      <c r="F324" t="s">
        <v>60</v>
      </c>
      <c r="G324">
        <v>256</v>
      </c>
      <c r="H324" t="s">
        <v>28</v>
      </c>
      <c r="I324">
        <v>147</v>
      </c>
      <c r="J324">
        <v>5688</v>
      </c>
      <c r="K324" t="s">
        <v>39</v>
      </c>
      <c r="L324" t="s">
        <v>49</v>
      </c>
      <c r="M324">
        <v>322</v>
      </c>
      <c r="N324">
        <v>199</v>
      </c>
      <c r="O324" t="s">
        <v>60</v>
      </c>
      <c r="P324" t="s">
        <v>39</v>
      </c>
      <c r="Q324">
        <v>256</v>
      </c>
      <c r="R324" t="s">
        <v>56</v>
      </c>
      <c r="S324">
        <v>7.99</v>
      </c>
    </row>
    <row r="325" spans="1:19" x14ac:dyDescent="0.3">
      <c r="A325">
        <f>'Raw Data'!D325-'Raw Data'!C325</f>
        <v>153</v>
      </c>
      <c r="B325" s="2" t="str">
        <f>_xlfn.IFS('Raw Data'!E325&gt;10,"Premium",'Raw Data'!E325&lt;10,"Basic")</f>
        <v>Premium</v>
      </c>
      <c r="C325">
        <v>15.99</v>
      </c>
      <c r="D325">
        <v>2062</v>
      </c>
      <c r="E325" t="s">
        <v>46</v>
      </c>
      <c r="F325" t="s">
        <v>60</v>
      </c>
      <c r="G325">
        <v>436</v>
      </c>
      <c r="H325" t="s">
        <v>28</v>
      </c>
      <c r="I325">
        <v>4317</v>
      </c>
      <c r="J325">
        <v>2062</v>
      </c>
      <c r="K325" t="s">
        <v>74</v>
      </c>
      <c r="L325" t="s">
        <v>49</v>
      </c>
      <c r="M325">
        <v>424</v>
      </c>
      <c r="N325">
        <v>111</v>
      </c>
      <c r="O325" t="s">
        <v>60</v>
      </c>
      <c r="P325" t="s">
        <v>74</v>
      </c>
      <c r="Q325">
        <v>436</v>
      </c>
      <c r="R325" t="s">
        <v>34</v>
      </c>
      <c r="S325">
        <v>15.99</v>
      </c>
    </row>
    <row r="326" spans="1:19" x14ac:dyDescent="0.3">
      <c r="A326">
        <f>'Raw Data'!D326-'Raw Data'!C326</f>
        <v>481</v>
      </c>
      <c r="B326" s="2" t="str">
        <f>_xlfn.IFS('Raw Data'!E326&gt;10,"Premium",'Raw Data'!E326&lt;10,"Basic")</f>
        <v>Basic</v>
      </c>
      <c r="C326">
        <v>7.99</v>
      </c>
      <c r="D326">
        <v>5031</v>
      </c>
      <c r="E326" t="s">
        <v>24</v>
      </c>
      <c r="F326" t="s">
        <v>52</v>
      </c>
      <c r="G326">
        <v>394</v>
      </c>
      <c r="H326" t="s">
        <v>28</v>
      </c>
      <c r="I326">
        <v>3197</v>
      </c>
      <c r="J326">
        <v>5031</v>
      </c>
      <c r="K326" t="s">
        <v>44</v>
      </c>
      <c r="L326" t="s">
        <v>26</v>
      </c>
      <c r="M326">
        <v>60</v>
      </c>
      <c r="N326">
        <v>159</v>
      </c>
      <c r="O326" t="s">
        <v>52</v>
      </c>
      <c r="P326" t="s">
        <v>44</v>
      </c>
      <c r="Q326">
        <v>394</v>
      </c>
      <c r="R326" t="s">
        <v>34</v>
      </c>
      <c r="S326">
        <v>7.99</v>
      </c>
    </row>
    <row r="327" spans="1:19" x14ac:dyDescent="0.3">
      <c r="A327">
        <f>'Raw Data'!D327-'Raw Data'!C327</f>
        <v>671</v>
      </c>
      <c r="B327" s="2" t="str">
        <f>_xlfn.IFS('Raw Data'!E327&gt;10,"Premium",'Raw Data'!E327&lt;10,"Basic")</f>
        <v>Premium</v>
      </c>
      <c r="C327">
        <v>15.99</v>
      </c>
      <c r="D327">
        <v>1162</v>
      </c>
      <c r="E327" t="s">
        <v>43</v>
      </c>
      <c r="F327" t="s">
        <v>60</v>
      </c>
      <c r="G327">
        <v>131</v>
      </c>
      <c r="H327" t="s">
        <v>28</v>
      </c>
      <c r="I327">
        <v>1413</v>
      </c>
      <c r="J327">
        <v>1162</v>
      </c>
      <c r="K327" t="s">
        <v>48</v>
      </c>
      <c r="L327" t="s">
        <v>40</v>
      </c>
      <c r="M327">
        <v>865</v>
      </c>
      <c r="N327">
        <v>8</v>
      </c>
      <c r="O327" t="s">
        <v>60</v>
      </c>
      <c r="P327" t="s">
        <v>48</v>
      </c>
      <c r="Q327">
        <v>131</v>
      </c>
      <c r="R327" t="s">
        <v>50</v>
      </c>
      <c r="S327">
        <v>15.99</v>
      </c>
    </row>
    <row r="328" spans="1:19" x14ac:dyDescent="0.3">
      <c r="A328">
        <f>'Raw Data'!D328-'Raw Data'!C328</f>
        <v>411</v>
      </c>
      <c r="B328" s="2" t="str">
        <f>_xlfn.IFS('Raw Data'!E328&gt;10,"Premium",'Raw Data'!E328&lt;10,"Basic")</f>
        <v>Premium</v>
      </c>
      <c r="C328">
        <v>11.99</v>
      </c>
      <c r="D328">
        <v>6564</v>
      </c>
      <c r="E328" t="s">
        <v>33</v>
      </c>
      <c r="F328" t="s">
        <v>36</v>
      </c>
      <c r="G328">
        <v>98</v>
      </c>
      <c r="H328" t="s">
        <v>28</v>
      </c>
      <c r="I328">
        <v>747</v>
      </c>
      <c r="J328">
        <v>6564</v>
      </c>
      <c r="K328" t="s">
        <v>25</v>
      </c>
      <c r="L328" t="s">
        <v>40</v>
      </c>
      <c r="M328">
        <v>526</v>
      </c>
      <c r="N328">
        <v>144</v>
      </c>
      <c r="O328" t="s">
        <v>36</v>
      </c>
      <c r="P328" t="s">
        <v>25</v>
      </c>
      <c r="Q328">
        <v>98</v>
      </c>
      <c r="R328" t="s">
        <v>56</v>
      </c>
      <c r="S328">
        <v>11.99</v>
      </c>
    </row>
    <row r="329" spans="1:19" x14ac:dyDescent="0.3">
      <c r="A329">
        <f>'Raw Data'!D329-'Raw Data'!C329</f>
        <v>185</v>
      </c>
      <c r="B329" s="2" t="str">
        <f>_xlfn.IFS('Raw Data'!E329&gt;10,"Premium",'Raw Data'!E329&lt;10,"Basic")</f>
        <v>Premium</v>
      </c>
      <c r="C329">
        <v>11.99</v>
      </c>
      <c r="D329">
        <v>9298</v>
      </c>
      <c r="E329" t="s">
        <v>62</v>
      </c>
      <c r="F329" t="s">
        <v>68</v>
      </c>
      <c r="G329">
        <v>276</v>
      </c>
      <c r="H329" t="s">
        <v>28</v>
      </c>
      <c r="I329">
        <v>1099</v>
      </c>
      <c r="J329">
        <v>9298</v>
      </c>
      <c r="K329" t="s">
        <v>74</v>
      </c>
      <c r="L329" t="s">
        <v>26</v>
      </c>
      <c r="M329">
        <v>389</v>
      </c>
      <c r="N329">
        <v>177</v>
      </c>
      <c r="O329" t="s">
        <v>68</v>
      </c>
      <c r="P329" t="s">
        <v>74</v>
      </c>
      <c r="Q329">
        <v>276</v>
      </c>
      <c r="R329" t="s">
        <v>56</v>
      </c>
      <c r="S329">
        <v>11.99</v>
      </c>
    </row>
    <row r="330" spans="1:19" x14ac:dyDescent="0.3">
      <c r="A330">
        <f>'Raw Data'!D330-'Raw Data'!C330</f>
        <v>250</v>
      </c>
      <c r="B330" s="2" t="str">
        <f>_xlfn.IFS('Raw Data'!E330&gt;10,"Premium",'Raw Data'!E330&lt;10,"Basic")</f>
        <v>Premium</v>
      </c>
      <c r="C330">
        <v>11.99</v>
      </c>
      <c r="D330">
        <v>4216</v>
      </c>
      <c r="E330" t="s">
        <v>24</v>
      </c>
      <c r="F330" t="s">
        <v>36</v>
      </c>
      <c r="G330">
        <v>251</v>
      </c>
      <c r="H330" t="s">
        <v>28</v>
      </c>
      <c r="I330">
        <v>585</v>
      </c>
      <c r="J330">
        <v>4216</v>
      </c>
      <c r="K330" t="s">
        <v>59</v>
      </c>
      <c r="L330" t="s">
        <v>40</v>
      </c>
      <c r="M330">
        <v>922</v>
      </c>
      <c r="N330">
        <v>106</v>
      </c>
      <c r="O330" t="s">
        <v>36</v>
      </c>
      <c r="P330" t="s">
        <v>59</v>
      </c>
      <c r="Q330">
        <v>251</v>
      </c>
      <c r="R330" t="s">
        <v>27</v>
      </c>
      <c r="S330">
        <v>11.99</v>
      </c>
    </row>
    <row r="331" spans="1:19" x14ac:dyDescent="0.3">
      <c r="A331">
        <f>'Raw Data'!D331-'Raw Data'!C331</f>
        <v>632</v>
      </c>
      <c r="B331" s="2" t="str">
        <f>_xlfn.IFS('Raw Data'!E331&gt;10,"Premium",'Raw Data'!E331&lt;10,"Basic")</f>
        <v>Basic</v>
      </c>
      <c r="C331">
        <v>7.99</v>
      </c>
      <c r="D331">
        <v>3677</v>
      </c>
      <c r="E331" t="s">
        <v>43</v>
      </c>
      <c r="F331" t="s">
        <v>36</v>
      </c>
      <c r="G331">
        <v>233</v>
      </c>
      <c r="H331" t="s">
        <v>28</v>
      </c>
      <c r="I331">
        <v>615</v>
      </c>
      <c r="J331">
        <v>3677</v>
      </c>
      <c r="K331" t="s">
        <v>39</v>
      </c>
      <c r="L331" t="s">
        <v>26</v>
      </c>
      <c r="M331">
        <v>485</v>
      </c>
      <c r="N331">
        <v>37</v>
      </c>
      <c r="O331" t="s">
        <v>36</v>
      </c>
      <c r="P331" t="s">
        <v>39</v>
      </c>
      <c r="Q331">
        <v>233</v>
      </c>
      <c r="R331" t="s">
        <v>41</v>
      </c>
      <c r="S331">
        <v>7.99</v>
      </c>
    </row>
    <row r="332" spans="1:19" x14ac:dyDescent="0.3">
      <c r="A332">
        <f>'Raw Data'!D332-'Raw Data'!C332</f>
        <v>194</v>
      </c>
      <c r="B332" s="2" t="str">
        <f>_xlfn.IFS('Raw Data'!E332&gt;10,"Premium",'Raw Data'!E332&lt;10,"Basic")</f>
        <v>Premium</v>
      </c>
      <c r="C332">
        <v>11.99</v>
      </c>
      <c r="D332">
        <v>8453</v>
      </c>
      <c r="E332" t="s">
        <v>79</v>
      </c>
      <c r="F332" t="s">
        <v>52</v>
      </c>
      <c r="G332">
        <v>136</v>
      </c>
      <c r="H332" t="s">
        <v>28</v>
      </c>
      <c r="I332">
        <v>2634</v>
      </c>
      <c r="J332">
        <v>8453</v>
      </c>
      <c r="K332" t="s">
        <v>48</v>
      </c>
      <c r="L332" t="s">
        <v>64</v>
      </c>
      <c r="M332">
        <v>112</v>
      </c>
      <c r="N332">
        <v>181</v>
      </c>
      <c r="O332" t="s">
        <v>52</v>
      </c>
      <c r="P332" t="s">
        <v>48</v>
      </c>
      <c r="Q332">
        <v>136</v>
      </c>
      <c r="R332" t="s">
        <v>27</v>
      </c>
      <c r="S332">
        <v>11.99</v>
      </c>
    </row>
    <row r="333" spans="1:19" x14ac:dyDescent="0.3">
      <c r="A333">
        <f>'Raw Data'!D333-'Raw Data'!C333</f>
        <v>683</v>
      </c>
      <c r="B333" s="2" t="str">
        <f>_xlfn.IFS('Raw Data'!E333&gt;10,"Premium",'Raw Data'!E333&lt;10,"Basic")</f>
        <v>Premium</v>
      </c>
      <c r="C333">
        <v>15.99</v>
      </c>
      <c r="D333">
        <v>6231</v>
      </c>
      <c r="E333" t="s">
        <v>55</v>
      </c>
      <c r="F333" t="s">
        <v>60</v>
      </c>
      <c r="G333">
        <v>248</v>
      </c>
      <c r="H333" t="s">
        <v>28</v>
      </c>
      <c r="I333">
        <v>136</v>
      </c>
      <c r="J333">
        <v>6231</v>
      </c>
      <c r="K333" t="s">
        <v>74</v>
      </c>
      <c r="L333" t="s">
        <v>49</v>
      </c>
      <c r="M333">
        <v>181</v>
      </c>
      <c r="N333">
        <v>13</v>
      </c>
      <c r="O333" t="s">
        <v>60</v>
      </c>
      <c r="P333" t="s">
        <v>74</v>
      </c>
      <c r="Q333">
        <v>248</v>
      </c>
      <c r="R333" t="s">
        <v>50</v>
      </c>
      <c r="S333">
        <v>15.99</v>
      </c>
    </row>
    <row r="334" spans="1:19" x14ac:dyDescent="0.3">
      <c r="A334">
        <f>'Raw Data'!D334-'Raw Data'!C334</f>
        <v>650</v>
      </c>
      <c r="B334" s="2" t="str">
        <f>_xlfn.IFS('Raw Data'!E334&gt;10,"Premium",'Raw Data'!E334&lt;10,"Basic")</f>
        <v>Basic</v>
      </c>
      <c r="C334">
        <v>7.99</v>
      </c>
      <c r="D334">
        <v>1481</v>
      </c>
      <c r="E334" t="s">
        <v>46</v>
      </c>
      <c r="F334" t="s">
        <v>60</v>
      </c>
      <c r="G334">
        <v>180</v>
      </c>
      <c r="H334" t="s">
        <v>28</v>
      </c>
      <c r="I334">
        <v>4566</v>
      </c>
      <c r="J334">
        <v>1481</v>
      </c>
      <c r="K334" t="s">
        <v>44</v>
      </c>
      <c r="L334" t="s">
        <v>40</v>
      </c>
      <c r="M334">
        <v>936</v>
      </c>
      <c r="N334">
        <v>166</v>
      </c>
      <c r="O334" t="s">
        <v>60</v>
      </c>
      <c r="P334" t="s">
        <v>44</v>
      </c>
      <c r="Q334">
        <v>180</v>
      </c>
      <c r="R334" t="s">
        <v>56</v>
      </c>
      <c r="S334">
        <v>7.99</v>
      </c>
    </row>
    <row r="335" spans="1:19" x14ac:dyDescent="0.3">
      <c r="A335">
        <f>'Raw Data'!D335-'Raw Data'!C335</f>
        <v>220</v>
      </c>
      <c r="B335" s="2" t="str">
        <f>_xlfn.IFS('Raw Data'!E335&gt;10,"Premium",'Raw Data'!E335&lt;10,"Basic")</f>
        <v>Premium</v>
      </c>
      <c r="C335">
        <v>11.99</v>
      </c>
      <c r="D335">
        <v>7400</v>
      </c>
      <c r="E335" t="s">
        <v>24</v>
      </c>
      <c r="F335" t="s">
        <v>60</v>
      </c>
      <c r="G335">
        <v>254</v>
      </c>
      <c r="H335" t="s">
        <v>28</v>
      </c>
      <c r="I335">
        <v>3281</v>
      </c>
      <c r="J335">
        <v>7400</v>
      </c>
      <c r="K335" t="s">
        <v>59</v>
      </c>
      <c r="L335" t="s">
        <v>40</v>
      </c>
      <c r="M335">
        <v>406</v>
      </c>
      <c r="N335">
        <v>47</v>
      </c>
      <c r="O335" t="s">
        <v>60</v>
      </c>
      <c r="P335" t="s">
        <v>59</v>
      </c>
      <c r="Q335">
        <v>254</v>
      </c>
      <c r="R335" t="s">
        <v>41</v>
      </c>
      <c r="S335">
        <v>11.99</v>
      </c>
    </row>
    <row r="336" spans="1:19" x14ac:dyDescent="0.3">
      <c r="A336">
        <f>'Raw Data'!D336-'Raw Data'!C336</f>
        <v>539</v>
      </c>
      <c r="B336" s="2" t="str">
        <f>_xlfn.IFS('Raw Data'!E336&gt;10,"Premium",'Raw Data'!E336&lt;10,"Basic")</f>
        <v>Basic</v>
      </c>
      <c r="C336">
        <v>7.99</v>
      </c>
      <c r="D336">
        <v>7447</v>
      </c>
      <c r="E336" t="s">
        <v>33</v>
      </c>
      <c r="F336" t="s">
        <v>30</v>
      </c>
      <c r="G336">
        <v>108</v>
      </c>
      <c r="H336" t="s">
        <v>28</v>
      </c>
      <c r="I336">
        <v>1559</v>
      </c>
      <c r="J336">
        <v>7447</v>
      </c>
      <c r="K336" t="s">
        <v>63</v>
      </c>
      <c r="L336" t="s">
        <v>26</v>
      </c>
      <c r="M336">
        <v>717</v>
      </c>
      <c r="N336">
        <v>84</v>
      </c>
      <c r="O336" t="s">
        <v>30</v>
      </c>
      <c r="P336" t="s">
        <v>63</v>
      </c>
      <c r="Q336">
        <v>108</v>
      </c>
      <c r="R336" t="s">
        <v>27</v>
      </c>
      <c r="S336">
        <v>7.99</v>
      </c>
    </row>
    <row r="337" spans="1:19" x14ac:dyDescent="0.3">
      <c r="A337">
        <f>'Raw Data'!D337-'Raw Data'!C337</f>
        <v>125</v>
      </c>
      <c r="B337" s="2" t="str">
        <f>_xlfn.IFS('Raw Data'!E337&gt;10,"Premium",'Raw Data'!E337&lt;10,"Basic")</f>
        <v>Basic</v>
      </c>
      <c r="C337">
        <v>7.99</v>
      </c>
      <c r="D337">
        <v>4597</v>
      </c>
      <c r="E337" t="s">
        <v>46</v>
      </c>
      <c r="F337" t="s">
        <v>30</v>
      </c>
      <c r="G337">
        <v>183</v>
      </c>
      <c r="H337" t="s">
        <v>28</v>
      </c>
      <c r="I337">
        <v>3113</v>
      </c>
      <c r="J337">
        <v>4597</v>
      </c>
      <c r="K337" t="s">
        <v>74</v>
      </c>
      <c r="L337" t="s">
        <v>26</v>
      </c>
      <c r="M337">
        <v>833</v>
      </c>
      <c r="N337">
        <v>154</v>
      </c>
      <c r="O337" t="s">
        <v>30</v>
      </c>
      <c r="P337" t="s">
        <v>74</v>
      </c>
      <c r="Q337">
        <v>183</v>
      </c>
      <c r="R337" t="s">
        <v>34</v>
      </c>
      <c r="S337">
        <v>7.99</v>
      </c>
    </row>
    <row r="338" spans="1:19" x14ac:dyDescent="0.3">
      <c r="A338">
        <f>'Raw Data'!D338-'Raw Data'!C338</f>
        <v>75</v>
      </c>
      <c r="B338" s="2" t="str">
        <f>_xlfn.IFS('Raw Data'!E338&gt;10,"Premium",'Raw Data'!E338&lt;10,"Basic")</f>
        <v>Basic</v>
      </c>
      <c r="C338">
        <v>7.99</v>
      </c>
      <c r="D338">
        <v>3173</v>
      </c>
      <c r="E338" t="s">
        <v>43</v>
      </c>
      <c r="F338" t="s">
        <v>36</v>
      </c>
      <c r="G338">
        <v>53</v>
      </c>
      <c r="H338" t="s">
        <v>28</v>
      </c>
      <c r="I338">
        <v>3836</v>
      </c>
      <c r="J338">
        <v>3173</v>
      </c>
      <c r="K338" t="s">
        <v>74</v>
      </c>
      <c r="L338" t="s">
        <v>64</v>
      </c>
      <c r="M338">
        <v>304</v>
      </c>
      <c r="N338">
        <v>49</v>
      </c>
      <c r="O338" t="s">
        <v>36</v>
      </c>
      <c r="P338" t="s">
        <v>74</v>
      </c>
      <c r="Q338">
        <v>53</v>
      </c>
      <c r="R338" t="s">
        <v>56</v>
      </c>
      <c r="S338">
        <v>7.99</v>
      </c>
    </row>
    <row r="339" spans="1:19" x14ac:dyDescent="0.3">
      <c r="A339">
        <f>'Raw Data'!D339-'Raw Data'!C339</f>
        <v>553</v>
      </c>
      <c r="B339" s="2" t="str">
        <f>_xlfn.IFS('Raw Data'!E339&gt;10,"Premium",'Raw Data'!E339&lt;10,"Basic")</f>
        <v>Basic</v>
      </c>
      <c r="C339">
        <v>7.99</v>
      </c>
      <c r="D339">
        <v>9514</v>
      </c>
      <c r="E339" t="s">
        <v>55</v>
      </c>
      <c r="F339" t="s">
        <v>36</v>
      </c>
      <c r="G339">
        <v>120</v>
      </c>
      <c r="H339" t="s">
        <v>28</v>
      </c>
      <c r="I339">
        <v>1522</v>
      </c>
      <c r="J339">
        <v>9514</v>
      </c>
      <c r="K339" t="s">
        <v>44</v>
      </c>
      <c r="L339" t="s">
        <v>40</v>
      </c>
      <c r="M339">
        <v>802</v>
      </c>
      <c r="N339">
        <v>31</v>
      </c>
      <c r="O339" t="s">
        <v>36</v>
      </c>
      <c r="P339" t="s">
        <v>44</v>
      </c>
      <c r="Q339">
        <v>120</v>
      </c>
      <c r="R339" t="s">
        <v>27</v>
      </c>
      <c r="S339">
        <v>7.99</v>
      </c>
    </row>
    <row r="340" spans="1:19" x14ac:dyDescent="0.3">
      <c r="A340">
        <f>'Raw Data'!D340-'Raw Data'!C340</f>
        <v>478</v>
      </c>
      <c r="B340" s="2" t="str">
        <f>_xlfn.IFS('Raw Data'!E340&gt;10,"Premium",'Raw Data'!E340&lt;10,"Basic")</f>
        <v>Basic</v>
      </c>
      <c r="C340">
        <v>7.99</v>
      </c>
      <c r="D340">
        <v>4985</v>
      </c>
      <c r="E340" t="s">
        <v>43</v>
      </c>
      <c r="F340" t="s">
        <v>52</v>
      </c>
      <c r="G340">
        <v>118</v>
      </c>
      <c r="H340" t="s">
        <v>28</v>
      </c>
      <c r="I340">
        <v>1756</v>
      </c>
      <c r="J340">
        <v>4985</v>
      </c>
      <c r="K340" t="s">
        <v>44</v>
      </c>
      <c r="L340" t="s">
        <v>64</v>
      </c>
      <c r="M340">
        <v>522</v>
      </c>
      <c r="N340">
        <v>160</v>
      </c>
      <c r="O340" t="s">
        <v>52</v>
      </c>
      <c r="P340" t="s">
        <v>44</v>
      </c>
      <c r="Q340">
        <v>118</v>
      </c>
      <c r="R340" t="s">
        <v>41</v>
      </c>
      <c r="S340">
        <v>7.99</v>
      </c>
    </row>
    <row r="341" spans="1:19" x14ac:dyDescent="0.3">
      <c r="A341">
        <f>'Raw Data'!D341-'Raw Data'!C341</f>
        <v>343</v>
      </c>
      <c r="B341" s="2" t="str">
        <f>_xlfn.IFS('Raw Data'!E341&gt;10,"Premium",'Raw Data'!E341&lt;10,"Basic")</f>
        <v>Basic</v>
      </c>
      <c r="C341">
        <v>7.99</v>
      </c>
      <c r="D341">
        <v>4486</v>
      </c>
      <c r="E341" t="s">
        <v>33</v>
      </c>
      <c r="F341" t="s">
        <v>68</v>
      </c>
      <c r="G341">
        <v>113</v>
      </c>
      <c r="H341" t="s">
        <v>28</v>
      </c>
      <c r="I341">
        <v>1542</v>
      </c>
      <c r="J341">
        <v>4486</v>
      </c>
      <c r="K341" t="s">
        <v>59</v>
      </c>
      <c r="L341" t="s">
        <v>64</v>
      </c>
      <c r="M341">
        <v>177</v>
      </c>
      <c r="N341">
        <v>3</v>
      </c>
      <c r="O341" t="s">
        <v>68</v>
      </c>
      <c r="P341" t="s">
        <v>59</v>
      </c>
      <c r="Q341">
        <v>113</v>
      </c>
      <c r="R341" t="s">
        <v>56</v>
      </c>
      <c r="S341">
        <v>7.99</v>
      </c>
    </row>
    <row r="342" spans="1:19" x14ac:dyDescent="0.3">
      <c r="A342">
        <f>'Raw Data'!D342-'Raw Data'!C342</f>
        <v>353</v>
      </c>
      <c r="B342" s="2" t="str">
        <f>_xlfn.IFS('Raw Data'!E342&gt;10,"Premium",'Raw Data'!E342&lt;10,"Basic")</f>
        <v>Basic</v>
      </c>
      <c r="C342">
        <v>7.99</v>
      </c>
      <c r="D342">
        <v>8756</v>
      </c>
      <c r="E342" t="s">
        <v>33</v>
      </c>
      <c r="F342" t="s">
        <v>30</v>
      </c>
      <c r="G342">
        <v>138</v>
      </c>
      <c r="H342" t="s">
        <v>28</v>
      </c>
      <c r="I342">
        <v>77</v>
      </c>
      <c r="J342">
        <v>8756</v>
      </c>
      <c r="K342" t="s">
        <v>59</v>
      </c>
      <c r="L342" t="s">
        <v>40</v>
      </c>
      <c r="M342">
        <v>811</v>
      </c>
      <c r="N342">
        <v>37</v>
      </c>
      <c r="O342" t="s">
        <v>30</v>
      </c>
      <c r="P342" t="s">
        <v>59</v>
      </c>
      <c r="Q342">
        <v>138</v>
      </c>
      <c r="R342" t="s">
        <v>41</v>
      </c>
      <c r="S342">
        <v>7.99</v>
      </c>
    </row>
    <row r="343" spans="1:19" x14ac:dyDescent="0.3">
      <c r="A343">
        <f>'Raw Data'!D343-'Raw Data'!C343</f>
        <v>543</v>
      </c>
      <c r="B343" s="2" t="str">
        <f>_xlfn.IFS('Raw Data'!E343&gt;10,"Premium",'Raw Data'!E343&lt;10,"Basic")</f>
        <v>Basic</v>
      </c>
      <c r="C343">
        <v>7.99</v>
      </c>
      <c r="D343">
        <v>9121</v>
      </c>
      <c r="E343" t="s">
        <v>55</v>
      </c>
      <c r="F343" t="s">
        <v>60</v>
      </c>
      <c r="G343">
        <v>178</v>
      </c>
      <c r="H343" t="s">
        <v>28</v>
      </c>
      <c r="I343">
        <v>4356</v>
      </c>
      <c r="J343">
        <v>9121</v>
      </c>
      <c r="K343" t="s">
        <v>39</v>
      </c>
      <c r="L343" t="s">
        <v>64</v>
      </c>
      <c r="M343">
        <v>239</v>
      </c>
      <c r="N343">
        <v>126</v>
      </c>
      <c r="O343" t="s">
        <v>60</v>
      </c>
      <c r="P343" t="s">
        <v>39</v>
      </c>
      <c r="Q343">
        <v>178</v>
      </c>
      <c r="R343" t="s">
        <v>56</v>
      </c>
      <c r="S343">
        <v>7.99</v>
      </c>
    </row>
    <row r="344" spans="1:19" x14ac:dyDescent="0.3">
      <c r="A344">
        <f>'Raw Data'!D344-'Raw Data'!C344</f>
        <v>333</v>
      </c>
      <c r="B344" s="2" t="str">
        <f>_xlfn.IFS('Raw Data'!E344&gt;10,"Premium",'Raw Data'!E344&lt;10,"Basic")</f>
        <v>Basic</v>
      </c>
      <c r="C344">
        <v>7.99</v>
      </c>
      <c r="D344">
        <v>6471</v>
      </c>
      <c r="E344" t="s">
        <v>62</v>
      </c>
      <c r="F344" t="s">
        <v>60</v>
      </c>
      <c r="G344">
        <v>105</v>
      </c>
      <c r="H344" t="s">
        <v>28</v>
      </c>
      <c r="I344">
        <v>1989</v>
      </c>
      <c r="J344">
        <v>6471</v>
      </c>
      <c r="K344" t="s">
        <v>59</v>
      </c>
      <c r="L344" t="s">
        <v>49</v>
      </c>
      <c r="M344">
        <v>49</v>
      </c>
      <c r="N344">
        <v>71</v>
      </c>
      <c r="O344" t="s">
        <v>60</v>
      </c>
      <c r="P344" t="s">
        <v>59</v>
      </c>
      <c r="Q344">
        <v>105</v>
      </c>
      <c r="R344" t="s">
        <v>67</v>
      </c>
      <c r="S344">
        <v>7.99</v>
      </c>
    </row>
    <row r="345" spans="1:19" x14ac:dyDescent="0.3">
      <c r="A345">
        <f>'Raw Data'!D345-'Raw Data'!C345</f>
        <v>575</v>
      </c>
      <c r="B345" s="2" t="str">
        <f>_xlfn.IFS('Raw Data'!E345&gt;10,"Premium",'Raw Data'!E345&lt;10,"Basic")</f>
        <v>Basic</v>
      </c>
      <c r="C345">
        <v>7.99</v>
      </c>
      <c r="D345">
        <v>6601</v>
      </c>
      <c r="E345" t="s">
        <v>24</v>
      </c>
      <c r="F345" t="s">
        <v>68</v>
      </c>
      <c r="G345">
        <v>283</v>
      </c>
      <c r="H345" t="s">
        <v>28</v>
      </c>
      <c r="I345">
        <v>906</v>
      </c>
      <c r="J345">
        <v>6601</v>
      </c>
      <c r="K345" t="s">
        <v>74</v>
      </c>
      <c r="L345" t="s">
        <v>40</v>
      </c>
      <c r="M345">
        <v>407</v>
      </c>
      <c r="N345">
        <v>15</v>
      </c>
      <c r="O345" t="s">
        <v>68</v>
      </c>
      <c r="P345" t="s">
        <v>74</v>
      </c>
      <c r="Q345">
        <v>283</v>
      </c>
      <c r="R345" t="s">
        <v>67</v>
      </c>
      <c r="S345">
        <v>7.99</v>
      </c>
    </row>
    <row r="346" spans="1:19" x14ac:dyDescent="0.3">
      <c r="A346">
        <f>'Raw Data'!D346-'Raw Data'!C346</f>
        <v>630</v>
      </c>
      <c r="B346" s="2" t="str">
        <f>_xlfn.IFS('Raw Data'!E346&gt;10,"Premium",'Raw Data'!E346&lt;10,"Basic")</f>
        <v>Premium</v>
      </c>
      <c r="C346">
        <v>15.99</v>
      </c>
      <c r="D346">
        <v>4340</v>
      </c>
      <c r="E346" t="s">
        <v>43</v>
      </c>
      <c r="F346" t="s">
        <v>68</v>
      </c>
      <c r="G346">
        <v>154</v>
      </c>
      <c r="H346" t="s">
        <v>28</v>
      </c>
      <c r="I346">
        <v>4108</v>
      </c>
      <c r="J346">
        <v>4340</v>
      </c>
      <c r="K346" t="s">
        <v>44</v>
      </c>
      <c r="L346" t="s">
        <v>26</v>
      </c>
      <c r="M346">
        <v>804</v>
      </c>
      <c r="N346">
        <v>106</v>
      </c>
      <c r="O346" t="s">
        <v>68</v>
      </c>
      <c r="P346" t="s">
        <v>44</v>
      </c>
      <c r="Q346">
        <v>154</v>
      </c>
      <c r="R346" t="s">
        <v>56</v>
      </c>
      <c r="S346">
        <v>15.99</v>
      </c>
    </row>
    <row r="347" spans="1:19" x14ac:dyDescent="0.3">
      <c r="A347">
        <f>'Raw Data'!D347-'Raw Data'!C347</f>
        <v>39</v>
      </c>
      <c r="B347" s="2" t="str">
        <f>_xlfn.IFS('Raw Data'!E347&gt;10,"Premium",'Raw Data'!E347&lt;10,"Basic")</f>
        <v>Premium</v>
      </c>
      <c r="C347">
        <v>15.99</v>
      </c>
      <c r="D347">
        <v>5112</v>
      </c>
      <c r="E347" t="s">
        <v>55</v>
      </c>
      <c r="F347" t="s">
        <v>36</v>
      </c>
      <c r="G347">
        <v>240</v>
      </c>
      <c r="H347" t="s">
        <v>28</v>
      </c>
      <c r="I347">
        <v>333</v>
      </c>
      <c r="J347">
        <v>5112</v>
      </c>
      <c r="K347" t="s">
        <v>25</v>
      </c>
      <c r="L347" t="s">
        <v>64</v>
      </c>
      <c r="M347">
        <v>564</v>
      </c>
      <c r="N347">
        <v>121</v>
      </c>
      <c r="O347" t="s">
        <v>36</v>
      </c>
      <c r="P347" t="s">
        <v>25</v>
      </c>
      <c r="Q347">
        <v>240</v>
      </c>
      <c r="R347" t="s">
        <v>27</v>
      </c>
      <c r="S347">
        <v>15.99</v>
      </c>
    </row>
    <row r="348" spans="1:19" x14ac:dyDescent="0.3">
      <c r="A348">
        <f>'Raw Data'!D348-'Raw Data'!C348</f>
        <v>563</v>
      </c>
      <c r="B348" s="2" t="str">
        <f>_xlfn.IFS('Raw Data'!E348&gt;10,"Premium",'Raw Data'!E348&lt;10,"Basic")</f>
        <v>Premium</v>
      </c>
      <c r="C348">
        <v>11.99</v>
      </c>
      <c r="D348">
        <v>5700</v>
      </c>
      <c r="E348" t="s">
        <v>43</v>
      </c>
      <c r="F348" t="s">
        <v>52</v>
      </c>
      <c r="G348">
        <v>29</v>
      </c>
      <c r="H348" t="s">
        <v>28</v>
      </c>
      <c r="I348">
        <v>3847</v>
      </c>
      <c r="J348">
        <v>5700</v>
      </c>
      <c r="K348" t="s">
        <v>74</v>
      </c>
      <c r="L348" t="s">
        <v>49</v>
      </c>
      <c r="M348">
        <v>625</v>
      </c>
      <c r="N348">
        <v>165</v>
      </c>
      <c r="O348" t="s">
        <v>52</v>
      </c>
      <c r="P348" t="s">
        <v>74</v>
      </c>
      <c r="Q348">
        <v>29</v>
      </c>
      <c r="R348" t="s">
        <v>50</v>
      </c>
      <c r="S348">
        <v>11.99</v>
      </c>
    </row>
    <row r="349" spans="1:19" x14ac:dyDescent="0.3">
      <c r="A349">
        <f>'Raw Data'!D349-'Raw Data'!C349</f>
        <v>58</v>
      </c>
      <c r="B349" s="2" t="str">
        <f>_xlfn.IFS('Raw Data'!E349&gt;10,"Premium",'Raw Data'!E349&lt;10,"Basic")</f>
        <v>Premium</v>
      </c>
      <c r="C349">
        <v>15.99</v>
      </c>
      <c r="D349">
        <v>8617</v>
      </c>
      <c r="E349" t="s">
        <v>62</v>
      </c>
      <c r="F349" t="s">
        <v>68</v>
      </c>
      <c r="G349">
        <v>202</v>
      </c>
      <c r="H349" t="s">
        <v>28</v>
      </c>
      <c r="I349">
        <v>1423</v>
      </c>
      <c r="J349">
        <v>8617</v>
      </c>
      <c r="K349" t="s">
        <v>59</v>
      </c>
      <c r="L349" t="s">
        <v>64</v>
      </c>
      <c r="M349">
        <v>260</v>
      </c>
      <c r="N349">
        <v>53</v>
      </c>
      <c r="O349" t="s">
        <v>68</v>
      </c>
      <c r="P349" t="s">
        <v>59</v>
      </c>
      <c r="Q349">
        <v>202</v>
      </c>
      <c r="R349" t="s">
        <v>56</v>
      </c>
      <c r="S349">
        <v>15.99</v>
      </c>
    </row>
    <row r="350" spans="1:19" x14ac:dyDescent="0.3">
      <c r="A350">
        <f>'Raw Data'!D350-'Raw Data'!C350</f>
        <v>712</v>
      </c>
      <c r="B350" s="2" t="str">
        <f>_xlfn.IFS('Raw Data'!E350&gt;10,"Premium",'Raw Data'!E350&lt;10,"Basic")</f>
        <v>Premium</v>
      </c>
      <c r="C350">
        <v>15.99</v>
      </c>
      <c r="D350">
        <v>9149</v>
      </c>
      <c r="E350" t="s">
        <v>46</v>
      </c>
      <c r="F350" t="s">
        <v>52</v>
      </c>
      <c r="G350">
        <v>348</v>
      </c>
      <c r="H350" t="s">
        <v>28</v>
      </c>
      <c r="I350">
        <v>595</v>
      </c>
      <c r="J350">
        <v>9149</v>
      </c>
      <c r="K350" t="s">
        <v>59</v>
      </c>
      <c r="L350" t="s">
        <v>40</v>
      </c>
      <c r="M350">
        <v>378</v>
      </c>
      <c r="N350">
        <v>56</v>
      </c>
      <c r="O350" t="s">
        <v>52</v>
      </c>
      <c r="P350" t="s">
        <v>59</v>
      </c>
      <c r="Q350">
        <v>348</v>
      </c>
      <c r="R350" t="s">
        <v>50</v>
      </c>
      <c r="S350">
        <v>15.99</v>
      </c>
    </row>
    <row r="351" spans="1:19" x14ac:dyDescent="0.3">
      <c r="A351">
        <f>'Raw Data'!D351-'Raw Data'!C351</f>
        <v>99</v>
      </c>
      <c r="B351" s="2" t="str">
        <f>_xlfn.IFS('Raw Data'!E351&gt;10,"Premium",'Raw Data'!E351&lt;10,"Basic")</f>
        <v>Premium</v>
      </c>
      <c r="C351">
        <v>15.99</v>
      </c>
      <c r="D351">
        <v>8651</v>
      </c>
      <c r="E351" t="s">
        <v>79</v>
      </c>
      <c r="F351" t="s">
        <v>68</v>
      </c>
      <c r="G351">
        <v>380</v>
      </c>
      <c r="H351" t="s">
        <v>28</v>
      </c>
      <c r="I351">
        <v>4445</v>
      </c>
      <c r="J351">
        <v>8651</v>
      </c>
      <c r="K351" t="s">
        <v>74</v>
      </c>
      <c r="L351" t="s">
        <v>49</v>
      </c>
      <c r="M351">
        <v>334</v>
      </c>
      <c r="N351">
        <v>175</v>
      </c>
      <c r="O351" t="s">
        <v>68</v>
      </c>
      <c r="P351" t="s">
        <v>74</v>
      </c>
      <c r="Q351">
        <v>380</v>
      </c>
      <c r="R351" t="s">
        <v>34</v>
      </c>
      <c r="S351">
        <v>15.99</v>
      </c>
    </row>
    <row r="352" spans="1:19" x14ac:dyDescent="0.3">
      <c r="A352">
        <f>'Raw Data'!D352-'Raw Data'!C352</f>
        <v>95</v>
      </c>
      <c r="B352" s="2" t="str">
        <f>_xlfn.IFS('Raw Data'!E352&gt;10,"Premium",'Raw Data'!E352&lt;10,"Basic")</f>
        <v>Premium</v>
      </c>
      <c r="C352">
        <v>15.99</v>
      </c>
      <c r="D352">
        <v>1495</v>
      </c>
      <c r="E352" t="s">
        <v>79</v>
      </c>
      <c r="F352" t="s">
        <v>36</v>
      </c>
      <c r="G352">
        <v>254</v>
      </c>
      <c r="H352" t="s">
        <v>28</v>
      </c>
      <c r="I352">
        <v>144</v>
      </c>
      <c r="J352">
        <v>1495</v>
      </c>
      <c r="K352" t="s">
        <v>74</v>
      </c>
      <c r="L352" t="s">
        <v>40</v>
      </c>
      <c r="M352">
        <v>544</v>
      </c>
      <c r="N352">
        <v>89</v>
      </c>
      <c r="O352" t="s">
        <v>36</v>
      </c>
      <c r="P352" t="s">
        <v>74</v>
      </c>
      <c r="Q352">
        <v>254</v>
      </c>
      <c r="R352" t="s">
        <v>56</v>
      </c>
      <c r="S352">
        <v>15.99</v>
      </c>
    </row>
    <row r="353" spans="1:19" x14ac:dyDescent="0.3">
      <c r="A353">
        <f>'Raw Data'!D353-'Raw Data'!C353</f>
        <v>638</v>
      </c>
      <c r="B353" s="2" t="str">
        <f>_xlfn.IFS('Raw Data'!E353&gt;10,"Premium",'Raw Data'!E353&lt;10,"Basic")</f>
        <v>Premium</v>
      </c>
      <c r="C353">
        <v>15.99</v>
      </c>
      <c r="D353">
        <v>7359</v>
      </c>
      <c r="E353" t="s">
        <v>24</v>
      </c>
      <c r="F353" t="s">
        <v>60</v>
      </c>
      <c r="G353">
        <v>477</v>
      </c>
      <c r="H353" t="s">
        <v>28</v>
      </c>
      <c r="I353">
        <v>3428</v>
      </c>
      <c r="J353">
        <v>7359</v>
      </c>
      <c r="K353" t="s">
        <v>25</v>
      </c>
      <c r="L353" t="s">
        <v>49</v>
      </c>
      <c r="M353">
        <v>899</v>
      </c>
      <c r="N353">
        <v>97</v>
      </c>
      <c r="O353" t="s">
        <v>60</v>
      </c>
      <c r="P353" t="s">
        <v>25</v>
      </c>
      <c r="Q353">
        <v>477</v>
      </c>
      <c r="R353" t="s">
        <v>56</v>
      </c>
      <c r="S353">
        <v>15.99</v>
      </c>
    </row>
    <row r="354" spans="1:19" x14ac:dyDescent="0.3">
      <c r="A354">
        <f>'Raw Data'!D354-'Raw Data'!C354</f>
        <v>667</v>
      </c>
      <c r="B354" s="2" t="str">
        <f>_xlfn.IFS('Raw Data'!E354&gt;10,"Premium",'Raw Data'!E354&lt;10,"Basic")</f>
        <v>Premium</v>
      </c>
      <c r="C354">
        <v>15.99</v>
      </c>
      <c r="D354">
        <v>6525</v>
      </c>
      <c r="E354" t="s">
        <v>62</v>
      </c>
      <c r="F354" t="s">
        <v>30</v>
      </c>
      <c r="G354">
        <v>385</v>
      </c>
      <c r="H354" t="s">
        <v>28</v>
      </c>
      <c r="I354">
        <v>4919</v>
      </c>
      <c r="J354">
        <v>6525</v>
      </c>
      <c r="K354" t="s">
        <v>25</v>
      </c>
      <c r="L354" t="s">
        <v>49</v>
      </c>
      <c r="M354">
        <v>807</v>
      </c>
      <c r="N354">
        <v>188</v>
      </c>
      <c r="O354" t="s">
        <v>30</v>
      </c>
      <c r="P354" t="s">
        <v>25</v>
      </c>
      <c r="Q354">
        <v>385</v>
      </c>
      <c r="R354" t="s">
        <v>67</v>
      </c>
      <c r="S354">
        <v>15.99</v>
      </c>
    </row>
    <row r="355" spans="1:19" x14ac:dyDescent="0.3">
      <c r="A355">
        <f>'Raw Data'!D355-'Raw Data'!C355</f>
        <v>120</v>
      </c>
      <c r="B355" s="2" t="str">
        <f>_xlfn.IFS('Raw Data'!E355&gt;10,"Premium",'Raw Data'!E355&lt;10,"Basic")</f>
        <v>Basic</v>
      </c>
      <c r="C355">
        <v>7.99</v>
      </c>
      <c r="D355">
        <v>7207</v>
      </c>
      <c r="E355" t="s">
        <v>43</v>
      </c>
      <c r="F355" t="s">
        <v>30</v>
      </c>
      <c r="G355">
        <v>336</v>
      </c>
      <c r="H355" t="s">
        <v>28</v>
      </c>
      <c r="I355">
        <v>4905</v>
      </c>
      <c r="J355">
        <v>7207</v>
      </c>
      <c r="K355" t="s">
        <v>59</v>
      </c>
      <c r="L355" t="s">
        <v>49</v>
      </c>
      <c r="M355">
        <v>235</v>
      </c>
      <c r="N355">
        <v>25</v>
      </c>
      <c r="O355" t="s">
        <v>30</v>
      </c>
      <c r="P355" t="s">
        <v>59</v>
      </c>
      <c r="Q355">
        <v>336</v>
      </c>
      <c r="R355" t="s">
        <v>67</v>
      </c>
      <c r="S355">
        <v>7.99</v>
      </c>
    </row>
    <row r="356" spans="1:19" x14ac:dyDescent="0.3">
      <c r="A356">
        <f>'Raw Data'!D356-'Raw Data'!C356</f>
        <v>618</v>
      </c>
      <c r="B356" s="2" t="str">
        <f>_xlfn.IFS('Raw Data'!E356&gt;10,"Premium",'Raw Data'!E356&lt;10,"Basic")</f>
        <v>Premium</v>
      </c>
      <c r="C356">
        <v>15.99</v>
      </c>
      <c r="D356">
        <v>2361</v>
      </c>
      <c r="E356" t="s">
        <v>24</v>
      </c>
      <c r="F356" t="s">
        <v>36</v>
      </c>
      <c r="G356">
        <v>171</v>
      </c>
      <c r="H356" t="s">
        <v>28</v>
      </c>
      <c r="I356">
        <v>428</v>
      </c>
      <c r="J356">
        <v>2361</v>
      </c>
      <c r="K356" t="s">
        <v>44</v>
      </c>
      <c r="L356" t="s">
        <v>26</v>
      </c>
      <c r="M356">
        <v>763</v>
      </c>
      <c r="N356">
        <v>16</v>
      </c>
      <c r="O356" t="s">
        <v>36</v>
      </c>
      <c r="P356" t="s">
        <v>44</v>
      </c>
      <c r="Q356">
        <v>171</v>
      </c>
      <c r="R356" t="s">
        <v>50</v>
      </c>
      <c r="S356">
        <v>15.99</v>
      </c>
    </row>
    <row r="357" spans="1:19" x14ac:dyDescent="0.3">
      <c r="A357">
        <f>'Raw Data'!D357-'Raw Data'!C357</f>
        <v>425</v>
      </c>
      <c r="B357" s="2" t="str">
        <f>_xlfn.IFS('Raw Data'!E357&gt;10,"Premium",'Raw Data'!E357&lt;10,"Basic")</f>
        <v>Premium</v>
      </c>
      <c r="C357">
        <v>15.99</v>
      </c>
      <c r="D357">
        <v>8766</v>
      </c>
      <c r="E357" t="s">
        <v>46</v>
      </c>
      <c r="F357" t="s">
        <v>60</v>
      </c>
      <c r="G357">
        <v>33</v>
      </c>
      <c r="H357" t="s">
        <v>28</v>
      </c>
      <c r="I357">
        <v>1634</v>
      </c>
      <c r="J357">
        <v>8766</v>
      </c>
      <c r="K357" t="s">
        <v>39</v>
      </c>
      <c r="L357" t="s">
        <v>49</v>
      </c>
      <c r="M357">
        <v>475</v>
      </c>
      <c r="N357">
        <v>151</v>
      </c>
      <c r="O357" t="s">
        <v>60</v>
      </c>
      <c r="P357" t="s">
        <v>39</v>
      </c>
      <c r="Q357">
        <v>33</v>
      </c>
      <c r="R357" t="s">
        <v>67</v>
      </c>
      <c r="S357">
        <v>15.99</v>
      </c>
    </row>
    <row r="358" spans="1:19" x14ac:dyDescent="0.3">
      <c r="A358">
        <f>'Raw Data'!D358-'Raw Data'!C358</f>
        <v>241</v>
      </c>
      <c r="B358" s="2" t="str">
        <f>_xlfn.IFS('Raw Data'!E358&gt;10,"Premium",'Raw Data'!E358&lt;10,"Basic")</f>
        <v>Basic</v>
      </c>
      <c r="C358">
        <v>7.99</v>
      </c>
      <c r="D358">
        <v>7236</v>
      </c>
      <c r="E358" t="s">
        <v>79</v>
      </c>
      <c r="F358" t="s">
        <v>36</v>
      </c>
      <c r="G358">
        <v>193</v>
      </c>
      <c r="H358" t="s">
        <v>28</v>
      </c>
      <c r="I358">
        <v>4085</v>
      </c>
      <c r="J358">
        <v>7236</v>
      </c>
      <c r="K358" t="s">
        <v>44</v>
      </c>
      <c r="L358" t="s">
        <v>64</v>
      </c>
      <c r="M358">
        <v>453</v>
      </c>
      <c r="N358">
        <v>113</v>
      </c>
      <c r="O358" t="s">
        <v>36</v>
      </c>
      <c r="P358" t="s">
        <v>44</v>
      </c>
      <c r="Q358">
        <v>193</v>
      </c>
      <c r="R358" t="s">
        <v>67</v>
      </c>
      <c r="S358">
        <v>7.99</v>
      </c>
    </row>
    <row r="359" spans="1:19" x14ac:dyDescent="0.3">
      <c r="A359">
        <f>'Raw Data'!D359-'Raw Data'!C359</f>
        <v>550</v>
      </c>
      <c r="B359" s="2" t="str">
        <f>_xlfn.IFS('Raw Data'!E359&gt;10,"Premium",'Raw Data'!E359&lt;10,"Basic")</f>
        <v>Premium</v>
      </c>
      <c r="C359">
        <v>11.99</v>
      </c>
      <c r="D359">
        <v>8605</v>
      </c>
      <c r="E359" t="s">
        <v>55</v>
      </c>
      <c r="F359" t="s">
        <v>36</v>
      </c>
      <c r="G359">
        <v>153</v>
      </c>
      <c r="H359" t="s">
        <v>28</v>
      </c>
      <c r="I359">
        <v>2790</v>
      </c>
      <c r="J359">
        <v>8605</v>
      </c>
      <c r="K359" t="s">
        <v>48</v>
      </c>
      <c r="L359" t="s">
        <v>40</v>
      </c>
      <c r="M359">
        <v>40</v>
      </c>
      <c r="N359">
        <v>106</v>
      </c>
      <c r="O359" t="s">
        <v>36</v>
      </c>
      <c r="P359" t="s">
        <v>48</v>
      </c>
      <c r="Q359">
        <v>153</v>
      </c>
      <c r="R359" t="s">
        <v>67</v>
      </c>
      <c r="S359">
        <v>11.99</v>
      </c>
    </row>
    <row r="360" spans="1:19" x14ac:dyDescent="0.3">
      <c r="A360">
        <f>'Raw Data'!D360-'Raw Data'!C360</f>
        <v>661</v>
      </c>
      <c r="B360" s="2" t="str">
        <f>_xlfn.IFS('Raw Data'!E360&gt;10,"Premium",'Raw Data'!E360&lt;10,"Basic")</f>
        <v>Premium</v>
      </c>
      <c r="C360">
        <v>15.99</v>
      </c>
      <c r="D360">
        <v>1055</v>
      </c>
      <c r="E360" t="s">
        <v>55</v>
      </c>
      <c r="F360" t="s">
        <v>30</v>
      </c>
      <c r="G360">
        <v>140</v>
      </c>
      <c r="H360" t="s">
        <v>28</v>
      </c>
      <c r="I360">
        <v>2440</v>
      </c>
      <c r="J360">
        <v>1055</v>
      </c>
      <c r="K360" t="s">
        <v>74</v>
      </c>
      <c r="L360" t="s">
        <v>49</v>
      </c>
      <c r="M360">
        <v>112</v>
      </c>
      <c r="N360">
        <v>30</v>
      </c>
      <c r="O360" t="s">
        <v>30</v>
      </c>
      <c r="P360" t="s">
        <v>74</v>
      </c>
      <c r="Q360">
        <v>140</v>
      </c>
      <c r="R360" t="s">
        <v>27</v>
      </c>
      <c r="S360">
        <v>15.99</v>
      </c>
    </row>
    <row r="361" spans="1:19" x14ac:dyDescent="0.3">
      <c r="A361">
        <f>'Raw Data'!D361-'Raw Data'!C361</f>
        <v>687</v>
      </c>
      <c r="B361" s="2" t="str">
        <f>_xlfn.IFS('Raw Data'!E361&gt;10,"Premium",'Raw Data'!E361&lt;10,"Basic")</f>
        <v>Premium</v>
      </c>
      <c r="C361">
        <v>15.99</v>
      </c>
      <c r="D361">
        <v>7986</v>
      </c>
      <c r="E361" t="s">
        <v>62</v>
      </c>
      <c r="F361" t="s">
        <v>60</v>
      </c>
      <c r="G361">
        <v>196</v>
      </c>
      <c r="H361" t="s">
        <v>28</v>
      </c>
      <c r="I361">
        <v>2741</v>
      </c>
      <c r="J361">
        <v>7986</v>
      </c>
      <c r="K361" t="s">
        <v>59</v>
      </c>
      <c r="L361" t="s">
        <v>64</v>
      </c>
      <c r="M361">
        <v>102</v>
      </c>
      <c r="N361">
        <v>66</v>
      </c>
      <c r="O361" t="s">
        <v>60</v>
      </c>
      <c r="P361" t="s">
        <v>59</v>
      </c>
      <c r="Q361">
        <v>196</v>
      </c>
      <c r="R361" t="s">
        <v>50</v>
      </c>
      <c r="S361">
        <v>15.99</v>
      </c>
    </row>
    <row r="362" spans="1:19" x14ac:dyDescent="0.3">
      <c r="A362">
        <f>'Raw Data'!D362-'Raw Data'!C362</f>
        <v>154</v>
      </c>
      <c r="B362" s="2" t="str">
        <f>_xlfn.IFS('Raw Data'!E362&gt;10,"Premium",'Raw Data'!E362&lt;10,"Basic")</f>
        <v>Premium</v>
      </c>
      <c r="C362">
        <v>15.99</v>
      </c>
      <c r="D362">
        <v>6170</v>
      </c>
      <c r="E362" t="s">
        <v>55</v>
      </c>
      <c r="F362" t="s">
        <v>60</v>
      </c>
      <c r="G362">
        <v>298</v>
      </c>
      <c r="H362" t="s">
        <v>28</v>
      </c>
      <c r="I362">
        <v>4338</v>
      </c>
      <c r="J362">
        <v>6170</v>
      </c>
      <c r="K362" t="s">
        <v>44</v>
      </c>
      <c r="L362" t="s">
        <v>64</v>
      </c>
      <c r="M362">
        <v>943</v>
      </c>
      <c r="N362">
        <v>187</v>
      </c>
      <c r="O362" t="s">
        <v>60</v>
      </c>
      <c r="P362" t="s">
        <v>44</v>
      </c>
      <c r="Q362">
        <v>298</v>
      </c>
      <c r="R362" t="s">
        <v>50</v>
      </c>
      <c r="S362">
        <v>15.99</v>
      </c>
    </row>
    <row r="363" spans="1:19" x14ac:dyDescent="0.3">
      <c r="A363">
        <f>'Raw Data'!D363-'Raw Data'!C363</f>
        <v>502</v>
      </c>
      <c r="B363" s="2" t="str">
        <f>_xlfn.IFS('Raw Data'!E363&gt;10,"Premium",'Raw Data'!E363&lt;10,"Basic")</f>
        <v>Premium</v>
      </c>
      <c r="C363">
        <v>11.99</v>
      </c>
      <c r="D363">
        <v>7172</v>
      </c>
      <c r="E363" t="s">
        <v>46</v>
      </c>
      <c r="F363" t="s">
        <v>60</v>
      </c>
      <c r="G363">
        <v>477</v>
      </c>
      <c r="H363" t="s">
        <v>28</v>
      </c>
      <c r="I363">
        <v>2039</v>
      </c>
      <c r="J363">
        <v>7172</v>
      </c>
      <c r="K363" t="s">
        <v>74</v>
      </c>
      <c r="L363" t="s">
        <v>49</v>
      </c>
      <c r="M363">
        <v>426</v>
      </c>
      <c r="N363">
        <v>137</v>
      </c>
      <c r="O363" t="s">
        <v>60</v>
      </c>
      <c r="P363" t="s">
        <v>74</v>
      </c>
      <c r="Q363">
        <v>477</v>
      </c>
      <c r="R363" t="s">
        <v>27</v>
      </c>
      <c r="S363">
        <v>11.99</v>
      </c>
    </row>
    <row r="364" spans="1:19" x14ac:dyDescent="0.3">
      <c r="A364">
        <f>'Raw Data'!D364-'Raw Data'!C364</f>
        <v>698</v>
      </c>
      <c r="B364" s="2" t="str">
        <f>_xlfn.IFS('Raw Data'!E364&gt;10,"Premium",'Raw Data'!E364&lt;10,"Basic")</f>
        <v>Premium</v>
      </c>
      <c r="C364">
        <v>15.99</v>
      </c>
      <c r="D364">
        <v>7408</v>
      </c>
      <c r="E364" t="s">
        <v>79</v>
      </c>
      <c r="F364" t="s">
        <v>36</v>
      </c>
      <c r="G364">
        <v>308</v>
      </c>
      <c r="H364" t="s">
        <v>28</v>
      </c>
      <c r="I364">
        <v>2097</v>
      </c>
      <c r="J364">
        <v>7408</v>
      </c>
      <c r="K364" t="s">
        <v>48</v>
      </c>
      <c r="L364" t="s">
        <v>64</v>
      </c>
      <c r="M364">
        <v>202</v>
      </c>
      <c r="N364">
        <v>12</v>
      </c>
      <c r="O364" t="s">
        <v>36</v>
      </c>
      <c r="P364" t="s">
        <v>48</v>
      </c>
      <c r="Q364">
        <v>308</v>
      </c>
      <c r="R364" t="s">
        <v>50</v>
      </c>
      <c r="S364">
        <v>15.99</v>
      </c>
    </row>
    <row r="365" spans="1:19" x14ac:dyDescent="0.3">
      <c r="A365">
        <f>'Raw Data'!D365-'Raw Data'!C365</f>
        <v>604</v>
      </c>
      <c r="B365" s="2" t="str">
        <f>_xlfn.IFS('Raw Data'!E365&gt;10,"Premium",'Raw Data'!E365&lt;10,"Basic")</f>
        <v>Premium</v>
      </c>
      <c r="C365">
        <v>11.99</v>
      </c>
      <c r="D365">
        <v>7274</v>
      </c>
      <c r="E365" t="s">
        <v>46</v>
      </c>
      <c r="F365" t="s">
        <v>68</v>
      </c>
      <c r="G365">
        <v>193</v>
      </c>
      <c r="H365" t="s">
        <v>28</v>
      </c>
      <c r="I365">
        <v>2384</v>
      </c>
      <c r="J365">
        <v>7274</v>
      </c>
      <c r="K365" t="s">
        <v>74</v>
      </c>
      <c r="L365" t="s">
        <v>49</v>
      </c>
      <c r="M365">
        <v>364</v>
      </c>
      <c r="N365">
        <v>181</v>
      </c>
      <c r="O365" t="s">
        <v>68</v>
      </c>
      <c r="P365" t="s">
        <v>74</v>
      </c>
      <c r="Q365">
        <v>193</v>
      </c>
      <c r="R365" t="s">
        <v>56</v>
      </c>
      <c r="S365">
        <v>11.99</v>
      </c>
    </row>
    <row r="366" spans="1:19" x14ac:dyDescent="0.3">
      <c r="A366">
        <f>'Raw Data'!D366-'Raw Data'!C366</f>
        <v>87</v>
      </c>
      <c r="B366" s="2" t="str">
        <f>_xlfn.IFS('Raw Data'!E366&gt;10,"Premium",'Raw Data'!E366&lt;10,"Basic")</f>
        <v>Premium</v>
      </c>
      <c r="C366">
        <v>15.99</v>
      </c>
      <c r="D366">
        <v>6001</v>
      </c>
      <c r="E366" t="s">
        <v>46</v>
      </c>
      <c r="F366" t="s">
        <v>60</v>
      </c>
      <c r="G366">
        <v>420</v>
      </c>
      <c r="H366" t="s">
        <v>28</v>
      </c>
      <c r="I366">
        <v>4159</v>
      </c>
      <c r="J366">
        <v>6001</v>
      </c>
      <c r="K366" t="s">
        <v>25</v>
      </c>
      <c r="L366" t="s">
        <v>40</v>
      </c>
      <c r="M366">
        <v>562</v>
      </c>
      <c r="N366">
        <v>67</v>
      </c>
      <c r="O366" t="s">
        <v>60</v>
      </c>
      <c r="P366" t="s">
        <v>25</v>
      </c>
      <c r="Q366">
        <v>420</v>
      </c>
      <c r="R366" t="s">
        <v>56</v>
      </c>
      <c r="S366">
        <v>15.99</v>
      </c>
    </row>
    <row r="367" spans="1:19" x14ac:dyDescent="0.3">
      <c r="A367">
        <f>'Raw Data'!D367-'Raw Data'!C367</f>
        <v>128</v>
      </c>
      <c r="B367" s="2" t="str">
        <f>_xlfn.IFS('Raw Data'!E367&gt;10,"Premium",'Raw Data'!E367&lt;10,"Basic")</f>
        <v>Basic</v>
      </c>
      <c r="C367">
        <v>7.99</v>
      </c>
      <c r="D367">
        <v>9418</v>
      </c>
      <c r="E367" t="s">
        <v>24</v>
      </c>
      <c r="F367" t="s">
        <v>52</v>
      </c>
      <c r="G367">
        <v>128</v>
      </c>
      <c r="H367" t="s">
        <v>28</v>
      </c>
      <c r="I367">
        <v>2002</v>
      </c>
      <c r="J367">
        <v>9418</v>
      </c>
      <c r="K367" t="s">
        <v>48</v>
      </c>
      <c r="L367" t="s">
        <v>49</v>
      </c>
      <c r="M367">
        <v>481</v>
      </c>
      <c r="N367">
        <v>128</v>
      </c>
      <c r="O367" t="s">
        <v>52</v>
      </c>
      <c r="P367" t="s">
        <v>48</v>
      </c>
      <c r="Q367">
        <v>128</v>
      </c>
      <c r="R367" t="s">
        <v>34</v>
      </c>
      <c r="S367">
        <v>7.99</v>
      </c>
    </row>
    <row r="368" spans="1:19" x14ac:dyDescent="0.3">
      <c r="A368">
        <f>'Raw Data'!D368-'Raw Data'!C368</f>
        <v>498</v>
      </c>
      <c r="B368" s="2" t="str">
        <f>_xlfn.IFS('Raw Data'!E368&gt;10,"Premium",'Raw Data'!E368&lt;10,"Basic")</f>
        <v>Premium</v>
      </c>
      <c r="C368">
        <v>11.99</v>
      </c>
      <c r="D368">
        <v>9354</v>
      </c>
      <c r="E368" t="s">
        <v>24</v>
      </c>
      <c r="F368" t="s">
        <v>30</v>
      </c>
      <c r="G368">
        <v>133</v>
      </c>
      <c r="H368" t="s">
        <v>28</v>
      </c>
      <c r="I368">
        <v>782</v>
      </c>
      <c r="J368">
        <v>9354</v>
      </c>
      <c r="K368" t="s">
        <v>59</v>
      </c>
      <c r="L368" t="s">
        <v>26</v>
      </c>
      <c r="M368">
        <v>469</v>
      </c>
      <c r="N368">
        <v>182</v>
      </c>
      <c r="O368" t="s">
        <v>30</v>
      </c>
      <c r="P368" t="s">
        <v>59</v>
      </c>
      <c r="Q368">
        <v>133</v>
      </c>
      <c r="R368" t="s">
        <v>56</v>
      </c>
      <c r="S368">
        <v>11.99</v>
      </c>
    </row>
    <row r="369" spans="1:19" x14ac:dyDescent="0.3">
      <c r="A369">
        <f>'Raw Data'!D369-'Raw Data'!C369</f>
        <v>79</v>
      </c>
      <c r="B369" s="2" t="str">
        <f>_xlfn.IFS('Raw Data'!E369&gt;10,"Premium",'Raw Data'!E369&lt;10,"Basic")</f>
        <v>Premium</v>
      </c>
      <c r="C369">
        <v>15.99</v>
      </c>
      <c r="D369">
        <v>8122</v>
      </c>
      <c r="E369" t="s">
        <v>43</v>
      </c>
      <c r="F369" t="s">
        <v>68</v>
      </c>
      <c r="G369">
        <v>413</v>
      </c>
      <c r="H369" t="s">
        <v>28</v>
      </c>
      <c r="I369">
        <v>4056</v>
      </c>
      <c r="J369">
        <v>8122</v>
      </c>
      <c r="K369" t="s">
        <v>44</v>
      </c>
      <c r="L369" t="s">
        <v>49</v>
      </c>
      <c r="M369">
        <v>708</v>
      </c>
      <c r="N369">
        <v>4</v>
      </c>
      <c r="O369" t="s">
        <v>68</v>
      </c>
      <c r="P369" t="s">
        <v>44</v>
      </c>
      <c r="Q369">
        <v>413</v>
      </c>
      <c r="R369" t="s">
        <v>67</v>
      </c>
      <c r="S369">
        <v>15.99</v>
      </c>
    </row>
    <row r="370" spans="1:19" x14ac:dyDescent="0.3">
      <c r="A370">
        <f>'Raw Data'!D370-'Raw Data'!C370</f>
        <v>69</v>
      </c>
      <c r="B370" s="2" t="str">
        <f>_xlfn.IFS('Raw Data'!E370&gt;10,"Premium",'Raw Data'!E370&lt;10,"Basic")</f>
        <v>Premium</v>
      </c>
      <c r="C370">
        <v>11.99</v>
      </c>
      <c r="D370">
        <v>1765</v>
      </c>
      <c r="E370" t="s">
        <v>46</v>
      </c>
      <c r="F370" t="s">
        <v>30</v>
      </c>
      <c r="G370">
        <v>28</v>
      </c>
      <c r="H370" t="s">
        <v>28</v>
      </c>
      <c r="I370">
        <v>1341</v>
      </c>
      <c r="J370">
        <v>1765</v>
      </c>
      <c r="K370" t="s">
        <v>44</v>
      </c>
      <c r="L370" t="s">
        <v>49</v>
      </c>
      <c r="M370">
        <v>990</v>
      </c>
      <c r="N370">
        <v>88</v>
      </c>
      <c r="O370" t="s">
        <v>30</v>
      </c>
      <c r="P370" t="s">
        <v>44</v>
      </c>
      <c r="Q370">
        <v>28</v>
      </c>
      <c r="R370" t="s">
        <v>67</v>
      </c>
      <c r="S370">
        <v>11.99</v>
      </c>
    </row>
    <row r="371" spans="1:19" x14ac:dyDescent="0.3">
      <c r="A371">
        <f>'Raw Data'!D371-'Raw Data'!C371</f>
        <v>333</v>
      </c>
      <c r="B371" s="2" t="str">
        <f>_xlfn.IFS('Raw Data'!E371&gt;10,"Premium",'Raw Data'!E371&lt;10,"Basic")</f>
        <v>Premium</v>
      </c>
      <c r="C371">
        <v>15.99</v>
      </c>
      <c r="D371">
        <v>5352</v>
      </c>
      <c r="E371" t="s">
        <v>33</v>
      </c>
      <c r="F371" t="s">
        <v>68</v>
      </c>
      <c r="G371">
        <v>453</v>
      </c>
      <c r="H371" t="s">
        <v>28</v>
      </c>
      <c r="I371">
        <v>3028</v>
      </c>
      <c r="J371">
        <v>5352</v>
      </c>
      <c r="K371" t="s">
        <v>25</v>
      </c>
      <c r="L371" t="s">
        <v>64</v>
      </c>
      <c r="M371">
        <v>236</v>
      </c>
      <c r="N371">
        <v>121</v>
      </c>
      <c r="O371" t="s">
        <v>68</v>
      </c>
      <c r="P371" t="s">
        <v>25</v>
      </c>
      <c r="Q371">
        <v>453</v>
      </c>
      <c r="R371" t="s">
        <v>41</v>
      </c>
      <c r="S371">
        <v>15.99</v>
      </c>
    </row>
    <row r="372" spans="1:19" x14ac:dyDescent="0.3">
      <c r="A372">
        <f>'Raw Data'!D372-'Raw Data'!C372</f>
        <v>427</v>
      </c>
      <c r="B372" s="2" t="str">
        <f>_xlfn.IFS('Raw Data'!E372&gt;10,"Premium",'Raw Data'!E372&lt;10,"Basic")</f>
        <v>Premium</v>
      </c>
      <c r="C372">
        <v>11.99</v>
      </c>
      <c r="D372">
        <v>7578</v>
      </c>
      <c r="E372" t="s">
        <v>33</v>
      </c>
      <c r="F372" t="s">
        <v>52</v>
      </c>
      <c r="G372">
        <v>186</v>
      </c>
      <c r="H372" t="s">
        <v>28</v>
      </c>
      <c r="I372">
        <v>4799</v>
      </c>
      <c r="J372">
        <v>7578</v>
      </c>
      <c r="K372" t="s">
        <v>25</v>
      </c>
      <c r="L372" t="s">
        <v>40</v>
      </c>
      <c r="M372">
        <v>784</v>
      </c>
      <c r="N372">
        <v>29</v>
      </c>
      <c r="O372" t="s">
        <v>52</v>
      </c>
      <c r="P372" t="s">
        <v>25</v>
      </c>
      <c r="Q372">
        <v>186</v>
      </c>
      <c r="R372" t="s">
        <v>34</v>
      </c>
      <c r="S372">
        <v>11.99</v>
      </c>
    </row>
    <row r="373" spans="1:19" x14ac:dyDescent="0.3">
      <c r="A373">
        <f>'Raw Data'!D373-'Raw Data'!C373</f>
        <v>77</v>
      </c>
      <c r="B373" s="2" t="str">
        <f>_xlfn.IFS('Raw Data'!E373&gt;10,"Premium",'Raw Data'!E373&lt;10,"Basic")</f>
        <v>Premium</v>
      </c>
      <c r="C373">
        <v>15.99</v>
      </c>
      <c r="D373">
        <v>8912</v>
      </c>
      <c r="E373" t="s">
        <v>79</v>
      </c>
      <c r="F373" t="s">
        <v>60</v>
      </c>
      <c r="G373">
        <v>287</v>
      </c>
      <c r="H373" t="s">
        <v>28</v>
      </c>
      <c r="I373">
        <v>4556</v>
      </c>
      <c r="J373">
        <v>8912</v>
      </c>
      <c r="K373" t="s">
        <v>48</v>
      </c>
      <c r="L373" t="s">
        <v>40</v>
      </c>
      <c r="M373">
        <v>714</v>
      </c>
      <c r="N373">
        <v>3</v>
      </c>
      <c r="O373" t="s">
        <v>60</v>
      </c>
      <c r="P373" t="s">
        <v>48</v>
      </c>
      <c r="Q373">
        <v>287</v>
      </c>
      <c r="R373" t="s">
        <v>41</v>
      </c>
      <c r="S373">
        <v>15.99</v>
      </c>
    </row>
    <row r="374" spans="1:19" x14ac:dyDescent="0.3">
      <c r="A374">
        <f>'Raw Data'!D374-'Raw Data'!C374</f>
        <v>141</v>
      </c>
      <c r="B374" s="2" t="str">
        <f>_xlfn.IFS('Raw Data'!E374&gt;10,"Premium",'Raw Data'!E374&lt;10,"Basic")</f>
        <v>Basic</v>
      </c>
      <c r="C374">
        <v>7.99</v>
      </c>
      <c r="D374">
        <v>6641</v>
      </c>
      <c r="E374" t="s">
        <v>55</v>
      </c>
      <c r="F374" t="s">
        <v>68</v>
      </c>
      <c r="G374">
        <v>45</v>
      </c>
      <c r="H374" t="s">
        <v>28</v>
      </c>
      <c r="I374">
        <v>2965</v>
      </c>
      <c r="J374">
        <v>6641</v>
      </c>
      <c r="K374" t="s">
        <v>44</v>
      </c>
      <c r="L374" t="s">
        <v>64</v>
      </c>
      <c r="M374">
        <v>420</v>
      </c>
      <c r="N374">
        <v>87</v>
      </c>
      <c r="O374" t="s">
        <v>68</v>
      </c>
      <c r="P374" t="s">
        <v>44</v>
      </c>
      <c r="Q374">
        <v>45</v>
      </c>
      <c r="R374" t="s">
        <v>41</v>
      </c>
      <c r="S374">
        <v>7.99</v>
      </c>
    </row>
    <row r="375" spans="1:19" x14ac:dyDescent="0.3">
      <c r="A375">
        <f>'Raw Data'!D375-'Raw Data'!C375</f>
        <v>500</v>
      </c>
      <c r="B375" s="2" t="str">
        <f>_xlfn.IFS('Raw Data'!E375&gt;10,"Premium",'Raw Data'!E375&lt;10,"Basic")</f>
        <v>Premium</v>
      </c>
      <c r="C375">
        <v>11.99</v>
      </c>
      <c r="D375">
        <v>9664</v>
      </c>
      <c r="E375" t="s">
        <v>62</v>
      </c>
      <c r="F375" t="s">
        <v>52</v>
      </c>
      <c r="G375">
        <v>463</v>
      </c>
      <c r="H375" t="s">
        <v>28</v>
      </c>
      <c r="I375">
        <v>3556</v>
      </c>
      <c r="J375">
        <v>9664</v>
      </c>
      <c r="K375" t="s">
        <v>44</v>
      </c>
      <c r="L375" t="s">
        <v>64</v>
      </c>
      <c r="M375">
        <v>961</v>
      </c>
      <c r="N375">
        <v>9</v>
      </c>
      <c r="O375" t="s">
        <v>52</v>
      </c>
      <c r="P375" t="s">
        <v>44</v>
      </c>
      <c r="Q375">
        <v>463</v>
      </c>
      <c r="R375" t="s">
        <v>50</v>
      </c>
      <c r="S375">
        <v>11.99</v>
      </c>
    </row>
    <row r="376" spans="1:19" x14ac:dyDescent="0.3">
      <c r="A376">
        <f>'Raw Data'!D376-'Raw Data'!C376</f>
        <v>663</v>
      </c>
      <c r="B376" s="2" t="str">
        <f>_xlfn.IFS('Raw Data'!E376&gt;10,"Premium",'Raw Data'!E376&lt;10,"Basic")</f>
        <v>Premium</v>
      </c>
      <c r="C376">
        <v>15.99</v>
      </c>
      <c r="D376">
        <v>9134</v>
      </c>
      <c r="E376" t="s">
        <v>43</v>
      </c>
      <c r="F376" t="s">
        <v>68</v>
      </c>
      <c r="G376">
        <v>241</v>
      </c>
      <c r="H376" t="s">
        <v>28</v>
      </c>
      <c r="I376">
        <v>2901</v>
      </c>
      <c r="J376">
        <v>9134</v>
      </c>
      <c r="K376" t="s">
        <v>74</v>
      </c>
      <c r="L376" t="s">
        <v>40</v>
      </c>
      <c r="M376">
        <v>775</v>
      </c>
      <c r="N376">
        <v>194</v>
      </c>
      <c r="O376" t="s">
        <v>68</v>
      </c>
      <c r="P376" t="s">
        <v>74</v>
      </c>
      <c r="Q376">
        <v>241</v>
      </c>
      <c r="R376" t="s">
        <v>27</v>
      </c>
      <c r="S376">
        <v>15.99</v>
      </c>
    </row>
    <row r="377" spans="1:19" x14ac:dyDescent="0.3">
      <c r="A377">
        <f>'Raw Data'!D377-'Raw Data'!C377</f>
        <v>202</v>
      </c>
      <c r="B377" s="2" t="str">
        <f>_xlfn.IFS('Raw Data'!E377&gt;10,"Premium",'Raw Data'!E377&lt;10,"Basic")</f>
        <v>Basic</v>
      </c>
      <c r="C377">
        <v>7.99</v>
      </c>
      <c r="D377">
        <v>6663</v>
      </c>
      <c r="E377" t="s">
        <v>46</v>
      </c>
      <c r="F377" t="s">
        <v>68</v>
      </c>
      <c r="G377">
        <v>11</v>
      </c>
      <c r="H377" t="s">
        <v>28</v>
      </c>
      <c r="I377">
        <v>3520</v>
      </c>
      <c r="J377">
        <v>6663</v>
      </c>
      <c r="K377" t="s">
        <v>63</v>
      </c>
      <c r="L377" t="s">
        <v>40</v>
      </c>
      <c r="M377">
        <v>773</v>
      </c>
      <c r="N377">
        <v>139</v>
      </c>
      <c r="O377" t="s">
        <v>68</v>
      </c>
      <c r="P377" t="s">
        <v>63</v>
      </c>
      <c r="Q377">
        <v>11</v>
      </c>
      <c r="R377" t="s">
        <v>34</v>
      </c>
      <c r="S377">
        <v>7.99</v>
      </c>
    </row>
    <row r="378" spans="1:19" x14ac:dyDescent="0.3">
      <c r="A378">
        <f>'Raw Data'!D378-'Raw Data'!C378</f>
        <v>705</v>
      </c>
      <c r="B378" s="2" t="str">
        <f>_xlfn.IFS('Raw Data'!E378&gt;10,"Premium",'Raw Data'!E378&lt;10,"Basic")</f>
        <v>Premium</v>
      </c>
      <c r="C378">
        <v>15.99</v>
      </c>
      <c r="D378">
        <v>9800</v>
      </c>
      <c r="E378" t="s">
        <v>55</v>
      </c>
      <c r="F378" t="s">
        <v>30</v>
      </c>
      <c r="G378">
        <v>123</v>
      </c>
      <c r="H378" t="s">
        <v>28</v>
      </c>
      <c r="I378">
        <v>3983</v>
      </c>
      <c r="J378">
        <v>9800</v>
      </c>
      <c r="K378" t="s">
        <v>44</v>
      </c>
      <c r="L378" t="s">
        <v>26</v>
      </c>
      <c r="M378">
        <v>841</v>
      </c>
      <c r="N378">
        <v>45</v>
      </c>
      <c r="O378" t="s">
        <v>30</v>
      </c>
      <c r="P378" t="s">
        <v>44</v>
      </c>
      <c r="Q378">
        <v>123</v>
      </c>
      <c r="R378" t="s">
        <v>27</v>
      </c>
      <c r="S378">
        <v>15.99</v>
      </c>
    </row>
    <row r="379" spans="1:19" x14ac:dyDescent="0.3">
      <c r="A379">
        <f>'Raw Data'!D379-'Raw Data'!C379</f>
        <v>560</v>
      </c>
      <c r="B379" s="2" t="str">
        <f>_xlfn.IFS('Raw Data'!E379&gt;10,"Premium",'Raw Data'!E379&lt;10,"Basic")</f>
        <v>Basic</v>
      </c>
      <c r="C379">
        <v>7.99</v>
      </c>
      <c r="D379">
        <v>2363</v>
      </c>
      <c r="E379" t="s">
        <v>46</v>
      </c>
      <c r="F379" t="s">
        <v>36</v>
      </c>
      <c r="G379">
        <v>411</v>
      </c>
      <c r="H379" t="s">
        <v>28</v>
      </c>
      <c r="I379">
        <v>4632</v>
      </c>
      <c r="J379">
        <v>2363</v>
      </c>
      <c r="K379" t="s">
        <v>59</v>
      </c>
      <c r="L379" t="s">
        <v>26</v>
      </c>
      <c r="M379">
        <v>412</v>
      </c>
      <c r="N379">
        <v>20</v>
      </c>
      <c r="O379" t="s">
        <v>36</v>
      </c>
      <c r="P379" t="s">
        <v>59</v>
      </c>
      <c r="Q379">
        <v>411</v>
      </c>
      <c r="R379" t="s">
        <v>50</v>
      </c>
      <c r="S379">
        <v>7.99</v>
      </c>
    </row>
    <row r="380" spans="1:19" x14ac:dyDescent="0.3">
      <c r="A380">
        <f>'Raw Data'!D380-'Raw Data'!C380</f>
        <v>216</v>
      </c>
      <c r="B380" s="2" t="str">
        <f>_xlfn.IFS('Raw Data'!E380&gt;10,"Premium",'Raw Data'!E380&lt;10,"Basic")</f>
        <v>Basic</v>
      </c>
      <c r="C380">
        <v>7.99</v>
      </c>
      <c r="D380">
        <v>4875</v>
      </c>
      <c r="E380" t="s">
        <v>62</v>
      </c>
      <c r="F380" t="s">
        <v>36</v>
      </c>
      <c r="G380">
        <v>469</v>
      </c>
      <c r="H380" t="s">
        <v>28</v>
      </c>
      <c r="I380">
        <v>314</v>
      </c>
      <c r="J380">
        <v>4875</v>
      </c>
      <c r="K380" t="s">
        <v>63</v>
      </c>
      <c r="L380" t="s">
        <v>40</v>
      </c>
      <c r="M380">
        <v>160</v>
      </c>
      <c r="N380">
        <v>79</v>
      </c>
      <c r="O380" t="s">
        <v>36</v>
      </c>
      <c r="P380" t="s">
        <v>63</v>
      </c>
      <c r="Q380">
        <v>469</v>
      </c>
      <c r="R380" t="s">
        <v>67</v>
      </c>
      <c r="S380">
        <v>7.99</v>
      </c>
    </row>
    <row r="381" spans="1:19" x14ac:dyDescent="0.3">
      <c r="A381">
        <f>'Raw Data'!D381-'Raw Data'!C381</f>
        <v>517</v>
      </c>
      <c r="B381" s="2" t="str">
        <f>_xlfn.IFS('Raw Data'!E381&gt;10,"Premium",'Raw Data'!E381&lt;10,"Basic")</f>
        <v>Premium</v>
      </c>
      <c r="C381">
        <v>11.99</v>
      </c>
      <c r="D381">
        <v>8961</v>
      </c>
      <c r="E381" t="s">
        <v>55</v>
      </c>
      <c r="F381" t="s">
        <v>36</v>
      </c>
      <c r="G381">
        <v>120</v>
      </c>
      <c r="H381" t="s">
        <v>28</v>
      </c>
      <c r="I381">
        <v>4012</v>
      </c>
      <c r="J381">
        <v>8961</v>
      </c>
      <c r="K381" t="s">
        <v>25</v>
      </c>
      <c r="L381" t="s">
        <v>64</v>
      </c>
      <c r="M381">
        <v>346</v>
      </c>
      <c r="N381">
        <v>125</v>
      </c>
      <c r="O381" t="s">
        <v>36</v>
      </c>
      <c r="P381" t="s">
        <v>25</v>
      </c>
      <c r="Q381">
        <v>120</v>
      </c>
      <c r="R381" t="s">
        <v>34</v>
      </c>
      <c r="S381">
        <v>11.99</v>
      </c>
    </row>
    <row r="382" spans="1:19" x14ac:dyDescent="0.3">
      <c r="A382">
        <f>'Raw Data'!D382-'Raw Data'!C382</f>
        <v>92</v>
      </c>
      <c r="B382" s="2" t="str">
        <f>_xlfn.IFS('Raw Data'!E382&gt;10,"Premium",'Raw Data'!E382&lt;10,"Basic")</f>
        <v>Premium</v>
      </c>
      <c r="C382">
        <v>15.99</v>
      </c>
      <c r="D382">
        <v>1539</v>
      </c>
      <c r="E382" t="s">
        <v>33</v>
      </c>
      <c r="F382" t="s">
        <v>60</v>
      </c>
      <c r="G382">
        <v>348</v>
      </c>
      <c r="H382" t="s">
        <v>28</v>
      </c>
      <c r="I382">
        <v>2356</v>
      </c>
      <c r="J382">
        <v>1539</v>
      </c>
      <c r="K382" t="s">
        <v>59</v>
      </c>
      <c r="L382" t="s">
        <v>40</v>
      </c>
      <c r="M382">
        <v>266</v>
      </c>
      <c r="N382">
        <v>94</v>
      </c>
      <c r="O382" t="s">
        <v>60</v>
      </c>
      <c r="P382" t="s">
        <v>59</v>
      </c>
      <c r="Q382">
        <v>348</v>
      </c>
      <c r="R382" t="s">
        <v>56</v>
      </c>
      <c r="S382">
        <v>15.99</v>
      </c>
    </row>
    <row r="383" spans="1:19" x14ac:dyDescent="0.3">
      <c r="A383">
        <f>'Raw Data'!D383-'Raw Data'!C383</f>
        <v>380</v>
      </c>
      <c r="B383" s="2" t="str">
        <f>_xlfn.IFS('Raw Data'!E383&gt;10,"Premium",'Raw Data'!E383&lt;10,"Basic")</f>
        <v>Premium</v>
      </c>
      <c r="C383">
        <v>11.99</v>
      </c>
      <c r="D383">
        <v>4037</v>
      </c>
      <c r="E383" t="s">
        <v>79</v>
      </c>
      <c r="F383" t="s">
        <v>52</v>
      </c>
      <c r="G383">
        <v>103</v>
      </c>
      <c r="H383" t="s">
        <v>28</v>
      </c>
      <c r="I383">
        <v>1824</v>
      </c>
      <c r="J383">
        <v>4037</v>
      </c>
      <c r="K383" t="s">
        <v>39</v>
      </c>
      <c r="L383" t="s">
        <v>26</v>
      </c>
      <c r="M383">
        <v>305</v>
      </c>
      <c r="N383">
        <v>191</v>
      </c>
      <c r="O383" t="s">
        <v>52</v>
      </c>
      <c r="P383" t="s">
        <v>39</v>
      </c>
      <c r="Q383">
        <v>103</v>
      </c>
      <c r="R383" t="s">
        <v>67</v>
      </c>
      <c r="S383">
        <v>11.99</v>
      </c>
    </row>
    <row r="384" spans="1:19" x14ac:dyDescent="0.3">
      <c r="A384">
        <f>'Raw Data'!D384-'Raw Data'!C384</f>
        <v>5</v>
      </c>
      <c r="B384" s="2" t="str">
        <f>_xlfn.IFS('Raw Data'!E384&gt;10,"Premium",'Raw Data'!E384&lt;10,"Basic")</f>
        <v>Basic</v>
      </c>
      <c r="C384">
        <v>7.99</v>
      </c>
      <c r="D384">
        <v>4239</v>
      </c>
      <c r="E384" t="s">
        <v>62</v>
      </c>
      <c r="F384" t="s">
        <v>52</v>
      </c>
      <c r="G384">
        <v>470</v>
      </c>
      <c r="H384" t="s">
        <v>28</v>
      </c>
      <c r="I384">
        <v>4236</v>
      </c>
      <c r="J384">
        <v>4239</v>
      </c>
      <c r="K384" t="s">
        <v>48</v>
      </c>
      <c r="L384" t="s">
        <v>40</v>
      </c>
      <c r="M384">
        <v>89</v>
      </c>
      <c r="N384">
        <v>135</v>
      </c>
      <c r="O384" t="s">
        <v>52</v>
      </c>
      <c r="P384" t="s">
        <v>48</v>
      </c>
      <c r="Q384">
        <v>470</v>
      </c>
      <c r="R384" t="s">
        <v>41</v>
      </c>
      <c r="S384">
        <v>7.99</v>
      </c>
    </row>
    <row r="385" spans="1:19" x14ac:dyDescent="0.3">
      <c r="A385">
        <f>'Raw Data'!D385-'Raw Data'!C385</f>
        <v>35</v>
      </c>
      <c r="B385" s="2" t="str">
        <f>_xlfn.IFS('Raw Data'!E385&gt;10,"Premium",'Raw Data'!E385&lt;10,"Basic")</f>
        <v>Basic</v>
      </c>
      <c r="C385">
        <v>7.99</v>
      </c>
      <c r="D385">
        <v>4364</v>
      </c>
      <c r="E385" t="s">
        <v>79</v>
      </c>
      <c r="F385" t="s">
        <v>30</v>
      </c>
      <c r="G385">
        <v>241</v>
      </c>
      <c r="H385" t="s">
        <v>28</v>
      </c>
      <c r="I385">
        <v>2102</v>
      </c>
      <c r="J385">
        <v>4364</v>
      </c>
      <c r="K385" t="s">
        <v>48</v>
      </c>
      <c r="L385" t="s">
        <v>26</v>
      </c>
      <c r="M385">
        <v>905</v>
      </c>
      <c r="N385">
        <v>127</v>
      </c>
      <c r="O385" t="s">
        <v>30</v>
      </c>
      <c r="P385" t="s">
        <v>48</v>
      </c>
      <c r="Q385">
        <v>241</v>
      </c>
      <c r="R385" t="s">
        <v>50</v>
      </c>
      <c r="S385">
        <v>7.99</v>
      </c>
    </row>
    <row r="386" spans="1:19" x14ac:dyDescent="0.3">
      <c r="A386">
        <f>'Raw Data'!D386-'Raw Data'!C386</f>
        <v>210</v>
      </c>
      <c r="B386" s="2" t="str">
        <f>_xlfn.IFS('Raw Data'!E386&gt;10,"Premium",'Raw Data'!E386&lt;10,"Basic")</f>
        <v>Premium</v>
      </c>
      <c r="C386">
        <v>15.99</v>
      </c>
      <c r="D386">
        <v>8946</v>
      </c>
      <c r="E386" t="s">
        <v>79</v>
      </c>
      <c r="F386" t="s">
        <v>36</v>
      </c>
      <c r="G386">
        <v>277</v>
      </c>
      <c r="H386" t="s">
        <v>28</v>
      </c>
      <c r="I386">
        <v>1876</v>
      </c>
      <c r="J386">
        <v>8946</v>
      </c>
      <c r="K386" t="s">
        <v>25</v>
      </c>
      <c r="L386" t="s">
        <v>26</v>
      </c>
      <c r="M386">
        <v>959</v>
      </c>
      <c r="N386">
        <v>174</v>
      </c>
      <c r="O386" t="s">
        <v>36</v>
      </c>
      <c r="P386" t="s">
        <v>25</v>
      </c>
      <c r="Q386">
        <v>277</v>
      </c>
      <c r="R386" t="s">
        <v>67</v>
      </c>
      <c r="S386">
        <v>15.99</v>
      </c>
    </row>
    <row r="387" spans="1:19" x14ac:dyDescent="0.3">
      <c r="A387">
        <f>'Raw Data'!D387-'Raw Data'!C387</f>
        <v>343</v>
      </c>
      <c r="B387" s="2" t="str">
        <f>_xlfn.IFS('Raw Data'!E387&gt;10,"Premium",'Raw Data'!E387&lt;10,"Basic")</f>
        <v>Basic</v>
      </c>
      <c r="C387">
        <v>7.99</v>
      </c>
      <c r="D387">
        <v>5911</v>
      </c>
      <c r="E387" t="s">
        <v>79</v>
      </c>
      <c r="F387" t="s">
        <v>68</v>
      </c>
      <c r="G387">
        <v>158</v>
      </c>
      <c r="H387" t="s">
        <v>28</v>
      </c>
      <c r="I387">
        <v>242</v>
      </c>
      <c r="J387">
        <v>5911</v>
      </c>
      <c r="K387" t="s">
        <v>74</v>
      </c>
      <c r="L387" t="s">
        <v>64</v>
      </c>
      <c r="M387">
        <v>426</v>
      </c>
      <c r="N387">
        <v>7</v>
      </c>
      <c r="O387" t="s">
        <v>68</v>
      </c>
      <c r="P387" t="s">
        <v>74</v>
      </c>
      <c r="Q387">
        <v>158</v>
      </c>
      <c r="R387" t="s">
        <v>67</v>
      </c>
      <c r="S387">
        <v>7.99</v>
      </c>
    </row>
    <row r="388" spans="1:19" x14ac:dyDescent="0.3">
      <c r="A388">
        <f>'Raw Data'!D388-'Raw Data'!C388</f>
        <v>315</v>
      </c>
      <c r="B388" s="2" t="str">
        <f>_xlfn.IFS('Raw Data'!E388&gt;10,"Premium",'Raw Data'!E388&lt;10,"Basic")</f>
        <v>Premium</v>
      </c>
      <c r="C388">
        <v>15.99</v>
      </c>
      <c r="D388">
        <v>8033</v>
      </c>
      <c r="E388" t="s">
        <v>79</v>
      </c>
      <c r="F388" t="s">
        <v>36</v>
      </c>
      <c r="G388">
        <v>23</v>
      </c>
      <c r="H388" t="s">
        <v>28</v>
      </c>
      <c r="I388">
        <v>4531</v>
      </c>
      <c r="J388">
        <v>8033</v>
      </c>
      <c r="K388" t="s">
        <v>59</v>
      </c>
      <c r="L388" t="s">
        <v>40</v>
      </c>
      <c r="M388">
        <v>585</v>
      </c>
      <c r="N388">
        <v>97</v>
      </c>
      <c r="O388" t="s">
        <v>36</v>
      </c>
      <c r="P388" t="s">
        <v>59</v>
      </c>
      <c r="Q388">
        <v>23</v>
      </c>
      <c r="R388" t="s">
        <v>27</v>
      </c>
      <c r="S388">
        <v>15.99</v>
      </c>
    </row>
    <row r="389" spans="1:19" x14ac:dyDescent="0.3">
      <c r="A389">
        <f>'Raw Data'!D389-'Raw Data'!C389</f>
        <v>312</v>
      </c>
      <c r="B389" s="2" t="str">
        <f>_xlfn.IFS('Raw Data'!E389&gt;10,"Premium",'Raw Data'!E389&lt;10,"Basic")</f>
        <v>Premium</v>
      </c>
      <c r="C389">
        <v>11.99</v>
      </c>
      <c r="D389">
        <v>6603</v>
      </c>
      <c r="E389" t="s">
        <v>79</v>
      </c>
      <c r="F389" t="s">
        <v>36</v>
      </c>
      <c r="G389">
        <v>200</v>
      </c>
      <c r="H389" t="s">
        <v>28</v>
      </c>
      <c r="I389">
        <v>959</v>
      </c>
      <c r="J389">
        <v>6603</v>
      </c>
      <c r="K389" t="s">
        <v>59</v>
      </c>
      <c r="L389" t="s">
        <v>64</v>
      </c>
      <c r="M389">
        <v>65</v>
      </c>
      <c r="N389">
        <v>11</v>
      </c>
      <c r="O389" t="s">
        <v>36</v>
      </c>
      <c r="P389" t="s">
        <v>59</v>
      </c>
      <c r="Q389">
        <v>200</v>
      </c>
      <c r="R389" t="s">
        <v>67</v>
      </c>
      <c r="S389">
        <v>11.99</v>
      </c>
    </row>
    <row r="390" spans="1:19" x14ac:dyDescent="0.3">
      <c r="A390">
        <f>'Raw Data'!D390-'Raw Data'!C390</f>
        <v>544</v>
      </c>
      <c r="B390" s="2" t="str">
        <f>_xlfn.IFS('Raw Data'!E390&gt;10,"Premium",'Raw Data'!E390&lt;10,"Basic")</f>
        <v>Basic</v>
      </c>
      <c r="C390">
        <v>7.99</v>
      </c>
      <c r="D390">
        <v>9630</v>
      </c>
      <c r="E390" t="s">
        <v>33</v>
      </c>
      <c r="F390" t="s">
        <v>60</v>
      </c>
      <c r="G390">
        <v>264</v>
      </c>
      <c r="H390" t="s">
        <v>28</v>
      </c>
      <c r="I390">
        <v>2156</v>
      </c>
      <c r="J390">
        <v>9630</v>
      </c>
      <c r="K390" t="s">
        <v>63</v>
      </c>
      <c r="L390" t="s">
        <v>64</v>
      </c>
      <c r="M390">
        <v>367</v>
      </c>
      <c r="N390">
        <v>163</v>
      </c>
      <c r="O390" t="s">
        <v>60</v>
      </c>
      <c r="P390" t="s">
        <v>63</v>
      </c>
      <c r="Q390">
        <v>264</v>
      </c>
      <c r="R390" t="s">
        <v>67</v>
      </c>
      <c r="S390">
        <v>7.99</v>
      </c>
    </row>
    <row r="391" spans="1:19" x14ac:dyDescent="0.3">
      <c r="A391">
        <f>'Raw Data'!D391-'Raw Data'!C391</f>
        <v>460</v>
      </c>
      <c r="B391" s="2" t="str">
        <f>_xlfn.IFS('Raw Data'!E391&gt;10,"Premium",'Raw Data'!E391&lt;10,"Basic")</f>
        <v>Premium</v>
      </c>
      <c r="C391">
        <v>11.99</v>
      </c>
      <c r="D391">
        <v>1691</v>
      </c>
      <c r="E391" t="s">
        <v>43</v>
      </c>
      <c r="F391" t="s">
        <v>68</v>
      </c>
      <c r="G391">
        <v>309</v>
      </c>
      <c r="H391" t="s">
        <v>28</v>
      </c>
      <c r="I391">
        <v>1442</v>
      </c>
      <c r="J391">
        <v>1691</v>
      </c>
      <c r="K391" t="s">
        <v>39</v>
      </c>
      <c r="L391" t="s">
        <v>64</v>
      </c>
      <c r="M391">
        <v>891</v>
      </c>
      <c r="N391">
        <v>93</v>
      </c>
      <c r="O391" t="s">
        <v>68</v>
      </c>
      <c r="P391" t="s">
        <v>39</v>
      </c>
      <c r="Q391">
        <v>309</v>
      </c>
      <c r="R391" t="s">
        <v>50</v>
      </c>
      <c r="S391">
        <v>11.99</v>
      </c>
    </row>
    <row r="392" spans="1:19" x14ac:dyDescent="0.3">
      <c r="A392">
        <f>'Raw Data'!D392-'Raw Data'!C392</f>
        <v>141</v>
      </c>
      <c r="B392" s="2" t="str">
        <f>_xlfn.IFS('Raw Data'!E392&gt;10,"Premium",'Raw Data'!E392&lt;10,"Basic")</f>
        <v>Basic</v>
      </c>
      <c r="C392">
        <v>7.99</v>
      </c>
      <c r="D392">
        <v>5590</v>
      </c>
      <c r="E392" t="s">
        <v>46</v>
      </c>
      <c r="F392" t="s">
        <v>52</v>
      </c>
      <c r="G392">
        <v>30</v>
      </c>
      <c r="H392" t="s">
        <v>28</v>
      </c>
      <c r="I392">
        <v>4586</v>
      </c>
      <c r="J392">
        <v>5590</v>
      </c>
      <c r="K392" t="s">
        <v>44</v>
      </c>
      <c r="L392" t="s">
        <v>26</v>
      </c>
      <c r="M392">
        <v>468</v>
      </c>
      <c r="N392">
        <v>196</v>
      </c>
      <c r="O392" t="s">
        <v>52</v>
      </c>
      <c r="P392" t="s">
        <v>44</v>
      </c>
      <c r="Q392">
        <v>30</v>
      </c>
      <c r="R392" t="s">
        <v>27</v>
      </c>
      <c r="S392">
        <v>7.99</v>
      </c>
    </row>
    <row r="393" spans="1:19" x14ac:dyDescent="0.3">
      <c r="A393">
        <f>'Raw Data'!D393-'Raw Data'!C393</f>
        <v>226</v>
      </c>
      <c r="B393" s="2" t="str">
        <f>_xlfn.IFS('Raw Data'!E393&gt;10,"Premium",'Raw Data'!E393&lt;10,"Basic")</f>
        <v>Premium</v>
      </c>
      <c r="C393">
        <v>11.99</v>
      </c>
      <c r="D393">
        <v>8645</v>
      </c>
      <c r="E393" t="s">
        <v>43</v>
      </c>
      <c r="F393" t="s">
        <v>68</v>
      </c>
      <c r="G393">
        <v>289</v>
      </c>
      <c r="H393" t="s">
        <v>28</v>
      </c>
      <c r="I393">
        <v>4170</v>
      </c>
      <c r="J393">
        <v>8645</v>
      </c>
      <c r="K393" t="s">
        <v>25</v>
      </c>
      <c r="L393" t="s">
        <v>26</v>
      </c>
      <c r="M393">
        <v>999</v>
      </c>
      <c r="N393">
        <v>22</v>
      </c>
      <c r="O393" t="s">
        <v>68</v>
      </c>
      <c r="P393" t="s">
        <v>25</v>
      </c>
      <c r="Q393">
        <v>289</v>
      </c>
      <c r="R393" t="s">
        <v>41</v>
      </c>
      <c r="S393">
        <v>11.99</v>
      </c>
    </row>
    <row r="394" spans="1:19" x14ac:dyDescent="0.3">
      <c r="A394">
        <f>'Raw Data'!D394-'Raw Data'!C394</f>
        <v>207</v>
      </c>
      <c r="B394" s="2" t="str">
        <f>_xlfn.IFS('Raw Data'!E394&gt;10,"Premium",'Raw Data'!E394&lt;10,"Basic")</f>
        <v>Basic</v>
      </c>
      <c r="C394">
        <v>7.99</v>
      </c>
      <c r="D394">
        <v>7663</v>
      </c>
      <c r="E394" t="s">
        <v>46</v>
      </c>
      <c r="F394" t="s">
        <v>60</v>
      </c>
      <c r="G394">
        <v>432</v>
      </c>
      <c r="H394" t="s">
        <v>28</v>
      </c>
      <c r="I394">
        <v>1294</v>
      </c>
      <c r="J394">
        <v>7663</v>
      </c>
      <c r="K394" t="s">
        <v>74</v>
      </c>
      <c r="L394" t="s">
        <v>49</v>
      </c>
      <c r="M394">
        <v>263</v>
      </c>
      <c r="N394">
        <v>55</v>
      </c>
      <c r="O394" t="s">
        <v>60</v>
      </c>
      <c r="P394" t="s">
        <v>74</v>
      </c>
      <c r="Q394">
        <v>432</v>
      </c>
      <c r="R394" t="s">
        <v>56</v>
      </c>
      <c r="S394">
        <v>7.99</v>
      </c>
    </row>
    <row r="395" spans="1:19" x14ac:dyDescent="0.3">
      <c r="A395">
        <f>'Raw Data'!D395-'Raw Data'!C395</f>
        <v>147</v>
      </c>
      <c r="B395" s="2" t="str">
        <f>_xlfn.IFS('Raw Data'!E395&gt;10,"Premium",'Raw Data'!E395&lt;10,"Basic")</f>
        <v>Basic</v>
      </c>
      <c r="C395">
        <v>7.99</v>
      </c>
      <c r="D395">
        <v>2647</v>
      </c>
      <c r="E395" t="s">
        <v>55</v>
      </c>
      <c r="F395" t="s">
        <v>30</v>
      </c>
      <c r="G395">
        <v>393</v>
      </c>
      <c r="H395" t="s">
        <v>28</v>
      </c>
      <c r="I395">
        <v>2460</v>
      </c>
      <c r="J395">
        <v>2647</v>
      </c>
      <c r="K395" t="s">
        <v>39</v>
      </c>
      <c r="L395" t="s">
        <v>26</v>
      </c>
      <c r="M395">
        <v>487</v>
      </c>
      <c r="N395">
        <v>105</v>
      </c>
      <c r="O395" t="s">
        <v>30</v>
      </c>
      <c r="P395" t="s">
        <v>39</v>
      </c>
      <c r="Q395">
        <v>393</v>
      </c>
      <c r="R395" t="s">
        <v>67</v>
      </c>
      <c r="S395">
        <v>7.99</v>
      </c>
    </row>
    <row r="396" spans="1:19" x14ac:dyDescent="0.3">
      <c r="A396">
        <f>'Raw Data'!D396-'Raw Data'!C396</f>
        <v>226</v>
      </c>
      <c r="B396" s="2" t="str">
        <f>_xlfn.IFS('Raw Data'!E396&gt;10,"Premium",'Raw Data'!E396&lt;10,"Basic")</f>
        <v>Premium</v>
      </c>
      <c r="C396">
        <v>11.99</v>
      </c>
      <c r="D396">
        <v>6539</v>
      </c>
      <c r="E396" t="s">
        <v>55</v>
      </c>
      <c r="F396" t="s">
        <v>68</v>
      </c>
      <c r="G396">
        <v>203</v>
      </c>
      <c r="H396" t="s">
        <v>28</v>
      </c>
      <c r="I396">
        <v>3276</v>
      </c>
      <c r="J396">
        <v>6539</v>
      </c>
      <c r="K396" t="s">
        <v>59</v>
      </c>
      <c r="L396" t="s">
        <v>40</v>
      </c>
      <c r="M396">
        <v>961</v>
      </c>
      <c r="N396">
        <v>41</v>
      </c>
      <c r="O396" t="s">
        <v>68</v>
      </c>
      <c r="P396" t="s">
        <v>59</v>
      </c>
      <c r="Q396">
        <v>203</v>
      </c>
      <c r="R396" t="s">
        <v>34</v>
      </c>
      <c r="S396">
        <v>11.99</v>
      </c>
    </row>
    <row r="397" spans="1:19" x14ac:dyDescent="0.3">
      <c r="A397">
        <f>'Raw Data'!D397-'Raw Data'!C397</f>
        <v>431</v>
      </c>
      <c r="B397" s="2" t="str">
        <f>_xlfn.IFS('Raw Data'!E397&gt;10,"Premium",'Raw Data'!E397&lt;10,"Basic")</f>
        <v>Basic</v>
      </c>
      <c r="C397">
        <v>7.99</v>
      </c>
      <c r="D397">
        <v>3472</v>
      </c>
      <c r="E397" t="s">
        <v>62</v>
      </c>
      <c r="F397" t="s">
        <v>68</v>
      </c>
      <c r="G397">
        <v>43</v>
      </c>
      <c r="H397" t="s">
        <v>28</v>
      </c>
      <c r="I397">
        <v>941</v>
      </c>
      <c r="J397">
        <v>3472</v>
      </c>
      <c r="K397" t="s">
        <v>44</v>
      </c>
      <c r="L397" t="s">
        <v>49</v>
      </c>
      <c r="M397">
        <v>973</v>
      </c>
      <c r="N397">
        <v>7</v>
      </c>
      <c r="O397" t="s">
        <v>68</v>
      </c>
      <c r="P397" t="s">
        <v>44</v>
      </c>
      <c r="Q397">
        <v>43</v>
      </c>
      <c r="R397" t="s">
        <v>27</v>
      </c>
      <c r="S397">
        <v>7.99</v>
      </c>
    </row>
    <row r="398" spans="1:19" x14ac:dyDescent="0.3">
      <c r="A398">
        <f>'Raw Data'!D398-'Raw Data'!C398</f>
        <v>524</v>
      </c>
      <c r="B398" s="2" t="str">
        <f>_xlfn.IFS('Raw Data'!E398&gt;10,"Premium",'Raw Data'!E398&lt;10,"Basic")</f>
        <v>Basic</v>
      </c>
      <c r="C398">
        <v>7.99</v>
      </c>
      <c r="D398">
        <v>4314</v>
      </c>
      <c r="E398" t="s">
        <v>79</v>
      </c>
      <c r="F398" t="s">
        <v>30</v>
      </c>
      <c r="G398">
        <v>311</v>
      </c>
      <c r="H398" t="s">
        <v>28</v>
      </c>
      <c r="I398">
        <v>4062</v>
      </c>
      <c r="J398">
        <v>4314</v>
      </c>
      <c r="K398" t="s">
        <v>25</v>
      </c>
      <c r="L398" t="s">
        <v>26</v>
      </c>
      <c r="M398">
        <v>724</v>
      </c>
      <c r="N398">
        <v>191</v>
      </c>
      <c r="O398" t="s">
        <v>30</v>
      </c>
      <c r="P398" t="s">
        <v>25</v>
      </c>
      <c r="Q398">
        <v>311</v>
      </c>
      <c r="R398" t="s">
        <v>27</v>
      </c>
      <c r="S398">
        <v>7.99</v>
      </c>
    </row>
    <row r="399" spans="1:19" x14ac:dyDescent="0.3">
      <c r="A399">
        <f>'Raw Data'!D399-'Raw Data'!C399</f>
        <v>124</v>
      </c>
      <c r="B399" s="2" t="str">
        <f>_xlfn.IFS('Raw Data'!E399&gt;10,"Premium",'Raw Data'!E399&lt;10,"Basic")</f>
        <v>Premium</v>
      </c>
      <c r="C399">
        <v>11.99</v>
      </c>
      <c r="D399">
        <v>6739</v>
      </c>
      <c r="E399" t="s">
        <v>46</v>
      </c>
      <c r="F399" t="s">
        <v>52</v>
      </c>
      <c r="G399">
        <v>23</v>
      </c>
      <c r="H399" t="s">
        <v>28</v>
      </c>
      <c r="I399">
        <v>4322</v>
      </c>
      <c r="J399">
        <v>6739</v>
      </c>
      <c r="K399" t="s">
        <v>25</v>
      </c>
      <c r="L399" t="s">
        <v>40</v>
      </c>
      <c r="M399">
        <v>725</v>
      </c>
      <c r="N399">
        <v>168</v>
      </c>
      <c r="O399" t="s">
        <v>52</v>
      </c>
      <c r="P399" t="s">
        <v>25</v>
      </c>
      <c r="Q399">
        <v>23</v>
      </c>
      <c r="R399" t="s">
        <v>27</v>
      </c>
      <c r="S399">
        <v>11.99</v>
      </c>
    </row>
    <row r="400" spans="1:19" x14ac:dyDescent="0.3">
      <c r="A400">
        <f>'Raw Data'!D400-'Raw Data'!C400</f>
        <v>474</v>
      </c>
      <c r="B400" s="2" t="str">
        <f>_xlfn.IFS('Raw Data'!E400&gt;10,"Premium",'Raw Data'!E400&lt;10,"Basic")</f>
        <v>Premium</v>
      </c>
      <c r="C400">
        <v>11.99</v>
      </c>
      <c r="D400">
        <v>6368</v>
      </c>
      <c r="E400" t="s">
        <v>62</v>
      </c>
      <c r="F400" t="s">
        <v>60</v>
      </c>
      <c r="G400">
        <v>370</v>
      </c>
      <c r="H400" t="s">
        <v>28</v>
      </c>
      <c r="I400">
        <v>1456</v>
      </c>
      <c r="J400">
        <v>6368</v>
      </c>
      <c r="K400" t="s">
        <v>39</v>
      </c>
      <c r="L400" t="s">
        <v>49</v>
      </c>
      <c r="M400">
        <v>973</v>
      </c>
      <c r="N400">
        <v>152</v>
      </c>
      <c r="O400" t="s">
        <v>60</v>
      </c>
      <c r="P400" t="s">
        <v>39</v>
      </c>
      <c r="Q400">
        <v>370</v>
      </c>
      <c r="R400" t="s">
        <v>27</v>
      </c>
      <c r="S400">
        <v>11.99</v>
      </c>
    </row>
    <row r="401" spans="1:19" x14ac:dyDescent="0.3">
      <c r="A401">
        <f>'Raw Data'!D401-'Raw Data'!C401</f>
        <v>142</v>
      </c>
      <c r="B401" s="2" t="str">
        <f>_xlfn.IFS('Raw Data'!E401&gt;10,"Premium",'Raw Data'!E401&lt;10,"Basic")</f>
        <v>Premium</v>
      </c>
      <c r="C401">
        <v>15.99</v>
      </c>
      <c r="D401">
        <v>7309</v>
      </c>
      <c r="E401" t="s">
        <v>46</v>
      </c>
      <c r="F401" t="s">
        <v>60</v>
      </c>
      <c r="G401">
        <v>343</v>
      </c>
      <c r="H401" t="s">
        <v>28</v>
      </c>
      <c r="I401">
        <v>1281</v>
      </c>
      <c r="J401">
        <v>7309</v>
      </c>
      <c r="K401" t="s">
        <v>39</v>
      </c>
      <c r="L401" t="s">
        <v>49</v>
      </c>
      <c r="M401">
        <v>830</v>
      </c>
      <c r="N401">
        <v>172</v>
      </c>
      <c r="O401" t="s">
        <v>60</v>
      </c>
      <c r="P401" t="s">
        <v>39</v>
      </c>
      <c r="Q401">
        <v>343</v>
      </c>
      <c r="R401" t="s">
        <v>34</v>
      </c>
      <c r="S401">
        <v>15.99</v>
      </c>
    </row>
    <row r="402" spans="1:19" x14ac:dyDescent="0.3">
      <c r="A402">
        <f>'Raw Data'!D402-'Raw Data'!C402</f>
        <v>392</v>
      </c>
      <c r="B402" s="2" t="str">
        <f>_xlfn.IFS('Raw Data'!E402&gt;10,"Premium",'Raw Data'!E402&lt;10,"Basic")</f>
        <v>Basic</v>
      </c>
      <c r="C402">
        <v>7.99</v>
      </c>
      <c r="D402">
        <v>3976</v>
      </c>
      <c r="E402" t="s">
        <v>43</v>
      </c>
      <c r="F402" t="s">
        <v>60</v>
      </c>
      <c r="G402">
        <v>391</v>
      </c>
      <c r="H402" t="s">
        <v>28</v>
      </c>
      <c r="I402">
        <v>1926</v>
      </c>
      <c r="J402">
        <v>3976</v>
      </c>
      <c r="K402" t="s">
        <v>39</v>
      </c>
      <c r="L402" t="s">
        <v>40</v>
      </c>
      <c r="M402">
        <v>726</v>
      </c>
      <c r="N402">
        <v>176</v>
      </c>
      <c r="O402" t="s">
        <v>60</v>
      </c>
      <c r="P402" t="s">
        <v>39</v>
      </c>
      <c r="Q402">
        <v>391</v>
      </c>
      <c r="R402" t="s">
        <v>67</v>
      </c>
      <c r="S402">
        <v>7.99</v>
      </c>
    </row>
    <row r="403" spans="1:19" x14ac:dyDescent="0.3">
      <c r="A403">
        <f>'Raw Data'!D403-'Raw Data'!C403</f>
        <v>176</v>
      </c>
      <c r="B403" s="2" t="str">
        <f>_xlfn.IFS('Raw Data'!E403&gt;10,"Premium",'Raw Data'!E403&lt;10,"Basic")</f>
        <v>Premium</v>
      </c>
      <c r="C403">
        <v>11.99</v>
      </c>
      <c r="D403">
        <v>7230</v>
      </c>
      <c r="E403" t="s">
        <v>33</v>
      </c>
      <c r="F403" t="s">
        <v>30</v>
      </c>
      <c r="G403">
        <v>405</v>
      </c>
      <c r="H403" t="s">
        <v>28</v>
      </c>
      <c r="I403">
        <v>1368</v>
      </c>
      <c r="J403">
        <v>7230</v>
      </c>
      <c r="K403" t="s">
        <v>39</v>
      </c>
      <c r="L403" t="s">
        <v>40</v>
      </c>
      <c r="M403">
        <v>90</v>
      </c>
      <c r="N403">
        <v>151</v>
      </c>
      <c r="O403" t="s">
        <v>30</v>
      </c>
      <c r="P403" t="s">
        <v>39</v>
      </c>
      <c r="Q403">
        <v>405</v>
      </c>
      <c r="R403" t="s">
        <v>34</v>
      </c>
      <c r="S403">
        <v>11.99</v>
      </c>
    </row>
    <row r="404" spans="1:19" x14ac:dyDescent="0.3">
      <c r="A404">
        <f>'Raw Data'!D404-'Raw Data'!C404</f>
        <v>235</v>
      </c>
      <c r="B404" s="2" t="str">
        <f>_xlfn.IFS('Raw Data'!E404&gt;10,"Premium",'Raw Data'!E404&lt;10,"Basic")</f>
        <v>Premium</v>
      </c>
      <c r="C404">
        <v>15.99</v>
      </c>
      <c r="D404">
        <v>8888</v>
      </c>
      <c r="E404" t="s">
        <v>55</v>
      </c>
      <c r="F404" t="s">
        <v>30</v>
      </c>
      <c r="G404">
        <v>14</v>
      </c>
      <c r="H404" t="s">
        <v>28</v>
      </c>
      <c r="I404">
        <v>571</v>
      </c>
      <c r="J404">
        <v>8888</v>
      </c>
      <c r="K404" t="s">
        <v>48</v>
      </c>
      <c r="L404" t="s">
        <v>40</v>
      </c>
      <c r="M404">
        <v>617</v>
      </c>
      <c r="N404">
        <v>128</v>
      </c>
      <c r="O404" t="s">
        <v>30</v>
      </c>
      <c r="P404" t="s">
        <v>48</v>
      </c>
      <c r="Q404">
        <v>14</v>
      </c>
      <c r="R404" t="s">
        <v>67</v>
      </c>
      <c r="S404">
        <v>15.99</v>
      </c>
    </row>
    <row r="405" spans="1:19" x14ac:dyDescent="0.3">
      <c r="A405">
        <f>'Raw Data'!D405-'Raw Data'!C405</f>
        <v>43</v>
      </c>
      <c r="B405" s="2" t="str">
        <f>_xlfn.IFS('Raw Data'!E405&gt;10,"Premium",'Raw Data'!E405&lt;10,"Basic")</f>
        <v>Basic</v>
      </c>
      <c r="C405">
        <v>7.99</v>
      </c>
      <c r="D405">
        <v>1194</v>
      </c>
      <c r="E405" t="s">
        <v>55</v>
      </c>
      <c r="F405" t="s">
        <v>68</v>
      </c>
      <c r="G405">
        <v>11</v>
      </c>
      <c r="H405" t="s">
        <v>28</v>
      </c>
      <c r="I405">
        <v>3807</v>
      </c>
      <c r="J405">
        <v>1194</v>
      </c>
      <c r="K405" t="s">
        <v>74</v>
      </c>
      <c r="L405" t="s">
        <v>26</v>
      </c>
      <c r="M405">
        <v>246</v>
      </c>
      <c r="N405">
        <v>96</v>
      </c>
      <c r="O405" t="s">
        <v>68</v>
      </c>
      <c r="P405" t="s">
        <v>74</v>
      </c>
      <c r="Q405">
        <v>11</v>
      </c>
      <c r="R405" t="s">
        <v>50</v>
      </c>
      <c r="S405">
        <v>7.99</v>
      </c>
    </row>
    <row r="406" spans="1:19" x14ac:dyDescent="0.3">
      <c r="A406">
        <f>'Raw Data'!D406-'Raw Data'!C406</f>
        <v>101</v>
      </c>
      <c r="B406" s="2" t="str">
        <f>_xlfn.IFS('Raw Data'!E406&gt;10,"Premium",'Raw Data'!E406&lt;10,"Basic")</f>
        <v>Premium</v>
      </c>
      <c r="C406">
        <v>11.99</v>
      </c>
      <c r="D406">
        <v>6983</v>
      </c>
      <c r="E406" t="s">
        <v>43</v>
      </c>
      <c r="F406" t="s">
        <v>60</v>
      </c>
      <c r="G406">
        <v>335</v>
      </c>
      <c r="H406" t="s">
        <v>28</v>
      </c>
      <c r="I406">
        <v>3424</v>
      </c>
      <c r="J406">
        <v>6983</v>
      </c>
      <c r="K406" t="s">
        <v>44</v>
      </c>
      <c r="L406" t="s">
        <v>26</v>
      </c>
      <c r="M406">
        <v>484</v>
      </c>
      <c r="N406">
        <v>54</v>
      </c>
      <c r="O406" t="s">
        <v>60</v>
      </c>
      <c r="P406" t="s">
        <v>44</v>
      </c>
      <c r="Q406">
        <v>335</v>
      </c>
      <c r="R406" t="s">
        <v>67</v>
      </c>
      <c r="S406">
        <v>11.99</v>
      </c>
    </row>
    <row r="407" spans="1:19" x14ac:dyDescent="0.3">
      <c r="A407">
        <f>'Raw Data'!D407-'Raw Data'!C407</f>
        <v>711</v>
      </c>
      <c r="B407" s="2" t="str">
        <f>_xlfn.IFS('Raw Data'!E407&gt;10,"Premium",'Raw Data'!E407&lt;10,"Basic")</f>
        <v>Premium</v>
      </c>
      <c r="C407">
        <v>11.99</v>
      </c>
      <c r="D407">
        <v>1413</v>
      </c>
      <c r="E407" t="s">
        <v>43</v>
      </c>
      <c r="F407" t="s">
        <v>52</v>
      </c>
      <c r="G407">
        <v>408</v>
      </c>
      <c r="H407" t="s">
        <v>28</v>
      </c>
      <c r="I407">
        <v>1428</v>
      </c>
      <c r="J407">
        <v>1413</v>
      </c>
      <c r="K407" t="s">
        <v>25</v>
      </c>
      <c r="L407" t="s">
        <v>26</v>
      </c>
      <c r="M407">
        <v>418</v>
      </c>
      <c r="N407">
        <v>198</v>
      </c>
      <c r="O407" t="s">
        <v>52</v>
      </c>
      <c r="P407" t="s">
        <v>25</v>
      </c>
      <c r="Q407">
        <v>408</v>
      </c>
      <c r="R407" t="s">
        <v>50</v>
      </c>
      <c r="S407">
        <v>11.99</v>
      </c>
    </row>
    <row r="408" spans="1:19" x14ac:dyDescent="0.3">
      <c r="A408">
        <f>'Raw Data'!D408-'Raw Data'!C408</f>
        <v>121</v>
      </c>
      <c r="B408" s="2" t="str">
        <f>_xlfn.IFS('Raw Data'!E408&gt;10,"Premium",'Raw Data'!E408&lt;10,"Basic")</f>
        <v>Premium</v>
      </c>
      <c r="C408">
        <v>11.99</v>
      </c>
      <c r="D408">
        <v>9509</v>
      </c>
      <c r="E408" t="s">
        <v>24</v>
      </c>
      <c r="F408" t="s">
        <v>60</v>
      </c>
      <c r="G408">
        <v>302</v>
      </c>
      <c r="H408" t="s">
        <v>28</v>
      </c>
      <c r="I408">
        <v>2387</v>
      </c>
      <c r="J408">
        <v>9509</v>
      </c>
      <c r="K408" t="s">
        <v>48</v>
      </c>
      <c r="L408" t="s">
        <v>40</v>
      </c>
      <c r="M408">
        <v>431</v>
      </c>
      <c r="N408">
        <v>116</v>
      </c>
      <c r="O408" t="s">
        <v>60</v>
      </c>
      <c r="P408" t="s">
        <v>48</v>
      </c>
      <c r="Q408">
        <v>302</v>
      </c>
      <c r="R408" t="s">
        <v>67</v>
      </c>
      <c r="S408">
        <v>11.99</v>
      </c>
    </row>
    <row r="409" spans="1:19" x14ac:dyDescent="0.3">
      <c r="A409">
        <f>'Raw Data'!D409-'Raw Data'!C409</f>
        <v>314</v>
      </c>
      <c r="B409" s="2" t="str">
        <f>_xlfn.IFS('Raw Data'!E409&gt;10,"Premium",'Raw Data'!E409&lt;10,"Basic")</f>
        <v>Basic</v>
      </c>
      <c r="C409">
        <v>7.99</v>
      </c>
      <c r="D409">
        <v>6330</v>
      </c>
      <c r="E409" t="s">
        <v>43</v>
      </c>
      <c r="F409" t="s">
        <v>52</v>
      </c>
      <c r="G409">
        <v>329</v>
      </c>
      <c r="H409" t="s">
        <v>28</v>
      </c>
      <c r="I409">
        <v>218</v>
      </c>
      <c r="J409">
        <v>6330</v>
      </c>
      <c r="K409" t="s">
        <v>25</v>
      </c>
      <c r="L409" t="s">
        <v>64</v>
      </c>
      <c r="M409">
        <v>973</v>
      </c>
      <c r="N409">
        <v>163</v>
      </c>
      <c r="O409" t="s">
        <v>52</v>
      </c>
      <c r="P409" t="s">
        <v>25</v>
      </c>
      <c r="Q409">
        <v>329</v>
      </c>
      <c r="R409" t="s">
        <v>56</v>
      </c>
      <c r="S409">
        <v>7.99</v>
      </c>
    </row>
    <row r="410" spans="1:19" x14ac:dyDescent="0.3">
      <c r="A410">
        <f>'Raw Data'!D410-'Raw Data'!C410</f>
        <v>115</v>
      </c>
      <c r="B410" s="2" t="str">
        <f>_xlfn.IFS('Raw Data'!E410&gt;10,"Premium",'Raw Data'!E410&lt;10,"Basic")</f>
        <v>Premium</v>
      </c>
      <c r="C410">
        <v>11.99</v>
      </c>
      <c r="D410">
        <v>2504</v>
      </c>
      <c r="E410" t="s">
        <v>62</v>
      </c>
      <c r="F410" t="s">
        <v>60</v>
      </c>
      <c r="G410">
        <v>328</v>
      </c>
      <c r="H410" t="s">
        <v>28</v>
      </c>
      <c r="I410">
        <v>68</v>
      </c>
      <c r="J410">
        <v>2504</v>
      </c>
      <c r="K410" t="s">
        <v>44</v>
      </c>
      <c r="L410" t="s">
        <v>26</v>
      </c>
      <c r="M410">
        <v>858</v>
      </c>
      <c r="N410">
        <v>159</v>
      </c>
      <c r="O410" t="s">
        <v>60</v>
      </c>
      <c r="P410" t="s">
        <v>44</v>
      </c>
      <c r="Q410">
        <v>328</v>
      </c>
      <c r="R410" t="s">
        <v>34</v>
      </c>
      <c r="S410">
        <v>11.99</v>
      </c>
    </row>
    <row r="411" spans="1:19" x14ac:dyDescent="0.3">
      <c r="A411">
        <f>'Raw Data'!D411-'Raw Data'!C411</f>
        <v>116</v>
      </c>
      <c r="B411" s="2" t="str">
        <f>_xlfn.IFS('Raw Data'!E411&gt;10,"Premium",'Raw Data'!E411&lt;10,"Basic")</f>
        <v>Premium</v>
      </c>
      <c r="C411">
        <v>11.99</v>
      </c>
      <c r="D411">
        <v>6593</v>
      </c>
      <c r="E411" t="s">
        <v>33</v>
      </c>
      <c r="F411" t="s">
        <v>60</v>
      </c>
      <c r="G411">
        <v>353</v>
      </c>
      <c r="H411" t="s">
        <v>28</v>
      </c>
      <c r="I411">
        <v>2749</v>
      </c>
      <c r="J411">
        <v>6593</v>
      </c>
      <c r="K411" t="s">
        <v>44</v>
      </c>
      <c r="L411" t="s">
        <v>40</v>
      </c>
      <c r="M411">
        <v>637</v>
      </c>
      <c r="N411">
        <v>160</v>
      </c>
      <c r="O411" t="s">
        <v>60</v>
      </c>
      <c r="P411" t="s">
        <v>44</v>
      </c>
      <c r="Q411">
        <v>353</v>
      </c>
      <c r="R411" t="s">
        <v>56</v>
      </c>
      <c r="S411">
        <v>11.99</v>
      </c>
    </row>
    <row r="412" spans="1:19" x14ac:dyDescent="0.3">
      <c r="A412">
        <f>'Raw Data'!D412-'Raw Data'!C412</f>
        <v>274</v>
      </c>
      <c r="B412" s="2" t="str">
        <f>_xlfn.IFS('Raw Data'!E412&gt;10,"Premium",'Raw Data'!E412&lt;10,"Basic")</f>
        <v>Premium</v>
      </c>
      <c r="C412">
        <v>11.99</v>
      </c>
      <c r="D412">
        <v>9537</v>
      </c>
      <c r="E412" t="s">
        <v>62</v>
      </c>
      <c r="F412" t="s">
        <v>30</v>
      </c>
      <c r="G412">
        <v>386</v>
      </c>
      <c r="H412" t="s">
        <v>28</v>
      </c>
      <c r="I412">
        <v>4942</v>
      </c>
      <c r="J412">
        <v>9537</v>
      </c>
      <c r="K412" t="s">
        <v>44</v>
      </c>
      <c r="L412" t="s">
        <v>64</v>
      </c>
      <c r="M412">
        <v>693</v>
      </c>
      <c r="N412">
        <v>61</v>
      </c>
      <c r="O412" t="s">
        <v>30</v>
      </c>
      <c r="P412" t="s">
        <v>44</v>
      </c>
      <c r="Q412">
        <v>386</v>
      </c>
      <c r="R412" t="s">
        <v>27</v>
      </c>
      <c r="S412">
        <v>11.99</v>
      </c>
    </row>
    <row r="413" spans="1:19" x14ac:dyDescent="0.3">
      <c r="A413">
        <f>'Raw Data'!D413-'Raw Data'!C413</f>
        <v>411</v>
      </c>
      <c r="B413" s="2" t="str">
        <f>_xlfn.IFS('Raw Data'!E413&gt;10,"Premium",'Raw Data'!E413&lt;10,"Basic")</f>
        <v>Basic</v>
      </c>
      <c r="C413">
        <v>7.99</v>
      </c>
      <c r="D413">
        <v>9628</v>
      </c>
      <c r="E413" t="s">
        <v>62</v>
      </c>
      <c r="F413" t="s">
        <v>30</v>
      </c>
      <c r="G413">
        <v>401</v>
      </c>
      <c r="H413" t="s">
        <v>28</v>
      </c>
      <c r="I413">
        <v>1813</v>
      </c>
      <c r="J413">
        <v>9628</v>
      </c>
      <c r="K413" t="s">
        <v>25</v>
      </c>
      <c r="L413" t="s">
        <v>49</v>
      </c>
      <c r="M413">
        <v>308</v>
      </c>
      <c r="N413">
        <v>103</v>
      </c>
      <c r="O413" t="s">
        <v>30</v>
      </c>
      <c r="P413" t="s">
        <v>25</v>
      </c>
      <c r="Q413">
        <v>401</v>
      </c>
      <c r="R413" t="s">
        <v>41</v>
      </c>
      <c r="S413">
        <v>7.99</v>
      </c>
    </row>
    <row r="414" spans="1:19" x14ac:dyDescent="0.3">
      <c r="A414">
        <f>'Raw Data'!D414-'Raw Data'!C414</f>
        <v>596</v>
      </c>
      <c r="B414" s="2" t="str">
        <f>_xlfn.IFS('Raw Data'!E414&gt;10,"Premium",'Raw Data'!E414&lt;10,"Basic")</f>
        <v>Basic</v>
      </c>
      <c r="C414">
        <v>7.99</v>
      </c>
      <c r="D414">
        <v>4024</v>
      </c>
      <c r="E414" t="s">
        <v>33</v>
      </c>
      <c r="F414" t="s">
        <v>68</v>
      </c>
      <c r="G414">
        <v>286</v>
      </c>
      <c r="H414" t="s">
        <v>28</v>
      </c>
      <c r="I414">
        <v>318</v>
      </c>
      <c r="J414">
        <v>4024</v>
      </c>
      <c r="K414" t="s">
        <v>44</v>
      </c>
      <c r="L414" t="s">
        <v>26</v>
      </c>
      <c r="M414">
        <v>843</v>
      </c>
      <c r="N414">
        <v>26</v>
      </c>
      <c r="O414" t="s">
        <v>68</v>
      </c>
      <c r="P414" t="s">
        <v>44</v>
      </c>
      <c r="Q414">
        <v>286</v>
      </c>
      <c r="R414" t="s">
        <v>34</v>
      </c>
      <c r="S414">
        <v>7.99</v>
      </c>
    </row>
    <row r="415" spans="1:19" x14ac:dyDescent="0.3">
      <c r="A415">
        <f>'Raw Data'!D415-'Raw Data'!C415</f>
        <v>346</v>
      </c>
      <c r="B415" s="2" t="str">
        <f>_xlfn.IFS('Raw Data'!E415&gt;10,"Premium",'Raw Data'!E415&lt;10,"Basic")</f>
        <v>Basic</v>
      </c>
      <c r="C415">
        <v>7.99</v>
      </c>
      <c r="D415">
        <v>5321</v>
      </c>
      <c r="E415" t="s">
        <v>79</v>
      </c>
      <c r="F415" t="s">
        <v>68</v>
      </c>
      <c r="G415">
        <v>20</v>
      </c>
      <c r="H415" t="s">
        <v>28</v>
      </c>
      <c r="I415">
        <v>4216</v>
      </c>
      <c r="J415">
        <v>5321</v>
      </c>
      <c r="K415" t="s">
        <v>39</v>
      </c>
      <c r="L415" t="s">
        <v>64</v>
      </c>
      <c r="M415">
        <v>895</v>
      </c>
      <c r="N415">
        <v>40</v>
      </c>
      <c r="O415" t="s">
        <v>68</v>
      </c>
      <c r="P415" t="s">
        <v>39</v>
      </c>
      <c r="Q415">
        <v>20</v>
      </c>
      <c r="R415" t="s">
        <v>56</v>
      </c>
      <c r="S415">
        <v>7.99</v>
      </c>
    </row>
    <row r="416" spans="1:19" x14ac:dyDescent="0.3">
      <c r="A416">
        <f>'Raw Data'!D416-'Raw Data'!C416</f>
        <v>5</v>
      </c>
      <c r="B416" s="2" t="str">
        <f>_xlfn.IFS('Raw Data'!E416&gt;10,"Premium",'Raw Data'!E416&lt;10,"Basic")</f>
        <v>Basic</v>
      </c>
      <c r="C416">
        <v>7.99</v>
      </c>
      <c r="D416">
        <v>3926</v>
      </c>
      <c r="E416" t="s">
        <v>79</v>
      </c>
      <c r="F416" t="s">
        <v>30</v>
      </c>
      <c r="G416">
        <v>167</v>
      </c>
      <c r="H416" t="s">
        <v>28</v>
      </c>
      <c r="I416">
        <v>3003</v>
      </c>
      <c r="J416">
        <v>3926</v>
      </c>
      <c r="K416" t="s">
        <v>74</v>
      </c>
      <c r="L416" t="s">
        <v>64</v>
      </c>
      <c r="M416">
        <v>466</v>
      </c>
      <c r="N416">
        <v>69</v>
      </c>
      <c r="O416" t="s">
        <v>30</v>
      </c>
      <c r="P416" t="s">
        <v>74</v>
      </c>
      <c r="Q416">
        <v>167</v>
      </c>
      <c r="R416" t="s">
        <v>41</v>
      </c>
      <c r="S416">
        <v>7.99</v>
      </c>
    </row>
    <row r="417" spans="1:19" x14ac:dyDescent="0.3">
      <c r="A417">
        <f>'Raw Data'!D417-'Raw Data'!C417</f>
        <v>69</v>
      </c>
      <c r="B417" s="2" t="str">
        <f>_xlfn.IFS('Raw Data'!E417&gt;10,"Premium",'Raw Data'!E417&lt;10,"Basic")</f>
        <v>Basic</v>
      </c>
      <c r="C417">
        <v>7.99</v>
      </c>
      <c r="D417">
        <v>8738</v>
      </c>
      <c r="E417" t="s">
        <v>79</v>
      </c>
      <c r="F417" t="s">
        <v>60</v>
      </c>
      <c r="G417">
        <v>427</v>
      </c>
      <c r="H417" t="s">
        <v>28</v>
      </c>
      <c r="I417">
        <v>342</v>
      </c>
      <c r="J417">
        <v>8738</v>
      </c>
      <c r="K417" t="s">
        <v>44</v>
      </c>
      <c r="L417" t="s">
        <v>40</v>
      </c>
      <c r="M417">
        <v>886</v>
      </c>
      <c r="N417">
        <v>17</v>
      </c>
      <c r="O417" t="s">
        <v>60</v>
      </c>
      <c r="P417" t="s">
        <v>44</v>
      </c>
      <c r="Q417">
        <v>427</v>
      </c>
      <c r="R417" t="s">
        <v>41</v>
      </c>
      <c r="S417">
        <v>7.99</v>
      </c>
    </row>
    <row r="418" spans="1:19" x14ac:dyDescent="0.3">
      <c r="A418">
        <f>'Raw Data'!D418-'Raw Data'!C418</f>
        <v>210</v>
      </c>
      <c r="B418" s="2" t="str">
        <f>_xlfn.IFS('Raw Data'!E418&gt;10,"Premium",'Raw Data'!E418&lt;10,"Basic")</f>
        <v>Premium</v>
      </c>
      <c r="C418">
        <v>11.99</v>
      </c>
      <c r="D418">
        <v>2701</v>
      </c>
      <c r="E418" t="s">
        <v>33</v>
      </c>
      <c r="F418" t="s">
        <v>68</v>
      </c>
      <c r="G418">
        <v>13</v>
      </c>
      <c r="H418" t="s">
        <v>28</v>
      </c>
      <c r="I418">
        <v>2124</v>
      </c>
      <c r="J418">
        <v>2701</v>
      </c>
      <c r="K418" t="s">
        <v>59</v>
      </c>
      <c r="L418" t="s">
        <v>64</v>
      </c>
      <c r="M418">
        <v>537</v>
      </c>
      <c r="N418">
        <v>121</v>
      </c>
      <c r="O418" t="s">
        <v>68</v>
      </c>
      <c r="P418" t="s">
        <v>59</v>
      </c>
      <c r="Q418">
        <v>13</v>
      </c>
      <c r="R418" t="s">
        <v>50</v>
      </c>
      <c r="S418">
        <v>11.99</v>
      </c>
    </row>
    <row r="419" spans="1:19" x14ac:dyDescent="0.3">
      <c r="A419">
        <f>'Raw Data'!D419-'Raw Data'!C419</f>
        <v>299</v>
      </c>
      <c r="B419" s="2" t="str">
        <f>_xlfn.IFS('Raw Data'!E419&gt;10,"Premium",'Raw Data'!E419&lt;10,"Basic")</f>
        <v>Premium</v>
      </c>
      <c r="C419">
        <v>15.99</v>
      </c>
      <c r="D419">
        <v>5339</v>
      </c>
      <c r="E419" t="s">
        <v>24</v>
      </c>
      <c r="F419" t="s">
        <v>60</v>
      </c>
      <c r="G419">
        <v>53</v>
      </c>
      <c r="H419" t="s">
        <v>28</v>
      </c>
      <c r="I419">
        <v>1016</v>
      </c>
      <c r="J419">
        <v>5339</v>
      </c>
      <c r="K419" t="s">
        <v>74</v>
      </c>
      <c r="L419" t="s">
        <v>64</v>
      </c>
      <c r="M419">
        <v>524</v>
      </c>
      <c r="N419">
        <v>161</v>
      </c>
      <c r="O419" t="s">
        <v>60</v>
      </c>
      <c r="P419" t="s">
        <v>74</v>
      </c>
      <c r="Q419">
        <v>53</v>
      </c>
      <c r="R419" t="s">
        <v>34</v>
      </c>
      <c r="S419">
        <v>15.99</v>
      </c>
    </row>
    <row r="420" spans="1:19" x14ac:dyDescent="0.3">
      <c r="A420">
        <f>'Raw Data'!D420-'Raw Data'!C420</f>
        <v>561</v>
      </c>
      <c r="B420" s="2" t="str">
        <f>_xlfn.IFS('Raw Data'!E420&gt;10,"Premium",'Raw Data'!E420&lt;10,"Basic")</f>
        <v>Basic</v>
      </c>
      <c r="C420">
        <v>7.99</v>
      </c>
      <c r="D420">
        <v>1612</v>
      </c>
      <c r="E420" t="s">
        <v>24</v>
      </c>
      <c r="F420" t="s">
        <v>30</v>
      </c>
      <c r="G420">
        <v>197</v>
      </c>
      <c r="H420" t="s">
        <v>28</v>
      </c>
      <c r="I420">
        <v>1925</v>
      </c>
      <c r="J420">
        <v>1612</v>
      </c>
      <c r="K420" t="s">
        <v>48</v>
      </c>
      <c r="L420" t="s">
        <v>40</v>
      </c>
      <c r="M420">
        <v>409</v>
      </c>
      <c r="N420">
        <v>22</v>
      </c>
      <c r="O420" t="s">
        <v>30</v>
      </c>
      <c r="P420" t="s">
        <v>48</v>
      </c>
      <c r="Q420">
        <v>197</v>
      </c>
      <c r="R420" t="s">
        <v>34</v>
      </c>
      <c r="S420">
        <v>7.99</v>
      </c>
    </row>
    <row r="421" spans="1:19" x14ac:dyDescent="0.3">
      <c r="A421">
        <f>'Raw Data'!D421-'Raw Data'!C421</f>
        <v>418</v>
      </c>
      <c r="B421" s="2" t="str">
        <f>_xlfn.IFS('Raw Data'!E421&gt;10,"Premium",'Raw Data'!E421&lt;10,"Basic")</f>
        <v>Basic</v>
      </c>
      <c r="C421">
        <v>7.99</v>
      </c>
      <c r="D421">
        <v>5407</v>
      </c>
      <c r="E421" t="s">
        <v>55</v>
      </c>
      <c r="F421" t="s">
        <v>36</v>
      </c>
      <c r="G421">
        <v>429</v>
      </c>
      <c r="H421" t="s">
        <v>28</v>
      </c>
      <c r="I421">
        <v>3773</v>
      </c>
      <c r="J421">
        <v>5407</v>
      </c>
      <c r="K421" t="s">
        <v>25</v>
      </c>
      <c r="L421" t="s">
        <v>49</v>
      </c>
      <c r="M421">
        <v>988</v>
      </c>
      <c r="N421">
        <v>115</v>
      </c>
      <c r="O421" t="s">
        <v>36</v>
      </c>
      <c r="P421" t="s">
        <v>25</v>
      </c>
      <c r="Q421">
        <v>429</v>
      </c>
      <c r="R421" t="s">
        <v>50</v>
      </c>
      <c r="S421">
        <v>7.99</v>
      </c>
    </row>
    <row r="422" spans="1:19" x14ac:dyDescent="0.3">
      <c r="A422">
        <f>'Raw Data'!D422-'Raw Data'!C422</f>
        <v>200</v>
      </c>
      <c r="B422" s="2" t="str">
        <f>_xlfn.IFS('Raw Data'!E422&gt;10,"Premium",'Raw Data'!E422&lt;10,"Basic")</f>
        <v>Premium</v>
      </c>
      <c r="C422">
        <v>15.99</v>
      </c>
      <c r="D422">
        <v>8225</v>
      </c>
      <c r="E422" t="s">
        <v>55</v>
      </c>
      <c r="F422" t="s">
        <v>68</v>
      </c>
      <c r="G422">
        <v>282</v>
      </c>
      <c r="H422" t="s">
        <v>28</v>
      </c>
      <c r="I422">
        <v>1231</v>
      </c>
      <c r="J422">
        <v>8225</v>
      </c>
      <c r="K422" t="s">
        <v>63</v>
      </c>
      <c r="L422" t="s">
        <v>26</v>
      </c>
      <c r="M422">
        <v>386</v>
      </c>
      <c r="N422">
        <v>177</v>
      </c>
      <c r="O422" t="s">
        <v>68</v>
      </c>
      <c r="P422" t="s">
        <v>63</v>
      </c>
      <c r="Q422">
        <v>282</v>
      </c>
      <c r="R422" t="s">
        <v>50</v>
      </c>
      <c r="S422">
        <v>15.99</v>
      </c>
    </row>
    <row r="423" spans="1:19" x14ac:dyDescent="0.3">
      <c r="A423">
        <f>'Raw Data'!D423-'Raw Data'!C423</f>
        <v>38</v>
      </c>
      <c r="B423" s="2" t="str">
        <f>_xlfn.IFS('Raw Data'!E423&gt;10,"Premium",'Raw Data'!E423&lt;10,"Basic")</f>
        <v>Premium</v>
      </c>
      <c r="C423">
        <v>11.99</v>
      </c>
      <c r="D423">
        <v>4714</v>
      </c>
      <c r="E423" t="s">
        <v>43</v>
      </c>
      <c r="F423" t="s">
        <v>36</v>
      </c>
      <c r="G423">
        <v>248</v>
      </c>
      <c r="H423" t="s">
        <v>28</v>
      </c>
      <c r="I423">
        <v>62</v>
      </c>
      <c r="J423">
        <v>4714</v>
      </c>
      <c r="K423" t="s">
        <v>59</v>
      </c>
      <c r="L423" t="s">
        <v>40</v>
      </c>
      <c r="M423">
        <v>996</v>
      </c>
      <c r="N423">
        <v>24</v>
      </c>
      <c r="O423" t="s">
        <v>36</v>
      </c>
      <c r="P423" t="s">
        <v>59</v>
      </c>
      <c r="Q423">
        <v>248</v>
      </c>
      <c r="R423" t="s">
        <v>34</v>
      </c>
      <c r="S423">
        <v>11.99</v>
      </c>
    </row>
    <row r="424" spans="1:19" x14ac:dyDescent="0.3">
      <c r="A424">
        <f>'Raw Data'!D424-'Raw Data'!C424</f>
        <v>75</v>
      </c>
      <c r="B424" s="2" t="str">
        <f>_xlfn.IFS('Raw Data'!E424&gt;10,"Premium",'Raw Data'!E424&lt;10,"Basic")</f>
        <v>Premium</v>
      </c>
      <c r="C424">
        <v>11.99</v>
      </c>
      <c r="D424">
        <v>3826</v>
      </c>
      <c r="E424" t="s">
        <v>46</v>
      </c>
      <c r="F424" t="s">
        <v>68</v>
      </c>
      <c r="G424">
        <v>406</v>
      </c>
      <c r="H424" t="s">
        <v>28</v>
      </c>
      <c r="I424">
        <v>1580</v>
      </c>
      <c r="J424">
        <v>3826</v>
      </c>
      <c r="K424" t="s">
        <v>25</v>
      </c>
      <c r="L424" t="s">
        <v>64</v>
      </c>
      <c r="M424">
        <v>369</v>
      </c>
      <c r="N424">
        <v>13</v>
      </c>
      <c r="O424" t="s">
        <v>68</v>
      </c>
      <c r="P424" t="s">
        <v>25</v>
      </c>
      <c r="Q424">
        <v>406</v>
      </c>
      <c r="R424" t="s">
        <v>41</v>
      </c>
      <c r="S424">
        <v>11.99</v>
      </c>
    </row>
    <row r="425" spans="1:19" x14ac:dyDescent="0.3">
      <c r="A425">
        <f>'Raw Data'!D425-'Raw Data'!C425</f>
        <v>-18</v>
      </c>
      <c r="B425" s="2" t="str">
        <f>_xlfn.IFS('Raw Data'!E425&gt;10,"Premium",'Raw Data'!E425&lt;10,"Basic")</f>
        <v>Premium</v>
      </c>
      <c r="C425">
        <v>15.99</v>
      </c>
      <c r="D425">
        <v>3781</v>
      </c>
      <c r="E425" t="s">
        <v>79</v>
      </c>
      <c r="F425" t="s">
        <v>52</v>
      </c>
      <c r="G425">
        <v>249</v>
      </c>
      <c r="H425" t="s">
        <v>28</v>
      </c>
      <c r="I425">
        <v>74</v>
      </c>
      <c r="J425">
        <v>3781</v>
      </c>
      <c r="K425" t="s">
        <v>44</v>
      </c>
      <c r="L425" t="s">
        <v>26</v>
      </c>
      <c r="M425">
        <v>713</v>
      </c>
      <c r="N425">
        <v>125</v>
      </c>
      <c r="O425" t="s">
        <v>52</v>
      </c>
      <c r="P425" t="s">
        <v>44</v>
      </c>
      <c r="Q425">
        <v>249</v>
      </c>
      <c r="R425" t="s">
        <v>34</v>
      </c>
      <c r="S425">
        <v>15.99</v>
      </c>
    </row>
    <row r="426" spans="1:19" x14ac:dyDescent="0.3">
      <c r="A426">
        <f>'Raw Data'!D426-'Raw Data'!C426</f>
        <v>403</v>
      </c>
      <c r="B426" s="2" t="str">
        <f>_xlfn.IFS('Raw Data'!E426&gt;10,"Premium",'Raw Data'!E426&lt;10,"Basic")</f>
        <v>Basic</v>
      </c>
      <c r="C426">
        <v>7.99</v>
      </c>
      <c r="D426">
        <v>5635</v>
      </c>
      <c r="E426" t="s">
        <v>55</v>
      </c>
      <c r="F426" t="s">
        <v>36</v>
      </c>
      <c r="G426">
        <v>12</v>
      </c>
      <c r="H426" t="s">
        <v>28</v>
      </c>
      <c r="I426">
        <v>3452</v>
      </c>
      <c r="J426">
        <v>5635</v>
      </c>
      <c r="K426" t="s">
        <v>59</v>
      </c>
      <c r="L426" t="s">
        <v>40</v>
      </c>
      <c r="M426">
        <v>928</v>
      </c>
      <c r="N426">
        <v>147</v>
      </c>
      <c r="O426" t="s">
        <v>36</v>
      </c>
      <c r="P426" t="s">
        <v>59</v>
      </c>
      <c r="Q426">
        <v>12</v>
      </c>
      <c r="R426" t="s">
        <v>56</v>
      </c>
      <c r="S426">
        <v>7.99</v>
      </c>
    </row>
    <row r="427" spans="1:19" x14ac:dyDescent="0.3">
      <c r="A427">
        <f>'Raw Data'!D427-'Raw Data'!C427</f>
        <v>599</v>
      </c>
      <c r="B427" s="2" t="str">
        <f>_xlfn.IFS('Raw Data'!E427&gt;10,"Premium",'Raw Data'!E427&lt;10,"Basic")</f>
        <v>Basic</v>
      </c>
      <c r="C427">
        <v>7.99</v>
      </c>
      <c r="D427">
        <v>2291</v>
      </c>
      <c r="E427" t="s">
        <v>24</v>
      </c>
      <c r="F427" t="s">
        <v>52</v>
      </c>
      <c r="G427">
        <v>57</v>
      </c>
      <c r="H427" t="s">
        <v>28</v>
      </c>
      <c r="I427">
        <v>4792</v>
      </c>
      <c r="J427">
        <v>2291</v>
      </c>
      <c r="K427" t="s">
        <v>59</v>
      </c>
      <c r="L427" t="s">
        <v>49</v>
      </c>
      <c r="M427">
        <v>869</v>
      </c>
      <c r="N427">
        <v>107</v>
      </c>
      <c r="O427" t="s">
        <v>52</v>
      </c>
      <c r="P427" t="s">
        <v>59</v>
      </c>
      <c r="Q427">
        <v>57</v>
      </c>
      <c r="R427" t="s">
        <v>50</v>
      </c>
      <c r="S427">
        <v>7.99</v>
      </c>
    </row>
    <row r="428" spans="1:19" x14ac:dyDescent="0.3">
      <c r="A428">
        <f>'Raw Data'!D428-'Raw Data'!C428</f>
        <v>86</v>
      </c>
      <c r="B428" s="2" t="str">
        <f>_xlfn.IFS('Raw Data'!E428&gt;10,"Premium",'Raw Data'!E428&lt;10,"Basic")</f>
        <v>Basic</v>
      </c>
      <c r="C428">
        <v>7.99</v>
      </c>
      <c r="D428">
        <v>3119</v>
      </c>
      <c r="E428" t="s">
        <v>79</v>
      </c>
      <c r="F428" t="s">
        <v>60</v>
      </c>
      <c r="G428">
        <v>247</v>
      </c>
      <c r="H428" t="s">
        <v>28</v>
      </c>
      <c r="I428">
        <v>4378</v>
      </c>
      <c r="J428">
        <v>3119</v>
      </c>
      <c r="K428" t="s">
        <v>59</v>
      </c>
      <c r="L428" t="s">
        <v>40</v>
      </c>
      <c r="M428">
        <v>563</v>
      </c>
      <c r="N428">
        <v>185</v>
      </c>
      <c r="O428" t="s">
        <v>60</v>
      </c>
      <c r="P428" t="s">
        <v>59</v>
      </c>
      <c r="Q428">
        <v>247</v>
      </c>
      <c r="R428" t="s">
        <v>41</v>
      </c>
      <c r="S428">
        <v>7.99</v>
      </c>
    </row>
    <row r="429" spans="1:19" x14ac:dyDescent="0.3">
      <c r="A429">
        <f>'Raw Data'!D429-'Raw Data'!C429</f>
        <v>615</v>
      </c>
      <c r="B429" s="2" t="str">
        <f>_xlfn.IFS('Raw Data'!E429&gt;10,"Premium",'Raw Data'!E429&lt;10,"Basic")</f>
        <v>Basic</v>
      </c>
      <c r="C429">
        <v>7.99</v>
      </c>
      <c r="D429">
        <v>5280</v>
      </c>
      <c r="E429" t="s">
        <v>55</v>
      </c>
      <c r="F429" t="s">
        <v>68</v>
      </c>
      <c r="G429">
        <v>25</v>
      </c>
      <c r="H429" t="s">
        <v>28</v>
      </c>
      <c r="I429">
        <v>1713</v>
      </c>
      <c r="J429">
        <v>5280</v>
      </c>
      <c r="K429" t="s">
        <v>59</v>
      </c>
      <c r="L429" t="s">
        <v>49</v>
      </c>
      <c r="M429">
        <v>429</v>
      </c>
      <c r="N429">
        <v>138</v>
      </c>
      <c r="O429" t="s">
        <v>68</v>
      </c>
      <c r="P429" t="s">
        <v>59</v>
      </c>
      <c r="Q429">
        <v>25</v>
      </c>
      <c r="R429" t="s">
        <v>56</v>
      </c>
      <c r="S429">
        <v>7.99</v>
      </c>
    </row>
    <row r="430" spans="1:19" x14ac:dyDescent="0.3">
      <c r="A430">
        <f>'Raw Data'!D430-'Raw Data'!C430</f>
        <v>566</v>
      </c>
      <c r="B430" s="2" t="str">
        <f>_xlfn.IFS('Raw Data'!E430&gt;10,"Premium",'Raw Data'!E430&lt;10,"Basic")</f>
        <v>Premium</v>
      </c>
      <c r="C430">
        <v>15.99</v>
      </c>
      <c r="D430">
        <v>2546</v>
      </c>
      <c r="E430" t="s">
        <v>62</v>
      </c>
      <c r="F430" t="s">
        <v>36</v>
      </c>
      <c r="G430">
        <v>425</v>
      </c>
      <c r="H430" t="s">
        <v>28</v>
      </c>
      <c r="I430">
        <v>1201</v>
      </c>
      <c r="J430">
        <v>2546</v>
      </c>
      <c r="K430" t="s">
        <v>59</v>
      </c>
      <c r="L430" t="s">
        <v>40</v>
      </c>
      <c r="M430">
        <v>236</v>
      </c>
      <c r="N430">
        <v>37</v>
      </c>
      <c r="O430" t="s">
        <v>36</v>
      </c>
      <c r="P430" t="s">
        <v>59</v>
      </c>
      <c r="Q430">
        <v>425</v>
      </c>
      <c r="R430" t="s">
        <v>56</v>
      </c>
      <c r="S430">
        <v>15.99</v>
      </c>
    </row>
    <row r="431" spans="1:19" x14ac:dyDescent="0.3">
      <c r="A431">
        <f>'Raw Data'!D431-'Raw Data'!C431</f>
        <v>450</v>
      </c>
      <c r="B431" s="2" t="str">
        <f>_xlfn.IFS('Raw Data'!E431&gt;10,"Premium",'Raw Data'!E431&lt;10,"Basic")</f>
        <v>Basic</v>
      </c>
      <c r="C431">
        <v>7.99</v>
      </c>
      <c r="D431">
        <v>5975</v>
      </c>
      <c r="E431" t="s">
        <v>46</v>
      </c>
      <c r="F431" t="s">
        <v>68</v>
      </c>
      <c r="G431">
        <v>315</v>
      </c>
      <c r="H431" t="s">
        <v>28</v>
      </c>
      <c r="I431">
        <v>416</v>
      </c>
      <c r="J431">
        <v>5975</v>
      </c>
      <c r="K431" t="s">
        <v>63</v>
      </c>
      <c r="L431" t="s">
        <v>49</v>
      </c>
      <c r="M431">
        <v>889</v>
      </c>
      <c r="N431">
        <v>80</v>
      </c>
      <c r="O431" t="s">
        <v>68</v>
      </c>
      <c r="P431" t="s">
        <v>63</v>
      </c>
      <c r="Q431">
        <v>315</v>
      </c>
      <c r="R431" t="s">
        <v>34</v>
      </c>
      <c r="S431">
        <v>7.99</v>
      </c>
    </row>
    <row r="432" spans="1:19" x14ac:dyDescent="0.3">
      <c r="A432">
        <f>'Raw Data'!D432-'Raw Data'!C432</f>
        <v>78</v>
      </c>
      <c r="B432" s="2" t="str">
        <f>_xlfn.IFS('Raw Data'!E432&gt;10,"Premium",'Raw Data'!E432&lt;10,"Basic")</f>
        <v>Basic</v>
      </c>
      <c r="C432">
        <v>7.99</v>
      </c>
      <c r="D432">
        <v>9113</v>
      </c>
      <c r="E432" t="s">
        <v>62</v>
      </c>
      <c r="F432" t="s">
        <v>68</v>
      </c>
      <c r="G432">
        <v>466</v>
      </c>
      <c r="H432" t="s">
        <v>28</v>
      </c>
      <c r="I432">
        <v>17</v>
      </c>
      <c r="J432">
        <v>9113</v>
      </c>
      <c r="K432" t="s">
        <v>44</v>
      </c>
      <c r="L432" t="s">
        <v>40</v>
      </c>
      <c r="M432">
        <v>785</v>
      </c>
      <c r="N432">
        <v>12</v>
      </c>
      <c r="O432" t="s">
        <v>68</v>
      </c>
      <c r="P432" t="s">
        <v>44</v>
      </c>
      <c r="Q432">
        <v>466</v>
      </c>
      <c r="R432" t="s">
        <v>50</v>
      </c>
      <c r="S432">
        <v>7.99</v>
      </c>
    </row>
    <row r="433" spans="1:19" x14ac:dyDescent="0.3">
      <c r="A433">
        <f>'Raw Data'!D433-'Raw Data'!C433</f>
        <v>137</v>
      </c>
      <c r="B433" s="2" t="str">
        <f>_xlfn.IFS('Raw Data'!E433&gt;10,"Premium",'Raw Data'!E433&lt;10,"Basic")</f>
        <v>Premium</v>
      </c>
      <c r="C433">
        <v>15.99</v>
      </c>
      <c r="D433">
        <v>6250</v>
      </c>
      <c r="E433" t="s">
        <v>43</v>
      </c>
      <c r="F433" t="s">
        <v>60</v>
      </c>
      <c r="G433">
        <v>207</v>
      </c>
      <c r="H433" t="s">
        <v>28</v>
      </c>
      <c r="I433">
        <v>4820</v>
      </c>
      <c r="J433">
        <v>6250</v>
      </c>
      <c r="K433" t="s">
        <v>39</v>
      </c>
      <c r="L433" t="s">
        <v>49</v>
      </c>
      <c r="M433">
        <v>909</v>
      </c>
      <c r="N433">
        <v>164</v>
      </c>
      <c r="O433" t="s">
        <v>60</v>
      </c>
      <c r="P433" t="s">
        <v>39</v>
      </c>
      <c r="Q433">
        <v>207</v>
      </c>
      <c r="R433" t="s">
        <v>27</v>
      </c>
      <c r="S433">
        <v>15.99</v>
      </c>
    </row>
    <row r="434" spans="1:19" x14ac:dyDescent="0.3">
      <c r="A434">
        <f>'Raw Data'!D434-'Raw Data'!C434</f>
        <v>21</v>
      </c>
      <c r="B434" s="2" t="str">
        <f>_xlfn.IFS('Raw Data'!E434&gt;10,"Premium",'Raw Data'!E434&lt;10,"Basic")</f>
        <v>Basic</v>
      </c>
      <c r="C434">
        <v>7.99</v>
      </c>
      <c r="D434">
        <v>6190</v>
      </c>
      <c r="E434" t="s">
        <v>33</v>
      </c>
      <c r="F434" t="s">
        <v>68</v>
      </c>
      <c r="G434">
        <v>248</v>
      </c>
      <c r="H434" t="s">
        <v>28</v>
      </c>
      <c r="I434">
        <v>1758</v>
      </c>
      <c r="J434">
        <v>6190</v>
      </c>
      <c r="K434" t="s">
        <v>25</v>
      </c>
      <c r="L434" t="s">
        <v>40</v>
      </c>
      <c r="M434">
        <v>142</v>
      </c>
      <c r="N434">
        <v>22</v>
      </c>
      <c r="O434" t="s">
        <v>68</v>
      </c>
      <c r="P434" t="s">
        <v>25</v>
      </c>
      <c r="Q434">
        <v>248</v>
      </c>
      <c r="R434" t="s">
        <v>41</v>
      </c>
      <c r="S434">
        <v>7.99</v>
      </c>
    </row>
    <row r="435" spans="1:19" x14ac:dyDescent="0.3">
      <c r="A435">
        <f>'Raw Data'!D435-'Raw Data'!C435</f>
        <v>221</v>
      </c>
      <c r="B435" s="2" t="str">
        <f>_xlfn.IFS('Raw Data'!E435&gt;10,"Premium",'Raw Data'!E435&lt;10,"Basic")</f>
        <v>Basic</v>
      </c>
      <c r="C435">
        <v>7.99</v>
      </c>
      <c r="D435">
        <v>5713</v>
      </c>
      <c r="E435" t="s">
        <v>33</v>
      </c>
      <c r="F435" t="s">
        <v>60</v>
      </c>
      <c r="G435">
        <v>278</v>
      </c>
      <c r="H435" t="s">
        <v>28</v>
      </c>
      <c r="I435">
        <v>2568</v>
      </c>
      <c r="J435">
        <v>5713</v>
      </c>
      <c r="K435" t="s">
        <v>25</v>
      </c>
      <c r="L435" t="s">
        <v>64</v>
      </c>
      <c r="M435">
        <v>743</v>
      </c>
      <c r="N435">
        <v>180</v>
      </c>
      <c r="O435" t="s">
        <v>60</v>
      </c>
      <c r="P435" t="s">
        <v>25</v>
      </c>
      <c r="Q435">
        <v>278</v>
      </c>
      <c r="R435" t="s">
        <v>27</v>
      </c>
      <c r="S435">
        <v>7.99</v>
      </c>
    </row>
    <row r="436" spans="1:19" x14ac:dyDescent="0.3">
      <c r="A436">
        <f>'Raw Data'!D436-'Raw Data'!C436</f>
        <v>331</v>
      </c>
      <c r="B436" s="2" t="str">
        <f>_xlfn.IFS('Raw Data'!E436&gt;10,"Premium",'Raw Data'!E436&lt;10,"Basic")</f>
        <v>Basic</v>
      </c>
      <c r="C436">
        <v>7.99</v>
      </c>
      <c r="D436">
        <v>1932</v>
      </c>
      <c r="E436" t="s">
        <v>46</v>
      </c>
      <c r="F436" t="s">
        <v>60</v>
      </c>
      <c r="G436">
        <v>315</v>
      </c>
      <c r="H436" t="s">
        <v>28</v>
      </c>
      <c r="I436">
        <v>4235</v>
      </c>
      <c r="J436">
        <v>1932</v>
      </c>
      <c r="K436" t="s">
        <v>74</v>
      </c>
      <c r="L436" t="s">
        <v>40</v>
      </c>
      <c r="M436">
        <v>40</v>
      </c>
      <c r="N436">
        <v>188</v>
      </c>
      <c r="O436" t="s">
        <v>60</v>
      </c>
      <c r="P436" t="s">
        <v>74</v>
      </c>
      <c r="Q436">
        <v>315</v>
      </c>
      <c r="R436" t="s">
        <v>67</v>
      </c>
      <c r="S436">
        <v>7.99</v>
      </c>
    </row>
    <row r="437" spans="1:19" x14ac:dyDescent="0.3">
      <c r="A437">
        <f>'Raw Data'!D437-'Raw Data'!C437</f>
        <v>548</v>
      </c>
      <c r="B437" s="2" t="str">
        <f>_xlfn.IFS('Raw Data'!E437&gt;10,"Premium",'Raw Data'!E437&lt;10,"Basic")</f>
        <v>Basic</v>
      </c>
      <c r="C437">
        <v>7.99</v>
      </c>
      <c r="D437">
        <v>6527</v>
      </c>
      <c r="E437" t="s">
        <v>79</v>
      </c>
      <c r="F437" t="s">
        <v>68</v>
      </c>
      <c r="G437">
        <v>190</v>
      </c>
      <c r="H437" t="s">
        <v>28</v>
      </c>
      <c r="I437">
        <v>3775</v>
      </c>
      <c r="J437">
        <v>6527</v>
      </c>
      <c r="K437" t="s">
        <v>59</v>
      </c>
      <c r="L437" t="s">
        <v>26</v>
      </c>
      <c r="M437">
        <v>400</v>
      </c>
      <c r="N437">
        <v>151</v>
      </c>
      <c r="O437" t="s">
        <v>68</v>
      </c>
      <c r="P437" t="s">
        <v>59</v>
      </c>
      <c r="Q437">
        <v>190</v>
      </c>
      <c r="R437" t="s">
        <v>34</v>
      </c>
      <c r="S437">
        <v>7.99</v>
      </c>
    </row>
    <row r="438" spans="1:19" x14ac:dyDescent="0.3">
      <c r="A438">
        <f>'Raw Data'!D438-'Raw Data'!C438</f>
        <v>49</v>
      </c>
      <c r="B438" s="2" t="str">
        <f>_xlfn.IFS('Raw Data'!E438&gt;10,"Premium",'Raw Data'!E438&lt;10,"Basic")</f>
        <v>Premium</v>
      </c>
      <c r="C438">
        <v>11.99</v>
      </c>
      <c r="D438">
        <v>9363</v>
      </c>
      <c r="E438" t="s">
        <v>55</v>
      </c>
      <c r="F438" t="s">
        <v>60</v>
      </c>
      <c r="G438">
        <v>190</v>
      </c>
      <c r="H438" t="s">
        <v>28</v>
      </c>
      <c r="I438">
        <v>92</v>
      </c>
      <c r="J438">
        <v>9363</v>
      </c>
      <c r="K438" t="s">
        <v>63</v>
      </c>
      <c r="L438" t="s">
        <v>26</v>
      </c>
      <c r="M438">
        <v>359</v>
      </c>
      <c r="N438">
        <v>192</v>
      </c>
      <c r="O438" t="s">
        <v>60</v>
      </c>
      <c r="P438" t="s">
        <v>63</v>
      </c>
      <c r="Q438">
        <v>190</v>
      </c>
      <c r="R438" t="s">
        <v>56</v>
      </c>
      <c r="S438">
        <v>11.99</v>
      </c>
    </row>
    <row r="439" spans="1:19" x14ac:dyDescent="0.3">
      <c r="A439">
        <f>'Raw Data'!D439-'Raw Data'!C439</f>
        <v>71</v>
      </c>
      <c r="B439" s="2" t="str">
        <f>_xlfn.IFS('Raw Data'!E439&gt;10,"Premium",'Raw Data'!E439&lt;10,"Basic")</f>
        <v>Premium</v>
      </c>
      <c r="C439">
        <v>15.99</v>
      </c>
      <c r="D439">
        <v>5019</v>
      </c>
      <c r="E439" t="s">
        <v>46</v>
      </c>
      <c r="F439" t="s">
        <v>36</v>
      </c>
      <c r="G439">
        <v>408</v>
      </c>
      <c r="H439" t="s">
        <v>28</v>
      </c>
      <c r="I439">
        <v>72</v>
      </c>
      <c r="J439">
        <v>5019</v>
      </c>
      <c r="K439" t="s">
        <v>63</v>
      </c>
      <c r="L439" t="s">
        <v>49</v>
      </c>
      <c r="M439">
        <v>711</v>
      </c>
      <c r="N439">
        <v>23</v>
      </c>
      <c r="O439" t="s">
        <v>36</v>
      </c>
      <c r="P439" t="s">
        <v>63</v>
      </c>
      <c r="Q439">
        <v>408</v>
      </c>
      <c r="R439" t="s">
        <v>67</v>
      </c>
      <c r="S439">
        <v>15.99</v>
      </c>
    </row>
    <row r="440" spans="1:19" x14ac:dyDescent="0.3">
      <c r="A440">
        <f>'Raw Data'!D440-'Raw Data'!C440</f>
        <v>284</v>
      </c>
      <c r="B440" s="2" t="str">
        <f>_xlfn.IFS('Raw Data'!E440&gt;10,"Premium",'Raw Data'!E440&lt;10,"Basic")</f>
        <v>Premium</v>
      </c>
      <c r="C440">
        <v>15.99</v>
      </c>
      <c r="D440">
        <v>9258</v>
      </c>
      <c r="E440" t="s">
        <v>46</v>
      </c>
      <c r="F440" t="s">
        <v>52</v>
      </c>
      <c r="G440">
        <v>227</v>
      </c>
      <c r="H440" t="s">
        <v>28</v>
      </c>
      <c r="I440">
        <v>2488</v>
      </c>
      <c r="J440">
        <v>9258</v>
      </c>
      <c r="K440" t="s">
        <v>63</v>
      </c>
      <c r="L440" t="s">
        <v>26</v>
      </c>
      <c r="M440">
        <v>581</v>
      </c>
      <c r="N440">
        <v>146</v>
      </c>
      <c r="O440" t="s">
        <v>52</v>
      </c>
      <c r="P440" t="s">
        <v>63</v>
      </c>
      <c r="Q440">
        <v>227</v>
      </c>
      <c r="R440" t="s">
        <v>50</v>
      </c>
      <c r="S440">
        <v>15.99</v>
      </c>
    </row>
    <row r="441" spans="1:19" x14ac:dyDescent="0.3">
      <c r="A441">
        <f>'Raw Data'!D441-'Raw Data'!C441</f>
        <v>347</v>
      </c>
      <c r="B441" s="2" t="str">
        <f>_xlfn.IFS('Raw Data'!E441&gt;10,"Premium",'Raw Data'!E441&lt;10,"Basic")</f>
        <v>Premium</v>
      </c>
      <c r="C441">
        <v>11.99</v>
      </c>
      <c r="D441">
        <v>7512</v>
      </c>
      <c r="E441" t="s">
        <v>62</v>
      </c>
      <c r="F441" t="s">
        <v>68</v>
      </c>
      <c r="G441">
        <v>479</v>
      </c>
      <c r="H441" t="s">
        <v>28</v>
      </c>
      <c r="I441">
        <v>2666</v>
      </c>
      <c r="J441">
        <v>7512</v>
      </c>
      <c r="K441" t="s">
        <v>48</v>
      </c>
      <c r="L441" t="s">
        <v>40</v>
      </c>
      <c r="M441">
        <v>923</v>
      </c>
      <c r="N441">
        <v>182</v>
      </c>
      <c r="O441" t="s">
        <v>68</v>
      </c>
      <c r="P441" t="s">
        <v>48</v>
      </c>
      <c r="Q441">
        <v>479</v>
      </c>
      <c r="R441" t="s">
        <v>27</v>
      </c>
      <c r="S441">
        <v>11.99</v>
      </c>
    </row>
    <row r="442" spans="1:19" x14ac:dyDescent="0.3">
      <c r="A442">
        <f>'Raw Data'!D442-'Raw Data'!C442</f>
        <v>583</v>
      </c>
      <c r="B442" s="2" t="str">
        <f>_xlfn.IFS('Raw Data'!E442&gt;10,"Premium",'Raw Data'!E442&lt;10,"Basic")</f>
        <v>Premium</v>
      </c>
      <c r="C442">
        <v>11.99</v>
      </c>
      <c r="D442">
        <v>8195</v>
      </c>
      <c r="E442" t="s">
        <v>33</v>
      </c>
      <c r="F442" t="s">
        <v>68</v>
      </c>
      <c r="G442">
        <v>415</v>
      </c>
      <c r="H442" t="s">
        <v>28</v>
      </c>
      <c r="I442">
        <v>4221</v>
      </c>
      <c r="J442">
        <v>8195</v>
      </c>
      <c r="K442" t="s">
        <v>63</v>
      </c>
      <c r="L442" t="s">
        <v>40</v>
      </c>
      <c r="M442">
        <v>381</v>
      </c>
      <c r="N442">
        <v>78</v>
      </c>
      <c r="O442" t="s">
        <v>68</v>
      </c>
      <c r="P442" t="s">
        <v>63</v>
      </c>
      <c r="Q442">
        <v>415</v>
      </c>
      <c r="R442" t="s">
        <v>41</v>
      </c>
      <c r="S442">
        <v>11.99</v>
      </c>
    </row>
    <row r="443" spans="1:19" x14ac:dyDescent="0.3">
      <c r="A443">
        <f>'Raw Data'!D443-'Raw Data'!C443</f>
        <v>716</v>
      </c>
      <c r="B443" s="2" t="str">
        <f>_xlfn.IFS('Raw Data'!E443&gt;10,"Premium",'Raw Data'!E443&lt;10,"Basic")</f>
        <v>Premium</v>
      </c>
      <c r="C443">
        <v>11.99</v>
      </c>
      <c r="D443">
        <v>8242</v>
      </c>
      <c r="E443" t="s">
        <v>79</v>
      </c>
      <c r="F443" t="s">
        <v>68</v>
      </c>
      <c r="G443">
        <v>204</v>
      </c>
      <c r="H443" t="s">
        <v>28</v>
      </c>
      <c r="I443">
        <v>4569</v>
      </c>
      <c r="J443">
        <v>8242</v>
      </c>
      <c r="K443" t="s">
        <v>39</v>
      </c>
      <c r="L443" t="s">
        <v>26</v>
      </c>
      <c r="M443">
        <v>706</v>
      </c>
      <c r="N443">
        <v>153</v>
      </c>
      <c r="O443" t="s">
        <v>68</v>
      </c>
      <c r="P443" t="s">
        <v>39</v>
      </c>
      <c r="Q443">
        <v>204</v>
      </c>
      <c r="R443" t="s">
        <v>27</v>
      </c>
      <c r="S443">
        <v>11.99</v>
      </c>
    </row>
    <row r="444" spans="1:19" x14ac:dyDescent="0.3">
      <c r="A444">
        <f>'Raw Data'!D444-'Raw Data'!C444</f>
        <v>404</v>
      </c>
      <c r="B444" s="2" t="str">
        <f>_xlfn.IFS('Raw Data'!E444&gt;10,"Premium",'Raw Data'!E444&lt;10,"Basic")</f>
        <v>Premium</v>
      </c>
      <c r="C444">
        <v>15.99</v>
      </c>
      <c r="D444">
        <v>2220</v>
      </c>
      <c r="E444" t="s">
        <v>62</v>
      </c>
      <c r="F444" t="s">
        <v>68</v>
      </c>
      <c r="G444">
        <v>205</v>
      </c>
      <c r="H444" t="s">
        <v>28</v>
      </c>
      <c r="I444">
        <v>2695</v>
      </c>
      <c r="J444">
        <v>2220</v>
      </c>
      <c r="K444" t="s">
        <v>63</v>
      </c>
      <c r="L444" t="s">
        <v>26</v>
      </c>
      <c r="M444">
        <v>792</v>
      </c>
      <c r="N444">
        <v>103</v>
      </c>
      <c r="O444" t="s">
        <v>68</v>
      </c>
      <c r="P444" t="s">
        <v>63</v>
      </c>
      <c r="Q444">
        <v>205</v>
      </c>
      <c r="R444" t="s">
        <v>41</v>
      </c>
      <c r="S444">
        <v>15.99</v>
      </c>
    </row>
    <row r="445" spans="1:19" x14ac:dyDescent="0.3">
      <c r="A445">
        <f>'Raw Data'!D445-'Raw Data'!C445</f>
        <v>56</v>
      </c>
      <c r="B445" s="2" t="str">
        <f>_xlfn.IFS('Raw Data'!E445&gt;10,"Premium",'Raw Data'!E445&lt;10,"Basic")</f>
        <v>Premium</v>
      </c>
      <c r="C445">
        <v>11.99</v>
      </c>
      <c r="D445">
        <v>9308</v>
      </c>
      <c r="E445" t="s">
        <v>46</v>
      </c>
      <c r="F445" t="s">
        <v>52</v>
      </c>
      <c r="G445">
        <v>64</v>
      </c>
      <c r="H445" t="s">
        <v>28</v>
      </c>
      <c r="I445">
        <v>48</v>
      </c>
      <c r="J445">
        <v>9308</v>
      </c>
      <c r="K445" t="s">
        <v>25</v>
      </c>
      <c r="L445" t="s">
        <v>26</v>
      </c>
      <c r="M445">
        <v>221</v>
      </c>
      <c r="N445">
        <v>4</v>
      </c>
      <c r="O445" t="s">
        <v>52</v>
      </c>
      <c r="P445" t="s">
        <v>25</v>
      </c>
      <c r="Q445">
        <v>64</v>
      </c>
      <c r="R445" t="s">
        <v>41</v>
      </c>
      <c r="S445">
        <v>11.99</v>
      </c>
    </row>
    <row r="446" spans="1:19" x14ac:dyDescent="0.3">
      <c r="A446">
        <f>'Raw Data'!D446-'Raw Data'!C446</f>
        <v>681</v>
      </c>
      <c r="B446" s="2" t="str">
        <f>_xlfn.IFS('Raw Data'!E446&gt;10,"Premium",'Raw Data'!E446&lt;10,"Basic")</f>
        <v>Basic</v>
      </c>
      <c r="C446">
        <v>7.99</v>
      </c>
      <c r="D446">
        <v>3437</v>
      </c>
      <c r="E446" t="s">
        <v>43</v>
      </c>
      <c r="F446" t="s">
        <v>30</v>
      </c>
      <c r="G446">
        <v>281</v>
      </c>
      <c r="H446" t="s">
        <v>28</v>
      </c>
      <c r="I446">
        <v>1526</v>
      </c>
      <c r="J446">
        <v>3437</v>
      </c>
      <c r="K446" t="s">
        <v>59</v>
      </c>
      <c r="L446" t="s">
        <v>40</v>
      </c>
      <c r="M446">
        <v>770</v>
      </c>
      <c r="N446">
        <v>74</v>
      </c>
      <c r="O446" t="s">
        <v>30</v>
      </c>
      <c r="P446" t="s">
        <v>59</v>
      </c>
      <c r="Q446">
        <v>281</v>
      </c>
      <c r="R446" t="s">
        <v>34</v>
      </c>
      <c r="S446">
        <v>7.99</v>
      </c>
    </row>
    <row r="447" spans="1:19" x14ac:dyDescent="0.3">
      <c r="A447">
        <f>'Raw Data'!D447-'Raw Data'!C447</f>
        <v>680</v>
      </c>
      <c r="B447" s="2" t="str">
        <f>_xlfn.IFS('Raw Data'!E447&gt;10,"Premium",'Raw Data'!E447&lt;10,"Basic")</f>
        <v>Premium</v>
      </c>
      <c r="C447">
        <v>11.99</v>
      </c>
      <c r="D447">
        <v>8305</v>
      </c>
      <c r="E447" t="s">
        <v>62</v>
      </c>
      <c r="F447" t="s">
        <v>30</v>
      </c>
      <c r="G447">
        <v>78</v>
      </c>
      <c r="H447" t="s">
        <v>28</v>
      </c>
      <c r="I447">
        <v>4934</v>
      </c>
      <c r="J447">
        <v>8305</v>
      </c>
      <c r="K447" t="s">
        <v>74</v>
      </c>
      <c r="L447" t="s">
        <v>40</v>
      </c>
      <c r="M447">
        <v>914</v>
      </c>
      <c r="N447">
        <v>22</v>
      </c>
      <c r="O447" t="s">
        <v>30</v>
      </c>
      <c r="P447" t="s">
        <v>74</v>
      </c>
      <c r="Q447">
        <v>78</v>
      </c>
      <c r="R447" t="s">
        <v>34</v>
      </c>
      <c r="S447">
        <v>11.99</v>
      </c>
    </row>
    <row r="448" spans="1:19" x14ac:dyDescent="0.3">
      <c r="A448">
        <f>'Raw Data'!D448-'Raw Data'!C448</f>
        <v>297</v>
      </c>
      <c r="B448" s="2" t="str">
        <f>_xlfn.IFS('Raw Data'!E448&gt;10,"Premium",'Raw Data'!E448&lt;10,"Basic")</f>
        <v>Basic</v>
      </c>
      <c r="C448">
        <v>7.99</v>
      </c>
      <c r="D448">
        <v>6773</v>
      </c>
      <c r="E448" t="s">
        <v>33</v>
      </c>
      <c r="F448" t="s">
        <v>60</v>
      </c>
      <c r="G448">
        <v>343</v>
      </c>
      <c r="H448" t="s">
        <v>28</v>
      </c>
      <c r="I448">
        <v>628</v>
      </c>
      <c r="J448">
        <v>6773</v>
      </c>
      <c r="K448" t="s">
        <v>25</v>
      </c>
      <c r="L448" t="s">
        <v>26</v>
      </c>
      <c r="M448">
        <v>492</v>
      </c>
      <c r="N448">
        <v>187</v>
      </c>
      <c r="O448" t="s">
        <v>60</v>
      </c>
      <c r="P448" t="s">
        <v>25</v>
      </c>
      <c r="Q448">
        <v>343</v>
      </c>
      <c r="R448" t="s">
        <v>67</v>
      </c>
      <c r="S448">
        <v>7.99</v>
      </c>
    </row>
    <row r="449" spans="1:19" x14ac:dyDescent="0.3">
      <c r="A449">
        <f>'Raw Data'!D449-'Raw Data'!C449</f>
        <v>21</v>
      </c>
      <c r="B449" s="2" t="str">
        <f>_xlfn.IFS('Raw Data'!E449&gt;10,"Premium",'Raw Data'!E449&lt;10,"Basic")</f>
        <v>Premium</v>
      </c>
      <c r="C449">
        <v>11.99</v>
      </c>
      <c r="D449">
        <v>3010</v>
      </c>
      <c r="E449" t="s">
        <v>43</v>
      </c>
      <c r="F449" t="s">
        <v>36</v>
      </c>
      <c r="G449">
        <v>318</v>
      </c>
      <c r="H449" t="s">
        <v>28</v>
      </c>
      <c r="I449">
        <v>167</v>
      </c>
      <c r="J449">
        <v>3010</v>
      </c>
      <c r="K449" t="s">
        <v>59</v>
      </c>
      <c r="L449" t="s">
        <v>26</v>
      </c>
      <c r="M449">
        <v>925</v>
      </c>
      <c r="N449">
        <v>191</v>
      </c>
      <c r="O449" t="s">
        <v>36</v>
      </c>
      <c r="P449" t="s">
        <v>59</v>
      </c>
      <c r="Q449">
        <v>318</v>
      </c>
      <c r="R449" t="s">
        <v>41</v>
      </c>
      <c r="S449">
        <v>11.99</v>
      </c>
    </row>
    <row r="450" spans="1:19" x14ac:dyDescent="0.3">
      <c r="A450">
        <f>'Raw Data'!D450-'Raw Data'!C450</f>
        <v>115</v>
      </c>
      <c r="B450" s="2" t="str">
        <f>_xlfn.IFS('Raw Data'!E450&gt;10,"Premium",'Raw Data'!E450&lt;10,"Basic")</f>
        <v>Basic</v>
      </c>
      <c r="C450">
        <v>7.99</v>
      </c>
      <c r="D450">
        <v>3622</v>
      </c>
      <c r="E450" t="s">
        <v>33</v>
      </c>
      <c r="F450" t="s">
        <v>36</v>
      </c>
      <c r="G450">
        <v>444</v>
      </c>
      <c r="H450" t="s">
        <v>28</v>
      </c>
      <c r="I450">
        <v>1309</v>
      </c>
      <c r="J450">
        <v>3622</v>
      </c>
      <c r="K450" t="s">
        <v>74</v>
      </c>
      <c r="L450" t="s">
        <v>64</v>
      </c>
      <c r="M450">
        <v>183</v>
      </c>
      <c r="N450">
        <v>195</v>
      </c>
      <c r="O450" t="s">
        <v>36</v>
      </c>
      <c r="P450" t="s">
        <v>74</v>
      </c>
      <c r="Q450">
        <v>444</v>
      </c>
      <c r="R450" t="s">
        <v>41</v>
      </c>
      <c r="S450">
        <v>7.99</v>
      </c>
    </row>
    <row r="451" spans="1:19" x14ac:dyDescent="0.3">
      <c r="A451">
        <f>'Raw Data'!D451-'Raw Data'!C451</f>
        <v>73</v>
      </c>
      <c r="B451" s="2" t="str">
        <f>_xlfn.IFS('Raw Data'!E451&gt;10,"Premium",'Raw Data'!E451&lt;10,"Basic")</f>
        <v>Premium</v>
      </c>
      <c r="C451">
        <v>11.99</v>
      </c>
      <c r="D451">
        <v>6006</v>
      </c>
      <c r="E451" t="s">
        <v>55</v>
      </c>
      <c r="F451" t="s">
        <v>60</v>
      </c>
      <c r="G451">
        <v>171</v>
      </c>
      <c r="H451" t="s">
        <v>28</v>
      </c>
      <c r="I451">
        <v>710</v>
      </c>
      <c r="J451">
        <v>6006</v>
      </c>
      <c r="K451" t="s">
        <v>74</v>
      </c>
      <c r="L451" t="s">
        <v>64</v>
      </c>
      <c r="M451">
        <v>889</v>
      </c>
      <c r="N451">
        <v>54</v>
      </c>
      <c r="O451" t="s">
        <v>60</v>
      </c>
      <c r="P451" t="s">
        <v>74</v>
      </c>
      <c r="Q451">
        <v>171</v>
      </c>
      <c r="R451" t="s">
        <v>34</v>
      </c>
      <c r="S451">
        <v>11.99</v>
      </c>
    </row>
    <row r="452" spans="1:19" x14ac:dyDescent="0.3">
      <c r="A452">
        <f>'Raw Data'!D452-'Raw Data'!C452</f>
        <v>617</v>
      </c>
      <c r="B452" s="2" t="str">
        <f>_xlfn.IFS('Raw Data'!E452&gt;10,"Premium",'Raw Data'!E452&lt;10,"Basic")</f>
        <v>Premium</v>
      </c>
      <c r="C452">
        <v>15.99</v>
      </c>
      <c r="D452">
        <v>1338</v>
      </c>
      <c r="E452" t="s">
        <v>79</v>
      </c>
      <c r="F452" t="s">
        <v>68</v>
      </c>
      <c r="G452">
        <v>309</v>
      </c>
      <c r="H452" t="s">
        <v>28</v>
      </c>
      <c r="I452">
        <v>106</v>
      </c>
      <c r="J452">
        <v>1338</v>
      </c>
      <c r="K452" t="s">
        <v>59</v>
      </c>
      <c r="L452" t="s">
        <v>64</v>
      </c>
      <c r="M452">
        <v>174</v>
      </c>
      <c r="N452">
        <v>172</v>
      </c>
      <c r="O452" t="s">
        <v>68</v>
      </c>
      <c r="P452" t="s">
        <v>59</v>
      </c>
      <c r="Q452">
        <v>309</v>
      </c>
      <c r="R452" t="s">
        <v>56</v>
      </c>
      <c r="S452">
        <v>15.99</v>
      </c>
    </row>
    <row r="453" spans="1:19" x14ac:dyDescent="0.3">
      <c r="A453">
        <f>'Raw Data'!D453-'Raw Data'!C453</f>
        <v>569</v>
      </c>
      <c r="B453" s="2" t="str">
        <f>_xlfn.IFS('Raw Data'!E453&gt;10,"Premium",'Raw Data'!E453&lt;10,"Basic")</f>
        <v>Premium</v>
      </c>
      <c r="C453">
        <v>15.99</v>
      </c>
      <c r="D453">
        <v>6722</v>
      </c>
      <c r="E453" t="s">
        <v>62</v>
      </c>
      <c r="F453" t="s">
        <v>36</v>
      </c>
      <c r="G453">
        <v>447</v>
      </c>
      <c r="H453" t="s">
        <v>28</v>
      </c>
      <c r="I453">
        <v>2652</v>
      </c>
      <c r="J453">
        <v>6722</v>
      </c>
      <c r="K453" t="s">
        <v>48</v>
      </c>
      <c r="L453" t="s">
        <v>40</v>
      </c>
      <c r="M453">
        <v>709</v>
      </c>
      <c r="N453">
        <v>93</v>
      </c>
      <c r="O453" t="s">
        <v>36</v>
      </c>
      <c r="P453" t="s">
        <v>48</v>
      </c>
      <c r="Q453">
        <v>447</v>
      </c>
      <c r="R453" t="s">
        <v>34</v>
      </c>
      <c r="S453">
        <v>15.99</v>
      </c>
    </row>
    <row r="454" spans="1:19" x14ac:dyDescent="0.3">
      <c r="A454">
        <f>'Raw Data'!D454-'Raw Data'!C454</f>
        <v>144</v>
      </c>
      <c r="B454" s="2" t="str">
        <f>_xlfn.IFS('Raw Data'!E454&gt;10,"Premium",'Raw Data'!E454&lt;10,"Basic")</f>
        <v>Basic</v>
      </c>
      <c r="C454">
        <v>7.99</v>
      </c>
      <c r="D454">
        <v>5871</v>
      </c>
      <c r="E454" t="s">
        <v>79</v>
      </c>
      <c r="F454" t="s">
        <v>68</v>
      </c>
      <c r="G454">
        <v>120</v>
      </c>
      <c r="H454" t="s">
        <v>28</v>
      </c>
      <c r="I454">
        <v>4879</v>
      </c>
      <c r="J454">
        <v>5871</v>
      </c>
      <c r="K454" t="s">
        <v>39</v>
      </c>
      <c r="L454" t="s">
        <v>26</v>
      </c>
      <c r="M454">
        <v>783</v>
      </c>
      <c r="N454">
        <v>81</v>
      </c>
      <c r="O454" t="s">
        <v>68</v>
      </c>
      <c r="P454" t="s">
        <v>39</v>
      </c>
      <c r="Q454">
        <v>120</v>
      </c>
      <c r="R454" t="s">
        <v>41</v>
      </c>
      <c r="S454">
        <v>7.99</v>
      </c>
    </row>
    <row r="455" spans="1:19" x14ac:dyDescent="0.3">
      <c r="A455">
        <f>'Raw Data'!D455-'Raw Data'!C455</f>
        <v>395</v>
      </c>
      <c r="B455" s="2" t="str">
        <f>_xlfn.IFS('Raw Data'!E455&gt;10,"Premium",'Raw Data'!E455&lt;10,"Basic")</f>
        <v>Premium</v>
      </c>
      <c r="C455">
        <v>15.99</v>
      </c>
      <c r="D455">
        <v>9290</v>
      </c>
      <c r="E455" t="s">
        <v>24</v>
      </c>
      <c r="F455" t="s">
        <v>30</v>
      </c>
      <c r="G455">
        <v>168</v>
      </c>
      <c r="H455" t="s">
        <v>28</v>
      </c>
      <c r="I455">
        <v>1426</v>
      </c>
      <c r="J455">
        <v>9290</v>
      </c>
      <c r="K455" t="s">
        <v>25</v>
      </c>
      <c r="L455" t="s">
        <v>40</v>
      </c>
      <c r="M455">
        <v>304</v>
      </c>
      <c r="N455">
        <v>196</v>
      </c>
      <c r="O455" t="s">
        <v>30</v>
      </c>
      <c r="P455" t="s">
        <v>25</v>
      </c>
      <c r="Q455">
        <v>168</v>
      </c>
      <c r="R455" t="s">
        <v>50</v>
      </c>
      <c r="S455">
        <v>15.99</v>
      </c>
    </row>
    <row r="456" spans="1:19" x14ac:dyDescent="0.3">
      <c r="A456">
        <f>'Raw Data'!D456-'Raw Data'!C456</f>
        <v>209</v>
      </c>
      <c r="B456" s="2" t="str">
        <f>_xlfn.IFS('Raw Data'!E456&gt;10,"Premium",'Raw Data'!E456&lt;10,"Basic")</f>
        <v>Basic</v>
      </c>
      <c r="C456">
        <v>7.99</v>
      </c>
      <c r="D456">
        <v>8567</v>
      </c>
      <c r="E456" t="s">
        <v>43</v>
      </c>
      <c r="F456" t="s">
        <v>52</v>
      </c>
      <c r="G456">
        <v>203</v>
      </c>
      <c r="H456" t="s">
        <v>28</v>
      </c>
      <c r="I456">
        <v>1504</v>
      </c>
      <c r="J456">
        <v>8567</v>
      </c>
      <c r="K456" t="s">
        <v>59</v>
      </c>
      <c r="L456" t="s">
        <v>64</v>
      </c>
      <c r="M456">
        <v>738</v>
      </c>
      <c r="N456">
        <v>96</v>
      </c>
      <c r="O456" t="s">
        <v>52</v>
      </c>
      <c r="P456" t="s">
        <v>59</v>
      </c>
      <c r="Q456">
        <v>203</v>
      </c>
      <c r="R456" t="s">
        <v>67</v>
      </c>
      <c r="S456">
        <v>7.99</v>
      </c>
    </row>
    <row r="457" spans="1:19" x14ac:dyDescent="0.3">
      <c r="A457">
        <f>'Raw Data'!D457-'Raw Data'!C457</f>
        <v>353</v>
      </c>
      <c r="B457" s="2" t="str">
        <f>_xlfn.IFS('Raw Data'!E457&gt;10,"Premium",'Raw Data'!E457&lt;10,"Basic")</f>
        <v>Premium</v>
      </c>
      <c r="C457">
        <v>11.99</v>
      </c>
      <c r="D457">
        <v>5253</v>
      </c>
      <c r="E457" t="s">
        <v>62</v>
      </c>
      <c r="F457" t="s">
        <v>30</v>
      </c>
      <c r="G457">
        <v>436</v>
      </c>
      <c r="H457" t="s">
        <v>28</v>
      </c>
      <c r="I457">
        <v>1518</v>
      </c>
      <c r="J457">
        <v>5253</v>
      </c>
      <c r="K457" t="s">
        <v>59</v>
      </c>
      <c r="L457" t="s">
        <v>64</v>
      </c>
      <c r="M457">
        <v>228</v>
      </c>
      <c r="N457">
        <v>110</v>
      </c>
      <c r="O457" t="s">
        <v>30</v>
      </c>
      <c r="P457" t="s">
        <v>59</v>
      </c>
      <c r="Q457">
        <v>436</v>
      </c>
      <c r="R457" t="s">
        <v>27</v>
      </c>
      <c r="S457">
        <v>11.99</v>
      </c>
    </row>
    <row r="458" spans="1:19" x14ac:dyDescent="0.3">
      <c r="A458">
        <f>'Raw Data'!D458-'Raw Data'!C458</f>
        <v>271</v>
      </c>
      <c r="B458" s="2" t="str">
        <f>_xlfn.IFS('Raw Data'!E458&gt;10,"Premium",'Raw Data'!E458&lt;10,"Basic")</f>
        <v>Premium</v>
      </c>
      <c r="C458">
        <v>11.99</v>
      </c>
      <c r="D458">
        <v>8172</v>
      </c>
      <c r="E458" t="s">
        <v>79</v>
      </c>
      <c r="F458" t="s">
        <v>60</v>
      </c>
      <c r="G458">
        <v>195</v>
      </c>
      <c r="H458" t="s">
        <v>28</v>
      </c>
      <c r="I458">
        <v>708</v>
      </c>
      <c r="J458">
        <v>8172</v>
      </c>
      <c r="K458" t="s">
        <v>39</v>
      </c>
      <c r="L458" t="s">
        <v>49</v>
      </c>
      <c r="M458">
        <v>997</v>
      </c>
      <c r="N458">
        <v>107</v>
      </c>
      <c r="O458" t="s">
        <v>60</v>
      </c>
      <c r="P458" t="s">
        <v>39</v>
      </c>
      <c r="Q458">
        <v>195</v>
      </c>
      <c r="R458" t="s">
        <v>67</v>
      </c>
      <c r="S458">
        <v>11.99</v>
      </c>
    </row>
    <row r="459" spans="1:19" x14ac:dyDescent="0.3">
      <c r="A459">
        <f>'Raw Data'!D459-'Raw Data'!C459</f>
        <v>360</v>
      </c>
      <c r="B459" s="2" t="str">
        <f>_xlfn.IFS('Raw Data'!E459&gt;10,"Premium",'Raw Data'!E459&lt;10,"Basic")</f>
        <v>Basic</v>
      </c>
      <c r="C459">
        <v>7.99</v>
      </c>
      <c r="D459">
        <v>2154</v>
      </c>
      <c r="E459" t="s">
        <v>33</v>
      </c>
      <c r="F459" t="s">
        <v>30</v>
      </c>
      <c r="G459">
        <v>454</v>
      </c>
      <c r="H459" t="s">
        <v>28</v>
      </c>
      <c r="I459">
        <v>4651</v>
      </c>
      <c r="J459">
        <v>2154</v>
      </c>
      <c r="K459" t="s">
        <v>44</v>
      </c>
      <c r="L459" t="s">
        <v>49</v>
      </c>
      <c r="M459">
        <v>722</v>
      </c>
      <c r="N459">
        <v>98</v>
      </c>
      <c r="O459" t="s">
        <v>30</v>
      </c>
      <c r="P459" t="s">
        <v>44</v>
      </c>
      <c r="Q459">
        <v>454</v>
      </c>
      <c r="R459" t="s">
        <v>41</v>
      </c>
      <c r="S459">
        <v>7.99</v>
      </c>
    </row>
    <row r="460" spans="1:19" x14ac:dyDescent="0.3">
      <c r="A460">
        <f>'Raw Data'!D460-'Raw Data'!C460</f>
        <v>456</v>
      </c>
      <c r="B460" s="2" t="str">
        <f>_xlfn.IFS('Raw Data'!E460&gt;10,"Premium",'Raw Data'!E460&lt;10,"Basic")</f>
        <v>Premium</v>
      </c>
      <c r="C460">
        <v>15.99</v>
      </c>
      <c r="D460">
        <v>5013</v>
      </c>
      <c r="E460" t="s">
        <v>33</v>
      </c>
      <c r="F460" t="s">
        <v>68</v>
      </c>
      <c r="G460">
        <v>187</v>
      </c>
      <c r="H460" t="s">
        <v>28</v>
      </c>
      <c r="I460">
        <v>4397</v>
      </c>
      <c r="J460">
        <v>5013</v>
      </c>
      <c r="K460" t="s">
        <v>44</v>
      </c>
      <c r="L460" t="s">
        <v>26</v>
      </c>
      <c r="M460">
        <v>316</v>
      </c>
      <c r="N460">
        <v>10</v>
      </c>
      <c r="O460" t="s">
        <v>68</v>
      </c>
      <c r="P460" t="s">
        <v>44</v>
      </c>
      <c r="Q460">
        <v>187</v>
      </c>
      <c r="R460" t="s">
        <v>56</v>
      </c>
      <c r="S460">
        <v>15.99</v>
      </c>
    </row>
    <row r="461" spans="1:19" x14ac:dyDescent="0.3">
      <c r="A461">
        <f>'Raw Data'!D461-'Raw Data'!C461</f>
        <v>55</v>
      </c>
      <c r="B461" s="2" t="str">
        <f>_xlfn.IFS('Raw Data'!E461&gt;10,"Premium",'Raw Data'!E461&lt;10,"Basic")</f>
        <v>Basic</v>
      </c>
      <c r="C461">
        <v>7.99</v>
      </c>
      <c r="D461">
        <v>4211</v>
      </c>
      <c r="E461" t="s">
        <v>79</v>
      </c>
      <c r="F461" t="s">
        <v>52</v>
      </c>
      <c r="G461">
        <v>277</v>
      </c>
      <c r="H461" t="s">
        <v>28</v>
      </c>
      <c r="I461">
        <v>1360</v>
      </c>
      <c r="J461">
        <v>4211</v>
      </c>
      <c r="K461" t="s">
        <v>74</v>
      </c>
      <c r="L461" t="s">
        <v>26</v>
      </c>
      <c r="M461">
        <v>455</v>
      </c>
      <c r="N461">
        <v>120</v>
      </c>
      <c r="O461" t="s">
        <v>52</v>
      </c>
      <c r="P461" t="s">
        <v>74</v>
      </c>
      <c r="Q461">
        <v>277</v>
      </c>
      <c r="R461" t="s">
        <v>50</v>
      </c>
      <c r="S461">
        <v>7.99</v>
      </c>
    </row>
    <row r="462" spans="1:19" x14ac:dyDescent="0.3">
      <c r="A462">
        <f>'Raw Data'!D462-'Raw Data'!C462</f>
        <v>429</v>
      </c>
      <c r="B462" s="2" t="str">
        <f>_xlfn.IFS('Raw Data'!E462&gt;10,"Premium",'Raw Data'!E462&lt;10,"Basic")</f>
        <v>Basic</v>
      </c>
      <c r="C462">
        <v>7.99</v>
      </c>
      <c r="D462">
        <v>4408</v>
      </c>
      <c r="E462" t="s">
        <v>79</v>
      </c>
      <c r="F462" t="s">
        <v>52</v>
      </c>
      <c r="G462">
        <v>257</v>
      </c>
      <c r="H462" t="s">
        <v>28</v>
      </c>
      <c r="I462">
        <v>4155</v>
      </c>
      <c r="J462">
        <v>4408</v>
      </c>
      <c r="K462" t="s">
        <v>44</v>
      </c>
      <c r="L462" t="s">
        <v>49</v>
      </c>
      <c r="M462">
        <v>985</v>
      </c>
      <c r="N462">
        <v>97</v>
      </c>
      <c r="O462" t="s">
        <v>52</v>
      </c>
      <c r="P462" t="s">
        <v>44</v>
      </c>
      <c r="Q462">
        <v>257</v>
      </c>
      <c r="R462" t="s">
        <v>41</v>
      </c>
      <c r="S462">
        <v>7.99</v>
      </c>
    </row>
    <row r="463" spans="1:19" x14ac:dyDescent="0.3">
      <c r="A463">
        <f>'Raw Data'!D463-'Raw Data'!C463</f>
        <v>656</v>
      </c>
      <c r="B463" s="2" t="str">
        <f>_xlfn.IFS('Raw Data'!E463&gt;10,"Premium",'Raw Data'!E463&lt;10,"Basic")</f>
        <v>Premium</v>
      </c>
      <c r="C463">
        <v>11.99</v>
      </c>
      <c r="D463">
        <v>8473</v>
      </c>
      <c r="E463" t="s">
        <v>46</v>
      </c>
      <c r="F463" t="s">
        <v>52</v>
      </c>
      <c r="G463">
        <v>12</v>
      </c>
      <c r="H463" t="s">
        <v>28</v>
      </c>
      <c r="I463">
        <v>1289</v>
      </c>
      <c r="J463">
        <v>8473</v>
      </c>
      <c r="K463" t="s">
        <v>74</v>
      </c>
      <c r="L463" t="s">
        <v>40</v>
      </c>
      <c r="M463">
        <v>718</v>
      </c>
      <c r="N463">
        <v>100</v>
      </c>
      <c r="O463" t="s">
        <v>52</v>
      </c>
      <c r="P463" t="s">
        <v>74</v>
      </c>
      <c r="Q463">
        <v>12</v>
      </c>
      <c r="R463" t="s">
        <v>41</v>
      </c>
      <c r="S463">
        <v>11.99</v>
      </c>
    </row>
    <row r="464" spans="1:19" x14ac:dyDescent="0.3">
      <c r="A464">
        <f>'Raw Data'!D464-'Raw Data'!C464</f>
        <v>684</v>
      </c>
      <c r="B464" s="2" t="str">
        <f>_xlfn.IFS('Raw Data'!E464&gt;10,"Premium",'Raw Data'!E464&lt;10,"Basic")</f>
        <v>Basic</v>
      </c>
      <c r="C464">
        <v>7.99</v>
      </c>
      <c r="D464">
        <v>7510</v>
      </c>
      <c r="E464" t="s">
        <v>79</v>
      </c>
      <c r="F464" t="s">
        <v>30</v>
      </c>
      <c r="G464">
        <v>362</v>
      </c>
      <c r="H464" t="s">
        <v>28</v>
      </c>
      <c r="I464">
        <v>2922</v>
      </c>
      <c r="J464">
        <v>7510</v>
      </c>
      <c r="K464" t="s">
        <v>74</v>
      </c>
      <c r="L464" t="s">
        <v>26</v>
      </c>
      <c r="M464">
        <v>923</v>
      </c>
      <c r="N464">
        <v>57</v>
      </c>
      <c r="O464" t="s">
        <v>30</v>
      </c>
      <c r="P464" t="s">
        <v>74</v>
      </c>
      <c r="Q464">
        <v>362</v>
      </c>
      <c r="R464" t="s">
        <v>34</v>
      </c>
      <c r="S464">
        <v>7.99</v>
      </c>
    </row>
    <row r="465" spans="1:19" x14ac:dyDescent="0.3">
      <c r="A465">
        <f>'Raw Data'!D465-'Raw Data'!C465</f>
        <v>599</v>
      </c>
      <c r="B465" s="2" t="str">
        <f>_xlfn.IFS('Raw Data'!E465&gt;10,"Premium",'Raw Data'!E465&lt;10,"Basic")</f>
        <v>Basic</v>
      </c>
      <c r="C465">
        <v>7.99</v>
      </c>
      <c r="D465">
        <v>5376</v>
      </c>
      <c r="E465" t="s">
        <v>79</v>
      </c>
      <c r="F465" t="s">
        <v>30</v>
      </c>
      <c r="G465">
        <v>89</v>
      </c>
      <c r="H465" t="s">
        <v>28</v>
      </c>
      <c r="I465">
        <v>28</v>
      </c>
      <c r="J465">
        <v>5376</v>
      </c>
      <c r="K465" t="s">
        <v>63</v>
      </c>
      <c r="L465" t="s">
        <v>26</v>
      </c>
      <c r="M465">
        <v>174</v>
      </c>
      <c r="N465">
        <v>178</v>
      </c>
      <c r="O465" t="s">
        <v>30</v>
      </c>
      <c r="P465" t="s">
        <v>63</v>
      </c>
      <c r="Q465">
        <v>89</v>
      </c>
      <c r="R465" t="s">
        <v>67</v>
      </c>
      <c r="S465">
        <v>7.99</v>
      </c>
    </row>
    <row r="466" spans="1:19" x14ac:dyDescent="0.3">
      <c r="A466">
        <f>'Raw Data'!D466-'Raw Data'!C466</f>
        <v>647</v>
      </c>
      <c r="B466" s="2" t="str">
        <f>_xlfn.IFS('Raw Data'!E466&gt;10,"Premium",'Raw Data'!E466&lt;10,"Basic")</f>
        <v>Basic</v>
      </c>
      <c r="C466">
        <v>7.99</v>
      </c>
      <c r="D466">
        <v>8005</v>
      </c>
      <c r="E466" t="s">
        <v>46</v>
      </c>
      <c r="F466" t="s">
        <v>60</v>
      </c>
      <c r="G466">
        <v>123</v>
      </c>
      <c r="H466" t="s">
        <v>28</v>
      </c>
      <c r="I466">
        <v>3083</v>
      </c>
      <c r="J466">
        <v>8005</v>
      </c>
      <c r="K466" t="s">
        <v>44</v>
      </c>
      <c r="L466" t="s">
        <v>26</v>
      </c>
      <c r="M466">
        <v>253</v>
      </c>
      <c r="N466">
        <v>157</v>
      </c>
      <c r="O466" t="s">
        <v>60</v>
      </c>
      <c r="P466" t="s">
        <v>44</v>
      </c>
      <c r="Q466">
        <v>123</v>
      </c>
      <c r="R466" t="s">
        <v>50</v>
      </c>
      <c r="S466">
        <v>7.99</v>
      </c>
    </row>
    <row r="467" spans="1:19" x14ac:dyDescent="0.3">
      <c r="A467">
        <f>'Raw Data'!D467-'Raw Data'!C467</f>
        <v>468</v>
      </c>
      <c r="B467" s="2" t="str">
        <f>_xlfn.IFS('Raw Data'!E467&gt;10,"Premium",'Raw Data'!E467&lt;10,"Basic")</f>
        <v>Premium</v>
      </c>
      <c r="C467">
        <v>15.99</v>
      </c>
      <c r="D467">
        <v>7439</v>
      </c>
      <c r="E467" t="s">
        <v>62</v>
      </c>
      <c r="F467" t="s">
        <v>68</v>
      </c>
      <c r="G467">
        <v>427</v>
      </c>
      <c r="H467" t="s">
        <v>28</v>
      </c>
      <c r="I467">
        <v>547</v>
      </c>
      <c r="J467">
        <v>7439</v>
      </c>
      <c r="K467" t="s">
        <v>25</v>
      </c>
      <c r="L467" t="s">
        <v>26</v>
      </c>
      <c r="M467">
        <v>479</v>
      </c>
      <c r="N467">
        <v>98</v>
      </c>
      <c r="O467" t="s">
        <v>68</v>
      </c>
      <c r="P467" t="s">
        <v>25</v>
      </c>
      <c r="Q467">
        <v>427</v>
      </c>
      <c r="R467" t="s">
        <v>56</v>
      </c>
      <c r="S467">
        <v>15.99</v>
      </c>
    </row>
    <row r="468" spans="1:19" x14ac:dyDescent="0.3">
      <c r="A468">
        <f>'Raw Data'!D468-'Raw Data'!C468</f>
        <v>548</v>
      </c>
      <c r="B468" s="2" t="str">
        <f>_xlfn.IFS('Raw Data'!E468&gt;10,"Premium",'Raw Data'!E468&lt;10,"Basic")</f>
        <v>Premium</v>
      </c>
      <c r="C468">
        <v>15.99</v>
      </c>
      <c r="D468">
        <v>3699</v>
      </c>
      <c r="E468" t="s">
        <v>79</v>
      </c>
      <c r="F468" t="s">
        <v>30</v>
      </c>
      <c r="G468">
        <v>439</v>
      </c>
      <c r="H468" t="s">
        <v>28</v>
      </c>
      <c r="I468">
        <v>239</v>
      </c>
      <c r="J468">
        <v>3699</v>
      </c>
      <c r="K468" t="s">
        <v>74</v>
      </c>
      <c r="L468" t="s">
        <v>64</v>
      </c>
      <c r="M468">
        <v>932</v>
      </c>
      <c r="N468">
        <v>98</v>
      </c>
      <c r="O468" t="s">
        <v>30</v>
      </c>
      <c r="P468" t="s">
        <v>74</v>
      </c>
      <c r="Q468">
        <v>439</v>
      </c>
      <c r="R468" t="s">
        <v>27</v>
      </c>
      <c r="S468">
        <v>15.99</v>
      </c>
    </row>
    <row r="469" spans="1:19" x14ac:dyDescent="0.3">
      <c r="A469">
        <f>'Raw Data'!D469-'Raw Data'!C469</f>
        <v>725</v>
      </c>
      <c r="B469" s="2" t="str">
        <f>_xlfn.IFS('Raw Data'!E469&gt;10,"Premium",'Raw Data'!E469&lt;10,"Basic")</f>
        <v>Premium</v>
      </c>
      <c r="C469">
        <v>15.99</v>
      </c>
      <c r="D469">
        <v>3162</v>
      </c>
      <c r="E469" t="s">
        <v>55</v>
      </c>
      <c r="F469" t="s">
        <v>30</v>
      </c>
      <c r="G469">
        <v>396</v>
      </c>
      <c r="H469" t="s">
        <v>28</v>
      </c>
      <c r="I469">
        <v>3516</v>
      </c>
      <c r="J469">
        <v>3162</v>
      </c>
      <c r="K469" t="s">
        <v>25</v>
      </c>
      <c r="L469" t="s">
        <v>49</v>
      </c>
      <c r="M469">
        <v>175</v>
      </c>
      <c r="N469">
        <v>17</v>
      </c>
      <c r="O469" t="s">
        <v>30</v>
      </c>
      <c r="P469" t="s">
        <v>25</v>
      </c>
      <c r="Q469">
        <v>396</v>
      </c>
      <c r="R469" t="s">
        <v>67</v>
      </c>
      <c r="S469">
        <v>15.99</v>
      </c>
    </row>
    <row r="470" spans="1:19" x14ac:dyDescent="0.3">
      <c r="A470">
        <f>'Raw Data'!D470-'Raw Data'!C470</f>
        <v>605</v>
      </c>
      <c r="B470" s="2" t="str">
        <f>_xlfn.IFS('Raw Data'!E470&gt;10,"Premium",'Raw Data'!E470&lt;10,"Basic")</f>
        <v>Premium</v>
      </c>
      <c r="C470">
        <v>15.99</v>
      </c>
      <c r="D470">
        <v>8798</v>
      </c>
      <c r="E470" t="s">
        <v>55</v>
      </c>
      <c r="F470" t="s">
        <v>36</v>
      </c>
      <c r="G470">
        <v>453</v>
      </c>
      <c r="H470" t="s">
        <v>28</v>
      </c>
      <c r="I470">
        <v>4031</v>
      </c>
      <c r="J470">
        <v>8798</v>
      </c>
      <c r="K470" t="s">
        <v>39</v>
      </c>
      <c r="L470" t="s">
        <v>26</v>
      </c>
      <c r="M470">
        <v>591</v>
      </c>
      <c r="N470">
        <v>169</v>
      </c>
      <c r="O470" t="s">
        <v>36</v>
      </c>
      <c r="P470" t="s">
        <v>39</v>
      </c>
      <c r="Q470">
        <v>453</v>
      </c>
      <c r="R470" t="s">
        <v>56</v>
      </c>
      <c r="S470">
        <v>15.99</v>
      </c>
    </row>
    <row r="471" spans="1:19" x14ac:dyDescent="0.3">
      <c r="A471">
        <f>'Raw Data'!D471-'Raw Data'!C471</f>
        <v>291</v>
      </c>
      <c r="B471" s="2" t="str">
        <f>_xlfn.IFS('Raw Data'!E471&gt;10,"Premium",'Raw Data'!E471&lt;10,"Basic")</f>
        <v>Premium</v>
      </c>
      <c r="C471">
        <v>11.99</v>
      </c>
      <c r="D471">
        <v>6400</v>
      </c>
      <c r="E471" t="s">
        <v>55</v>
      </c>
      <c r="F471" t="s">
        <v>30</v>
      </c>
      <c r="G471">
        <v>356</v>
      </c>
      <c r="H471" t="s">
        <v>28</v>
      </c>
      <c r="I471">
        <v>3408</v>
      </c>
      <c r="J471">
        <v>6400</v>
      </c>
      <c r="K471" t="s">
        <v>25</v>
      </c>
      <c r="L471" t="s">
        <v>49</v>
      </c>
      <c r="M471">
        <v>776</v>
      </c>
      <c r="N471">
        <v>40</v>
      </c>
      <c r="O471" t="s">
        <v>30</v>
      </c>
      <c r="P471" t="s">
        <v>25</v>
      </c>
      <c r="Q471">
        <v>356</v>
      </c>
      <c r="R471" t="s">
        <v>41</v>
      </c>
      <c r="S471">
        <v>11.99</v>
      </c>
    </row>
    <row r="472" spans="1:19" x14ac:dyDescent="0.3">
      <c r="A472">
        <f>'Raw Data'!D472-'Raw Data'!C472</f>
        <v>450</v>
      </c>
      <c r="B472" s="2" t="str">
        <f>_xlfn.IFS('Raw Data'!E472&gt;10,"Premium",'Raw Data'!E472&lt;10,"Basic")</f>
        <v>Premium</v>
      </c>
      <c r="C472">
        <v>15.99</v>
      </c>
      <c r="D472">
        <v>9404</v>
      </c>
      <c r="E472" t="s">
        <v>43</v>
      </c>
      <c r="F472" t="s">
        <v>60</v>
      </c>
      <c r="G472">
        <v>192</v>
      </c>
      <c r="H472" t="s">
        <v>28</v>
      </c>
      <c r="I472">
        <v>3849</v>
      </c>
      <c r="J472">
        <v>9404</v>
      </c>
      <c r="K472" t="s">
        <v>63</v>
      </c>
      <c r="L472" t="s">
        <v>26</v>
      </c>
      <c r="M472">
        <v>229</v>
      </c>
      <c r="N472">
        <v>54</v>
      </c>
      <c r="O472" t="s">
        <v>60</v>
      </c>
      <c r="P472" t="s">
        <v>63</v>
      </c>
      <c r="Q472">
        <v>192</v>
      </c>
      <c r="R472" t="s">
        <v>50</v>
      </c>
      <c r="S472">
        <v>15.99</v>
      </c>
    </row>
    <row r="473" spans="1:19" x14ac:dyDescent="0.3">
      <c r="A473">
        <f>'Raw Data'!D473-'Raw Data'!C473</f>
        <v>155</v>
      </c>
      <c r="B473" s="2" t="str">
        <f>_xlfn.IFS('Raw Data'!E473&gt;10,"Premium",'Raw Data'!E473&lt;10,"Basic")</f>
        <v>Premium</v>
      </c>
      <c r="C473">
        <v>11.99</v>
      </c>
      <c r="D473">
        <v>8151</v>
      </c>
      <c r="E473" t="s">
        <v>79</v>
      </c>
      <c r="F473" t="s">
        <v>30</v>
      </c>
      <c r="G473">
        <v>483</v>
      </c>
      <c r="H473" t="s">
        <v>28</v>
      </c>
      <c r="I473">
        <v>1813</v>
      </c>
      <c r="J473">
        <v>8151</v>
      </c>
      <c r="K473" t="s">
        <v>39</v>
      </c>
      <c r="L473" t="s">
        <v>64</v>
      </c>
      <c r="M473">
        <v>730</v>
      </c>
      <c r="N473">
        <v>98</v>
      </c>
      <c r="O473" t="s">
        <v>30</v>
      </c>
      <c r="P473" t="s">
        <v>39</v>
      </c>
      <c r="Q473">
        <v>483</v>
      </c>
      <c r="R473" t="s">
        <v>41</v>
      </c>
      <c r="S473">
        <v>11.99</v>
      </c>
    </row>
    <row r="474" spans="1:19" x14ac:dyDescent="0.3">
      <c r="A474">
        <f>'Raw Data'!D474-'Raw Data'!C474</f>
        <v>56</v>
      </c>
      <c r="B474" s="2" t="str">
        <f>_xlfn.IFS('Raw Data'!E474&gt;10,"Premium",'Raw Data'!E474&lt;10,"Basic")</f>
        <v>Premium</v>
      </c>
      <c r="C474">
        <v>11.99</v>
      </c>
      <c r="D474">
        <v>7742</v>
      </c>
      <c r="E474" t="s">
        <v>62</v>
      </c>
      <c r="F474" t="s">
        <v>52</v>
      </c>
      <c r="G474">
        <v>17</v>
      </c>
      <c r="H474" t="s">
        <v>28</v>
      </c>
      <c r="I474">
        <v>2084</v>
      </c>
      <c r="J474">
        <v>7742</v>
      </c>
      <c r="K474" t="s">
        <v>25</v>
      </c>
      <c r="L474" t="s">
        <v>26</v>
      </c>
      <c r="M474">
        <v>312</v>
      </c>
      <c r="N474">
        <v>114</v>
      </c>
      <c r="O474" t="s">
        <v>52</v>
      </c>
      <c r="P474" t="s">
        <v>25</v>
      </c>
      <c r="Q474">
        <v>17</v>
      </c>
      <c r="R474" t="s">
        <v>34</v>
      </c>
      <c r="S474">
        <v>11.99</v>
      </c>
    </row>
    <row r="475" spans="1:19" x14ac:dyDescent="0.3">
      <c r="A475">
        <f>'Raw Data'!D475-'Raw Data'!C475</f>
        <v>531</v>
      </c>
      <c r="B475" s="2" t="str">
        <f>_xlfn.IFS('Raw Data'!E475&gt;10,"Premium",'Raw Data'!E475&lt;10,"Basic")</f>
        <v>Basic</v>
      </c>
      <c r="C475">
        <v>7.99</v>
      </c>
      <c r="D475">
        <v>4553</v>
      </c>
      <c r="E475" t="s">
        <v>46</v>
      </c>
      <c r="F475" t="s">
        <v>36</v>
      </c>
      <c r="G475">
        <v>272</v>
      </c>
      <c r="H475" t="s">
        <v>28</v>
      </c>
      <c r="I475">
        <v>749</v>
      </c>
      <c r="J475">
        <v>4553</v>
      </c>
      <c r="K475" t="s">
        <v>48</v>
      </c>
      <c r="L475" t="s">
        <v>40</v>
      </c>
      <c r="M475">
        <v>356</v>
      </c>
      <c r="N475">
        <v>126</v>
      </c>
      <c r="O475" t="s">
        <v>36</v>
      </c>
      <c r="P475" t="s">
        <v>48</v>
      </c>
      <c r="Q475">
        <v>272</v>
      </c>
      <c r="R475" t="s">
        <v>41</v>
      </c>
      <c r="S475">
        <v>7.99</v>
      </c>
    </row>
    <row r="476" spans="1:19" x14ac:dyDescent="0.3">
      <c r="A476">
        <f>'Raw Data'!D476-'Raw Data'!C476</f>
        <v>638</v>
      </c>
      <c r="B476" s="2" t="str">
        <f>_xlfn.IFS('Raw Data'!E476&gt;10,"Premium",'Raw Data'!E476&lt;10,"Basic")</f>
        <v>Basic</v>
      </c>
      <c r="C476">
        <v>7.99</v>
      </c>
      <c r="D476">
        <v>6919</v>
      </c>
      <c r="E476" t="s">
        <v>24</v>
      </c>
      <c r="F476" t="s">
        <v>52</v>
      </c>
      <c r="G476">
        <v>195</v>
      </c>
      <c r="H476" t="s">
        <v>28</v>
      </c>
      <c r="I476">
        <v>3157</v>
      </c>
      <c r="J476">
        <v>6919</v>
      </c>
      <c r="K476" t="s">
        <v>39</v>
      </c>
      <c r="L476" t="s">
        <v>26</v>
      </c>
      <c r="M476">
        <v>49</v>
      </c>
      <c r="N476">
        <v>30</v>
      </c>
      <c r="O476" t="s">
        <v>52</v>
      </c>
      <c r="P476" t="s">
        <v>39</v>
      </c>
      <c r="Q476">
        <v>195</v>
      </c>
      <c r="R476" t="s">
        <v>34</v>
      </c>
      <c r="S476">
        <v>7.99</v>
      </c>
    </row>
    <row r="477" spans="1:19" x14ac:dyDescent="0.3">
      <c r="A477">
        <f>'Raw Data'!D477-'Raw Data'!C477</f>
        <v>316</v>
      </c>
      <c r="B477" s="2" t="str">
        <f>_xlfn.IFS('Raw Data'!E477&gt;10,"Premium",'Raw Data'!E477&lt;10,"Basic")</f>
        <v>Premium</v>
      </c>
      <c r="C477">
        <v>11.99</v>
      </c>
      <c r="D477">
        <v>7168</v>
      </c>
      <c r="E477" t="s">
        <v>43</v>
      </c>
      <c r="F477" t="s">
        <v>52</v>
      </c>
      <c r="G477">
        <v>416</v>
      </c>
      <c r="H477" t="s">
        <v>28</v>
      </c>
      <c r="I477">
        <v>173</v>
      </c>
      <c r="J477">
        <v>7168</v>
      </c>
      <c r="K477" t="s">
        <v>74</v>
      </c>
      <c r="L477" t="s">
        <v>26</v>
      </c>
      <c r="M477">
        <v>774</v>
      </c>
      <c r="N477">
        <v>55</v>
      </c>
      <c r="O477" t="s">
        <v>52</v>
      </c>
      <c r="P477" t="s">
        <v>74</v>
      </c>
      <c r="Q477">
        <v>416</v>
      </c>
      <c r="R477" t="s">
        <v>67</v>
      </c>
      <c r="S477">
        <v>11.99</v>
      </c>
    </row>
    <row r="478" spans="1:19" x14ac:dyDescent="0.3">
      <c r="A478">
        <f>'Raw Data'!D478-'Raw Data'!C478</f>
        <v>385</v>
      </c>
      <c r="B478" s="2" t="str">
        <f>_xlfn.IFS('Raw Data'!E478&gt;10,"Premium",'Raw Data'!E478&lt;10,"Basic")</f>
        <v>Premium</v>
      </c>
      <c r="C478">
        <v>15.99</v>
      </c>
      <c r="D478">
        <v>6474</v>
      </c>
      <c r="E478" t="s">
        <v>46</v>
      </c>
      <c r="F478" t="s">
        <v>68</v>
      </c>
      <c r="G478">
        <v>459</v>
      </c>
      <c r="H478" t="s">
        <v>28</v>
      </c>
      <c r="I478">
        <v>2925</v>
      </c>
      <c r="J478">
        <v>6474</v>
      </c>
      <c r="K478" t="s">
        <v>44</v>
      </c>
      <c r="L478" t="s">
        <v>26</v>
      </c>
      <c r="M478">
        <v>961</v>
      </c>
      <c r="N478">
        <v>173</v>
      </c>
      <c r="O478" t="s">
        <v>68</v>
      </c>
      <c r="P478" t="s">
        <v>44</v>
      </c>
      <c r="Q478">
        <v>459</v>
      </c>
      <c r="R478" t="s">
        <v>34</v>
      </c>
      <c r="S478">
        <v>15.99</v>
      </c>
    </row>
    <row r="479" spans="1:19" x14ac:dyDescent="0.3">
      <c r="A479">
        <f>'Raw Data'!D479-'Raw Data'!C479</f>
        <v>405</v>
      </c>
      <c r="B479" s="2" t="str">
        <f>_xlfn.IFS('Raw Data'!E479&gt;10,"Premium",'Raw Data'!E479&lt;10,"Basic")</f>
        <v>Basic</v>
      </c>
      <c r="C479">
        <v>7.99</v>
      </c>
      <c r="D479">
        <v>4242</v>
      </c>
      <c r="E479" t="s">
        <v>55</v>
      </c>
      <c r="F479" t="s">
        <v>36</v>
      </c>
      <c r="G479">
        <v>168</v>
      </c>
      <c r="H479" t="s">
        <v>28</v>
      </c>
      <c r="I479">
        <v>3182</v>
      </c>
      <c r="J479">
        <v>4242</v>
      </c>
      <c r="K479" t="s">
        <v>39</v>
      </c>
      <c r="L479" t="s">
        <v>49</v>
      </c>
      <c r="M479">
        <v>539</v>
      </c>
      <c r="N479">
        <v>48</v>
      </c>
      <c r="O479" t="s">
        <v>36</v>
      </c>
      <c r="P479" t="s">
        <v>39</v>
      </c>
      <c r="Q479">
        <v>168</v>
      </c>
      <c r="R479" t="s">
        <v>27</v>
      </c>
      <c r="S479">
        <v>7.99</v>
      </c>
    </row>
    <row r="480" spans="1:19" x14ac:dyDescent="0.3">
      <c r="A480">
        <f>'Raw Data'!D480-'Raw Data'!C480</f>
        <v>248</v>
      </c>
      <c r="B480" s="2" t="str">
        <f>_xlfn.IFS('Raw Data'!E480&gt;10,"Premium",'Raw Data'!E480&lt;10,"Basic")</f>
        <v>Basic</v>
      </c>
      <c r="C480">
        <v>7.99</v>
      </c>
      <c r="D480">
        <v>3395</v>
      </c>
      <c r="E480" t="s">
        <v>79</v>
      </c>
      <c r="F480" t="s">
        <v>52</v>
      </c>
      <c r="G480">
        <v>307</v>
      </c>
      <c r="H480" t="s">
        <v>28</v>
      </c>
      <c r="I480">
        <v>2432</v>
      </c>
      <c r="J480">
        <v>3395</v>
      </c>
      <c r="K480" t="s">
        <v>48</v>
      </c>
      <c r="L480" t="s">
        <v>64</v>
      </c>
      <c r="M480">
        <v>340</v>
      </c>
      <c r="N480">
        <v>174</v>
      </c>
      <c r="O480" t="s">
        <v>52</v>
      </c>
      <c r="P480" t="s">
        <v>48</v>
      </c>
      <c r="Q480">
        <v>307</v>
      </c>
      <c r="R480" t="s">
        <v>41</v>
      </c>
      <c r="S480">
        <v>7.99</v>
      </c>
    </row>
    <row r="481" spans="1:19" x14ac:dyDescent="0.3">
      <c r="A481">
        <f>'Raw Data'!D481-'Raw Data'!C481</f>
        <v>355</v>
      </c>
      <c r="B481" s="2" t="str">
        <f>_xlfn.IFS('Raw Data'!E481&gt;10,"Premium",'Raw Data'!E481&lt;10,"Basic")</f>
        <v>Premium</v>
      </c>
      <c r="C481">
        <v>15.99</v>
      </c>
      <c r="D481">
        <v>8694</v>
      </c>
      <c r="E481" t="s">
        <v>62</v>
      </c>
      <c r="F481" t="s">
        <v>52</v>
      </c>
      <c r="G481">
        <v>270</v>
      </c>
      <c r="H481" t="s">
        <v>28</v>
      </c>
      <c r="I481">
        <v>414</v>
      </c>
      <c r="J481">
        <v>8694</v>
      </c>
      <c r="K481" t="s">
        <v>59</v>
      </c>
      <c r="L481" t="s">
        <v>26</v>
      </c>
      <c r="M481">
        <v>836</v>
      </c>
      <c r="N481">
        <v>67</v>
      </c>
      <c r="O481" t="s">
        <v>52</v>
      </c>
      <c r="P481" t="s">
        <v>59</v>
      </c>
      <c r="Q481">
        <v>270</v>
      </c>
      <c r="R481" t="s">
        <v>67</v>
      </c>
      <c r="S481">
        <v>15.99</v>
      </c>
    </row>
    <row r="482" spans="1:19" x14ac:dyDescent="0.3">
      <c r="A482">
        <f>'Raw Data'!D482-'Raw Data'!C482</f>
        <v>604</v>
      </c>
      <c r="B482" s="2" t="str">
        <f>_xlfn.IFS('Raw Data'!E482&gt;10,"Premium",'Raw Data'!E482&lt;10,"Basic")</f>
        <v>Basic</v>
      </c>
      <c r="C482">
        <v>7.99</v>
      </c>
      <c r="D482">
        <v>7150</v>
      </c>
      <c r="E482" t="s">
        <v>24</v>
      </c>
      <c r="F482" t="s">
        <v>60</v>
      </c>
      <c r="G482">
        <v>358</v>
      </c>
      <c r="H482" t="s">
        <v>28</v>
      </c>
      <c r="I482">
        <v>888</v>
      </c>
      <c r="J482">
        <v>7150</v>
      </c>
      <c r="K482" t="s">
        <v>48</v>
      </c>
      <c r="L482" t="s">
        <v>40</v>
      </c>
      <c r="M482">
        <v>746</v>
      </c>
      <c r="N482">
        <v>200</v>
      </c>
      <c r="O482" t="s">
        <v>60</v>
      </c>
      <c r="P482" t="s">
        <v>48</v>
      </c>
      <c r="Q482">
        <v>358</v>
      </c>
      <c r="R482" t="s">
        <v>56</v>
      </c>
      <c r="S482">
        <v>7.99</v>
      </c>
    </row>
    <row r="483" spans="1:19" x14ac:dyDescent="0.3">
      <c r="A483">
        <f>'Raw Data'!D483-'Raw Data'!C483</f>
        <v>218</v>
      </c>
      <c r="B483" s="2" t="str">
        <f>_xlfn.IFS('Raw Data'!E483&gt;10,"Premium",'Raw Data'!E483&lt;10,"Basic")</f>
        <v>Premium</v>
      </c>
      <c r="C483">
        <v>11.99</v>
      </c>
      <c r="D483">
        <v>4111</v>
      </c>
      <c r="E483" t="s">
        <v>43</v>
      </c>
      <c r="F483" t="s">
        <v>68</v>
      </c>
      <c r="G483">
        <v>301</v>
      </c>
      <c r="H483" t="s">
        <v>28</v>
      </c>
      <c r="I483">
        <v>1058</v>
      </c>
      <c r="J483">
        <v>4111</v>
      </c>
      <c r="K483" t="s">
        <v>63</v>
      </c>
      <c r="L483" t="s">
        <v>49</v>
      </c>
      <c r="M483">
        <v>939</v>
      </c>
      <c r="N483">
        <v>21</v>
      </c>
      <c r="O483" t="s">
        <v>68</v>
      </c>
      <c r="P483" t="s">
        <v>63</v>
      </c>
      <c r="Q483">
        <v>301</v>
      </c>
      <c r="R483" t="s">
        <v>41</v>
      </c>
      <c r="S483">
        <v>11.99</v>
      </c>
    </row>
    <row r="484" spans="1:19" x14ac:dyDescent="0.3">
      <c r="A484">
        <f>'Raw Data'!D484-'Raw Data'!C484</f>
        <v>686</v>
      </c>
      <c r="B484" s="2" t="str">
        <f>_xlfn.IFS('Raw Data'!E484&gt;10,"Premium",'Raw Data'!E484&lt;10,"Basic")</f>
        <v>Basic</v>
      </c>
      <c r="C484">
        <v>7.99</v>
      </c>
      <c r="D484">
        <v>3532</v>
      </c>
      <c r="E484" t="s">
        <v>24</v>
      </c>
      <c r="F484" t="s">
        <v>60</v>
      </c>
      <c r="G484">
        <v>277</v>
      </c>
      <c r="H484" t="s">
        <v>28</v>
      </c>
      <c r="I484">
        <v>2067</v>
      </c>
      <c r="J484">
        <v>3532</v>
      </c>
      <c r="K484" t="s">
        <v>25</v>
      </c>
      <c r="L484" t="s">
        <v>40</v>
      </c>
      <c r="M484">
        <v>659</v>
      </c>
      <c r="N484">
        <v>150</v>
      </c>
      <c r="O484" t="s">
        <v>60</v>
      </c>
      <c r="P484" t="s">
        <v>25</v>
      </c>
      <c r="Q484">
        <v>277</v>
      </c>
      <c r="R484" t="s">
        <v>56</v>
      </c>
      <c r="S484">
        <v>7.99</v>
      </c>
    </row>
    <row r="485" spans="1:19" x14ac:dyDescent="0.3">
      <c r="A485">
        <f>'Raw Data'!D485-'Raw Data'!C485</f>
        <v>700</v>
      </c>
      <c r="B485" s="2" t="str">
        <f>_xlfn.IFS('Raw Data'!E485&gt;10,"Premium",'Raw Data'!E485&lt;10,"Basic")</f>
        <v>Premium</v>
      </c>
      <c r="C485">
        <v>15.99</v>
      </c>
      <c r="D485">
        <v>5375</v>
      </c>
      <c r="E485" t="s">
        <v>43</v>
      </c>
      <c r="F485" t="s">
        <v>60</v>
      </c>
      <c r="G485">
        <v>423</v>
      </c>
      <c r="H485" t="s">
        <v>28</v>
      </c>
      <c r="I485">
        <v>3763</v>
      </c>
      <c r="J485">
        <v>5375</v>
      </c>
      <c r="K485" t="s">
        <v>44</v>
      </c>
      <c r="L485" t="s">
        <v>40</v>
      </c>
      <c r="M485">
        <v>435</v>
      </c>
      <c r="N485">
        <v>108</v>
      </c>
      <c r="O485" t="s">
        <v>60</v>
      </c>
      <c r="P485" t="s">
        <v>44</v>
      </c>
      <c r="Q485">
        <v>423</v>
      </c>
      <c r="R485" t="s">
        <v>56</v>
      </c>
      <c r="S485">
        <v>15.99</v>
      </c>
    </row>
    <row r="486" spans="1:19" x14ac:dyDescent="0.3">
      <c r="A486">
        <f>'Raw Data'!D486-'Raw Data'!C486</f>
        <v>69</v>
      </c>
      <c r="B486" s="2" t="str">
        <f>_xlfn.IFS('Raw Data'!E486&gt;10,"Premium",'Raw Data'!E486&lt;10,"Basic")</f>
        <v>Premium</v>
      </c>
      <c r="C486">
        <v>11.99</v>
      </c>
      <c r="D486">
        <v>8881</v>
      </c>
      <c r="E486" t="s">
        <v>33</v>
      </c>
      <c r="F486" t="s">
        <v>60</v>
      </c>
      <c r="G486">
        <v>197</v>
      </c>
      <c r="H486" t="s">
        <v>28</v>
      </c>
      <c r="I486">
        <v>957</v>
      </c>
      <c r="J486">
        <v>8881</v>
      </c>
      <c r="K486" t="s">
        <v>74</v>
      </c>
      <c r="L486" t="s">
        <v>64</v>
      </c>
      <c r="M486">
        <v>292</v>
      </c>
      <c r="N486">
        <v>169</v>
      </c>
      <c r="O486" t="s">
        <v>60</v>
      </c>
      <c r="P486" t="s">
        <v>74</v>
      </c>
      <c r="Q486">
        <v>197</v>
      </c>
      <c r="R486" t="s">
        <v>56</v>
      </c>
      <c r="S486">
        <v>11.99</v>
      </c>
    </row>
    <row r="487" spans="1:19" x14ac:dyDescent="0.3">
      <c r="A487">
        <f>'Raw Data'!D487-'Raw Data'!C487</f>
        <v>393</v>
      </c>
      <c r="B487" s="2" t="str">
        <f>_xlfn.IFS('Raw Data'!E487&gt;10,"Premium",'Raw Data'!E487&lt;10,"Basic")</f>
        <v>Premium</v>
      </c>
      <c r="C487">
        <v>15.99</v>
      </c>
      <c r="D487">
        <v>1235</v>
      </c>
      <c r="E487" t="s">
        <v>46</v>
      </c>
      <c r="F487" t="s">
        <v>68</v>
      </c>
      <c r="G487">
        <v>100</v>
      </c>
      <c r="H487" t="s">
        <v>28</v>
      </c>
      <c r="I487">
        <v>3003</v>
      </c>
      <c r="J487">
        <v>1235</v>
      </c>
      <c r="K487" t="s">
        <v>48</v>
      </c>
      <c r="L487" t="s">
        <v>40</v>
      </c>
      <c r="M487">
        <v>103</v>
      </c>
      <c r="N487">
        <v>36</v>
      </c>
      <c r="O487" t="s">
        <v>68</v>
      </c>
      <c r="P487" t="s">
        <v>48</v>
      </c>
      <c r="Q487">
        <v>100</v>
      </c>
      <c r="R487" t="s">
        <v>41</v>
      </c>
      <c r="S487">
        <v>15.99</v>
      </c>
    </row>
    <row r="488" spans="1:19" x14ac:dyDescent="0.3">
      <c r="A488">
        <f>'Raw Data'!D488-'Raw Data'!C488</f>
        <v>386</v>
      </c>
      <c r="B488" s="2" t="str">
        <f>_xlfn.IFS('Raw Data'!E488&gt;10,"Premium",'Raw Data'!E488&lt;10,"Basic")</f>
        <v>Premium</v>
      </c>
      <c r="C488">
        <v>15.99</v>
      </c>
      <c r="D488">
        <v>2533</v>
      </c>
      <c r="E488" t="s">
        <v>24</v>
      </c>
      <c r="F488" t="s">
        <v>52</v>
      </c>
      <c r="G488">
        <v>338</v>
      </c>
      <c r="H488" t="s">
        <v>28</v>
      </c>
      <c r="I488">
        <v>354</v>
      </c>
      <c r="J488">
        <v>2533</v>
      </c>
      <c r="K488" t="s">
        <v>59</v>
      </c>
      <c r="L488" t="s">
        <v>49</v>
      </c>
      <c r="M488">
        <v>525</v>
      </c>
      <c r="N488">
        <v>140</v>
      </c>
      <c r="O488" t="s">
        <v>52</v>
      </c>
      <c r="P488" t="s">
        <v>59</v>
      </c>
      <c r="Q488">
        <v>338</v>
      </c>
      <c r="R488" t="s">
        <v>67</v>
      </c>
      <c r="S488">
        <v>15.99</v>
      </c>
    </row>
    <row r="489" spans="1:19" x14ac:dyDescent="0.3">
      <c r="A489">
        <f>'Raw Data'!D489-'Raw Data'!C489</f>
        <v>178</v>
      </c>
      <c r="B489" s="2" t="str">
        <f>_xlfn.IFS('Raw Data'!E489&gt;10,"Premium",'Raw Data'!E489&lt;10,"Basic")</f>
        <v>Premium</v>
      </c>
      <c r="C489">
        <v>11.99</v>
      </c>
      <c r="D489">
        <v>2734</v>
      </c>
      <c r="E489" t="s">
        <v>46</v>
      </c>
      <c r="F489" t="s">
        <v>30</v>
      </c>
      <c r="G489">
        <v>130</v>
      </c>
      <c r="H489" t="s">
        <v>28</v>
      </c>
      <c r="I489">
        <v>4922</v>
      </c>
      <c r="J489">
        <v>2734</v>
      </c>
      <c r="K489" t="s">
        <v>74</v>
      </c>
      <c r="L489" t="s">
        <v>49</v>
      </c>
      <c r="M489">
        <v>428</v>
      </c>
      <c r="N489">
        <v>119</v>
      </c>
      <c r="O489" t="s">
        <v>30</v>
      </c>
      <c r="P489" t="s">
        <v>74</v>
      </c>
      <c r="Q489">
        <v>130</v>
      </c>
      <c r="R489" t="s">
        <v>67</v>
      </c>
      <c r="S489">
        <v>11.99</v>
      </c>
    </row>
    <row r="490" spans="1:19" x14ac:dyDescent="0.3">
      <c r="A490">
        <f>'Raw Data'!D490-'Raw Data'!C490</f>
        <v>330</v>
      </c>
      <c r="B490" s="2" t="str">
        <f>_xlfn.IFS('Raw Data'!E490&gt;10,"Premium",'Raw Data'!E490&lt;10,"Basic")</f>
        <v>Premium</v>
      </c>
      <c r="C490">
        <v>11.99</v>
      </c>
      <c r="D490">
        <v>4129</v>
      </c>
      <c r="E490" t="s">
        <v>55</v>
      </c>
      <c r="F490" t="s">
        <v>52</v>
      </c>
      <c r="G490">
        <v>383</v>
      </c>
      <c r="H490" t="s">
        <v>28</v>
      </c>
      <c r="I490">
        <v>2083</v>
      </c>
      <c r="J490">
        <v>4129</v>
      </c>
      <c r="K490" t="s">
        <v>74</v>
      </c>
      <c r="L490" t="s">
        <v>26</v>
      </c>
      <c r="M490">
        <v>711</v>
      </c>
      <c r="N490">
        <v>147</v>
      </c>
      <c r="O490" t="s">
        <v>52</v>
      </c>
      <c r="P490" t="s">
        <v>74</v>
      </c>
      <c r="Q490">
        <v>383</v>
      </c>
      <c r="R490" t="s">
        <v>41</v>
      </c>
      <c r="S490">
        <v>11.99</v>
      </c>
    </row>
    <row r="491" spans="1:19" x14ac:dyDescent="0.3">
      <c r="A491">
        <f>'Raw Data'!D491-'Raw Data'!C491</f>
        <v>338</v>
      </c>
      <c r="B491" s="2" t="str">
        <f>_xlfn.IFS('Raw Data'!E491&gt;10,"Premium",'Raw Data'!E491&lt;10,"Basic")</f>
        <v>Premium</v>
      </c>
      <c r="C491">
        <v>11.99</v>
      </c>
      <c r="D491">
        <v>3762</v>
      </c>
      <c r="E491" t="s">
        <v>24</v>
      </c>
      <c r="F491" t="s">
        <v>60</v>
      </c>
      <c r="G491">
        <v>411</v>
      </c>
      <c r="H491" t="s">
        <v>28</v>
      </c>
      <c r="I491">
        <v>2098</v>
      </c>
      <c r="J491">
        <v>3762</v>
      </c>
      <c r="K491" t="s">
        <v>59</v>
      </c>
      <c r="L491" t="s">
        <v>26</v>
      </c>
      <c r="M491">
        <v>887</v>
      </c>
      <c r="N491">
        <v>37</v>
      </c>
      <c r="O491" t="s">
        <v>60</v>
      </c>
      <c r="P491" t="s">
        <v>59</v>
      </c>
      <c r="Q491">
        <v>411</v>
      </c>
      <c r="R491" t="s">
        <v>67</v>
      </c>
      <c r="S491">
        <v>11.99</v>
      </c>
    </row>
    <row r="492" spans="1:19" x14ac:dyDescent="0.3">
      <c r="A492">
        <f>'Raw Data'!D492-'Raw Data'!C492</f>
        <v>555</v>
      </c>
      <c r="B492" s="2" t="str">
        <f>_xlfn.IFS('Raw Data'!E492&gt;10,"Premium",'Raw Data'!E492&lt;10,"Basic")</f>
        <v>Premium</v>
      </c>
      <c r="C492">
        <v>11.99</v>
      </c>
      <c r="D492">
        <v>4341</v>
      </c>
      <c r="E492" t="s">
        <v>55</v>
      </c>
      <c r="F492" t="s">
        <v>30</v>
      </c>
      <c r="G492">
        <v>347</v>
      </c>
      <c r="H492" t="s">
        <v>28</v>
      </c>
      <c r="I492">
        <v>2022</v>
      </c>
      <c r="J492">
        <v>4341</v>
      </c>
      <c r="K492" t="s">
        <v>59</v>
      </c>
      <c r="L492" t="s">
        <v>26</v>
      </c>
      <c r="M492">
        <v>546</v>
      </c>
      <c r="N492">
        <v>12</v>
      </c>
      <c r="O492" t="s">
        <v>30</v>
      </c>
      <c r="P492" t="s">
        <v>59</v>
      </c>
      <c r="Q492">
        <v>347</v>
      </c>
      <c r="R492" t="s">
        <v>50</v>
      </c>
      <c r="S492">
        <v>11.99</v>
      </c>
    </row>
    <row r="493" spans="1:19" x14ac:dyDescent="0.3">
      <c r="A493">
        <f>'Raw Data'!D493-'Raw Data'!C493</f>
        <v>436</v>
      </c>
      <c r="B493" s="2" t="str">
        <f>_xlfn.IFS('Raw Data'!E493&gt;10,"Premium",'Raw Data'!E493&lt;10,"Basic")</f>
        <v>Premium</v>
      </c>
      <c r="C493">
        <v>11.99</v>
      </c>
      <c r="D493">
        <v>6638</v>
      </c>
      <c r="E493" t="s">
        <v>62</v>
      </c>
      <c r="F493" t="s">
        <v>68</v>
      </c>
      <c r="G493">
        <v>302</v>
      </c>
      <c r="H493" t="s">
        <v>28</v>
      </c>
      <c r="I493">
        <v>3791</v>
      </c>
      <c r="J493">
        <v>6638</v>
      </c>
      <c r="K493" t="s">
        <v>39</v>
      </c>
      <c r="L493" t="s">
        <v>40</v>
      </c>
      <c r="M493">
        <v>417</v>
      </c>
      <c r="N493">
        <v>143</v>
      </c>
      <c r="O493" t="s">
        <v>68</v>
      </c>
      <c r="P493" t="s">
        <v>39</v>
      </c>
      <c r="Q493">
        <v>302</v>
      </c>
      <c r="R493" t="s">
        <v>41</v>
      </c>
      <c r="S493">
        <v>11.99</v>
      </c>
    </row>
    <row r="494" spans="1:19" x14ac:dyDescent="0.3">
      <c r="A494">
        <f>'Raw Data'!D494-'Raw Data'!C494</f>
        <v>575</v>
      </c>
      <c r="B494" s="2" t="str">
        <f>_xlfn.IFS('Raw Data'!E494&gt;10,"Premium",'Raw Data'!E494&lt;10,"Basic")</f>
        <v>Premium</v>
      </c>
      <c r="C494">
        <v>15.99</v>
      </c>
      <c r="D494">
        <v>5861</v>
      </c>
      <c r="E494" t="s">
        <v>79</v>
      </c>
      <c r="F494" t="s">
        <v>30</v>
      </c>
      <c r="G494">
        <v>361</v>
      </c>
      <c r="H494" t="s">
        <v>28</v>
      </c>
      <c r="I494">
        <v>728</v>
      </c>
      <c r="J494">
        <v>5861</v>
      </c>
      <c r="K494" t="s">
        <v>63</v>
      </c>
      <c r="L494" t="s">
        <v>40</v>
      </c>
      <c r="M494">
        <v>407</v>
      </c>
      <c r="N494">
        <v>126</v>
      </c>
      <c r="O494" t="s">
        <v>30</v>
      </c>
      <c r="P494" t="s">
        <v>63</v>
      </c>
      <c r="Q494">
        <v>361</v>
      </c>
      <c r="R494" t="s">
        <v>50</v>
      </c>
      <c r="S494">
        <v>15.99</v>
      </c>
    </row>
    <row r="495" spans="1:19" x14ac:dyDescent="0.3">
      <c r="A495">
        <f>'Raw Data'!D495-'Raw Data'!C495</f>
        <v>384</v>
      </c>
      <c r="B495" s="2" t="str">
        <f>_xlfn.IFS('Raw Data'!E495&gt;10,"Premium",'Raw Data'!E495&lt;10,"Basic")</f>
        <v>Basic</v>
      </c>
      <c r="C495">
        <v>7.99</v>
      </c>
      <c r="D495">
        <v>8815</v>
      </c>
      <c r="E495" t="s">
        <v>46</v>
      </c>
      <c r="F495" t="s">
        <v>60</v>
      </c>
      <c r="G495">
        <v>148</v>
      </c>
      <c r="H495" t="s">
        <v>28</v>
      </c>
      <c r="I495">
        <v>3448</v>
      </c>
      <c r="J495">
        <v>8815</v>
      </c>
      <c r="K495" t="s">
        <v>74</v>
      </c>
      <c r="L495" t="s">
        <v>64</v>
      </c>
      <c r="M495">
        <v>579</v>
      </c>
      <c r="N495">
        <v>121</v>
      </c>
      <c r="O495" t="s">
        <v>60</v>
      </c>
      <c r="P495" t="s">
        <v>74</v>
      </c>
      <c r="Q495">
        <v>148</v>
      </c>
      <c r="R495" t="s">
        <v>50</v>
      </c>
      <c r="S495">
        <v>7.99</v>
      </c>
    </row>
    <row r="496" spans="1:19" x14ac:dyDescent="0.3">
      <c r="A496">
        <f>'Raw Data'!D496-'Raw Data'!C496</f>
        <v>187</v>
      </c>
      <c r="B496" s="2" t="str">
        <f>_xlfn.IFS('Raw Data'!E496&gt;10,"Premium",'Raw Data'!E496&lt;10,"Basic")</f>
        <v>Basic</v>
      </c>
      <c r="C496">
        <v>7.99</v>
      </c>
      <c r="D496">
        <v>8793</v>
      </c>
      <c r="E496" t="s">
        <v>43</v>
      </c>
      <c r="F496" t="s">
        <v>52</v>
      </c>
      <c r="G496">
        <v>162</v>
      </c>
      <c r="H496" t="s">
        <v>28</v>
      </c>
      <c r="I496">
        <v>3930</v>
      </c>
      <c r="J496">
        <v>8793</v>
      </c>
      <c r="K496" t="s">
        <v>59</v>
      </c>
      <c r="L496" t="s">
        <v>40</v>
      </c>
      <c r="M496">
        <v>672</v>
      </c>
      <c r="N496">
        <v>57</v>
      </c>
      <c r="O496" t="s">
        <v>52</v>
      </c>
      <c r="P496" t="s">
        <v>59</v>
      </c>
      <c r="Q496">
        <v>162</v>
      </c>
      <c r="R496" t="s">
        <v>41</v>
      </c>
      <c r="S496">
        <v>7.99</v>
      </c>
    </row>
    <row r="497" spans="1:19" x14ac:dyDescent="0.3">
      <c r="A497">
        <f>'Raw Data'!D497-'Raw Data'!C497</f>
        <v>500</v>
      </c>
      <c r="B497" s="2" t="str">
        <f>_xlfn.IFS('Raw Data'!E497&gt;10,"Premium",'Raw Data'!E497&lt;10,"Basic")</f>
        <v>Basic</v>
      </c>
      <c r="C497">
        <v>7.99</v>
      </c>
      <c r="D497">
        <v>3469</v>
      </c>
      <c r="E497" t="s">
        <v>33</v>
      </c>
      <c r="F497" t="s">
        <v>52</v>
      </c>
      <c r="G497">
        <v>379</v>
      </c>
      <c r="H497" t="s">
        <v>28</v>
      </c>
      <c r="I497">
        <v>3702</v>
      </c>
      <c r="J497">
        <v>3469</v>
      </c>
      <c r="K497" t="s">
        <v>59</v>
      </c>
      <c r="L497" t="s">
        <v>64</v>
      </c>
      <c r="M497">
        <v>377</v>
      </c>
      <c r="N497">
        <v>153</v>
      </c>
      <c r="O497" t="s">
        <v>52</v>
      </c>
      <c r="P497" t="s">
        <v>59</v>
      </c>
      <c r="Q497">
        <v>379</v>
      </c>
      <c r="R497" t="s">
        <v>41</v>
      </c>
      <c r="S497">
        <v>7.99</v>
      </c>
    </row>
    <row r="498" spans="1:19" x14ac:dyDescent="0.3">
      <c r="A498">
        <f>'Raw Data'!D498-'Raw Data'!C498</f>
        <v>294</v>
      </c>
      <c r="B498" s="2" t="str">
        <f>_xlfn.IFS('Raw Data'!E498&gt;10,"Premium",'Raw Data'!E498&lt;10,"Basic")</f>
        <v>Premium</v>
      </c>
      <c r="C498">
        <v>15.99</v>
      </c>
      <c r="D498">
        <v>3654</v>
      </c>
      <c r="E498" t="s">
        <v>62</v>
      </c>
      <c r="F498" t="s">
        <v>60</v>
      </c>
      <c r="G498">
        <v>373</v>
      </c>
      <c r="H498" t="s">
        <v>28</v>
      </c>
      <c r="I498">
        <v>2400</v>
      </c>
      <c r="J498">
        <v>3654</v>
      </c>
      <c r="K498" t="s">
        <v>39</v>
      </c>
      <c r="L498" t="s">
        <v>26</v>
      </c>
      <c r="M498">
        <v>818</v>
      </c>
      <c r="N498">
        <v>34</v>
      </c>
      <c r="O498" t="s">
        <v>60</v>
      </c>
      <c r="P498" t="s">
        <v>39</v>
      </c>
      <c r="Q498">
        <v>373</v>
      </c>
      <c r="R498" t="s">
        <v>56</v>
      </c>
      <c r="S498">
        <v>15.99</v>
      </c>
    </row>
    <row r="499" spans="1:19" x14ac:dyDescent="0.3">
      <c r="A499">
        <f>'Raw Data'!D499-'Raw Data'!C499</f>
        <v>112</v>
      </c>
      <c r="B499" s="2" t="str">
        <f>_xlfn.IFS('Raw Data'!E499&gt;10,"Premium",'Raw Data'!E499&lt;10,"Basic")</f>
        <v>Premium</v>
      </c>
      <c r="C499">
        <v>11.99</v>
      </c>
      <c r="D499">
        <v>9555</v>
      </c>
      <c r="E499" t="s">
        <v>46</v>
      </c>
      <c r="F499" t="s">
        <v>68</v>
      </c>
      <c r="G499">
        <v>354</v>
      </c>
      <c r="H499" t="s">
        <v>28</v>
      </c>
      <c r="I499">
        <v>548</v>
      </c>
      <c r="J499">
        <v>9555</v>
      </c>
      <c r="K499" t="s">
        <v>44</v>
      </c>
      <c r="L499" t="s">
        <v>64</v>
      </c>
      <c r="M499">
        <v>225</v>
      </c>
      <c r="N499">
        <v>1</v>
      </c>
      <c r="O499" t="s">
        <v>68</v>
      </c>
      <c r="P499" t="s">
        <v>44</v>
      </c>
      <c r="Q499">
        <v>354</v>
      </c>
      <c r="R499" t="s">
        <v>27</v>
      </c>
      <c r="S499">
        <v>11.99</v>
      </c>
    </row>
    <row r="500" spans="1:19" x14ac:dyDescent="0.3">
      <c r="A500">
        <f>'Raw Data'!D500-'Raw Data'!C500</f>
        <v>219</v>
      </c>
      <c r="B500" s="2" t="str">
        <f>_xlfn.IFS('Raw Data'!E500&gt;10,"Premium",'Raw Data'!E500&lt;10,"Basic")</f>
        <v>Basic</v>
      </c>
      <c r="C500">
        <v>7.99</v>
      </c>
      <c r="D500">
        <v>4028</v>
      </c>
      <c r="E500" t="s">
        <v>55</v>
      </c>
      <c r="F500" t="s">
        <v>36</v>
      </c>
      <c r="G500">
        <v>76</v>
      </c>
      <c r="H500" t="s">
        <v>28</v>
      </c>
      <c r="I500">
        <v>4702</v>
      </c>
      <c r="J500">
        <v>4028</v>
      </c>
      <c r="K500" t="s">
        <v>59</v>
      </c>
      <c r="L500" t="s">
        <v>49</v>
      </c>
      <c r="M500">
        <v>324</v>
      </c>
      <c r="N500">
        <v>113</v>
      </c>
      <c r="O500" t="s">
        <v>36</v>
      </c>
      <c r="P500" t="s">
        <v>59</v>
      </c>
      <c r="Q500">
        <v>76</v>
      </c>
      <c r="R500" t="s">
        <v>67</v>
      </c>
      <c r="S500">
        <v>7.99</v>
      </c>
    </row>
    <row r="501" spans="1:19" x14ac:dyDescent="0.3">
      <c r="A501">
        <f>'Raw Data'!D501-'Raw Data'!C501</f>
        <v>607</v>
      </c>
      <c r="B501" s="2" t="str">
        <f>_xlfn.IFS('Raw Data'!E501&gt;10,"Premium",'Raw Data'!E501&lt;10,"Basic")</f>
        <v>Premium</v>
      </c>
      <c r="C501">
        <v>11.99</v>
      </c>
      <c r="D501">
        <v>9499</v>
      </c>
      <c r="E501" t="s">
        <v>24</v>
      </c>
      <c r="F501" t="s">
        <v>60</v>
      </c>
      <c r="G501">
        <v>316</v>
      </c>
      <c r="H501" t="s">
        <v>28</v>
      </c>
      <c r="I501">
        <v>2821</v>
      </c>
      <c r="J501">
        <v>9499</v>
      </c>
      <c r="K501" t="s">
        <v>25</v>
      </c>
      <c r="L501" t="s">
        <v>26</v>
      </c>
      <c r="M501">
        <v>793</v>
      </c>
      <c r="N501">
        <v>141</v>
      </c>
      <c r="O501" t="s">
        <v>60</v>
      </c>
      <c r="P501" t="s">
        <v>25</v>
      </c>
      <c r="Q501">
        <v>316</v>
      </c>
      <c r="R501" t="s">
        <v>34</v>
      </c>
      <c r="S501">
        <v>11.99</v>
      </c>
    </row>
    <row r="502" spans="1:19" x14ac:dyDescent="0.3">
      <c r="A502">
        <f>'Raw Data'!D502-'Raw Data'!C502</f>
        <v>704</v>
      </c>
      <c r="B502" s="2" t="str">
        <f>_xlfn.IFS('Raw Data'!E502&gt;10,"Premium",'Raw Data'!E502&lt;10,"Basic")</f>
        <v>Premium</v>
      </c>
      <c r="C502">
        <v>11.99</v>
      </c>
      <c r="D502">
        <v>8628</v>
      </c>
      <c r="E502" t="s">
        <v>55</v>
      </c>
      <c r="F502" t="s">
        <v>68</v>
      </c>
      <c r="G502">
        <v>331</v>
      </c>
      <c r="H502" t="s">
        <v>28</v>
      </c>
      <c r="I502">
        <v>484</v>
      </c>
      <c r="J502">
        <v>8628</v>
      </c>
      <c r="K502" t="s">
        <v>44</v>
      </c>
      <c r="L502" t="s">
        <v>26</v>
      </c>
      <c r="M502">
        <v>133</v>
      </c>
      <c r="N502">
        <v>143</v>
      </c>
      <c r="O502" t="s">
        <v>68</v>
      </c>
      <c r="P502" t="s">
        <v>44</v>
      </c>
      <c r="Q502">
        <v>331</v>
      </c>
      <c r="R502" t="s">
        <v>50</v>
      </c>
      <c r="S502">
        <v>11.99</v>
      </c>
    </row>
    <row r="503" spans="1:19" x14ac:dyDescent="0.3">
      <c r="A503">
        <f>'Raw Data'!D503-'Raw Data'!C503</f>
        <v>474</v>
      </c>
      <c r="B503" s="2" t="str">
        <f>_xlfn.IFS('Raw Data'!E503&gt;10,"Premium",'Raw Data'!E503&lt;10,"Basic")</f>
        <v>Premium</v>
      </c>
      <c r="C503">
        <v>15.99</v>
      </c>
      <c r="D503">
        <v>9942</v>
      </c>
      <c r="E503" t="s">
        <v>46</v>
      </c>
      <c r="F503" t="s">
        <v>36</v>
      </c>
      <c r="G503">
        <v>418</v>
      </c>
      <c r="H503" t="s">
        <v>28</v>
      </c>
      <c r="I503">
        <v>2871</v>
      </c>
      <c r="J503">
        <v>9942</v>
      </c>
      <c r="K503" t="s">
        <v>39</v>
      </c>
      <c r="L503" t="s">
        <v>64</v>
      </c>
      <c r="M503">
        <v>260</v>
      </c>
      <c r="N503">
        <v>161</v>
      </c>
      <c r="O503" t="s">
        <v>36</v>
      </c>
      <c r="P503" t="s">
        <v>39</v>
      </c>
      <c r="Q503">
        <v>418</v>
      </c>
      <c r="R503" t="s">
        <v>56</v>
      </c>
      <c r="S503">
        <v>15.99</v>
      </c>
    </row>
    <row r="504" spans="1:19" x14ac:dyDescent="0.3">
      <c r="A504">
        <f>'Raw Data'!D504-'Raw Data'!C504</f>
        <v>538</v>
      </c>
      <c r="B504" s="2" t="str">
        <f>_xlfn.IFS('Raw Data'!E504&gt;10,"Premium",'Raw Data'!E504&lt;10,"Basic")</f>
        <v>Premium</v>
      </c>
      <c r="C504">
        <v>15.99</v>
      </c>
      <c r="D504">
        <v>4044</v>
      </c>
      <c r="E504" t="s">
        <v>79</v>
      </c>
      <c r="F504" t="s">
        <v>60</v>
      </c>
      <c r="G504">
        <v>309</v>
      </c>
      <c r="H504" t="s">
        <v>28</v>
      </c>
      <c r="I504">
        <v>4783</v>
      </c>
      <c r="J504">
        <v>4044</v>
      </c>
      <c r="K504" t="s">
        <v>74</v>
      </c>
      <c r="L504" t="s">
        <v>64</v>
      </c>
      <c r="M504">
        <v>851</v>
      </c>
      <c r="N504">
        <v>166</v>
      </c>
      <c r="O504" t="s">
        <v>60</v>
      </c>
      <c r="P504" t="s">
        <v>74</v>
      </c>
      <c r="Q504">
        <v>309</v>
      </c>
      <c r="R504" t="s">
        <v>50</v>
      </c>
      <c r="S504">
        <v>15.99</v>
      </c>
    </row>
    <row r="505" spans="1:19" x14ac:dyDescent="0.3">
      <c r="A505">
        <f>'Raw Data'!D505-'Raw Data'!C505</f>
        <v>196</v>
      </c>
      <c r="B505" s="2" t="str">
        <f>_xlfn.IFS('Raw Data'!E505&gt;10,"Premium",'Raw Data'!E505&lt;10,"Basic")</f>
        <v>Basic</v>
      </c>
      <c r="C505">
        <v>7.99</v>
      </c>
      <c r="D505">
        <v>8143</v>
      </c>
      <c r="E505" t="s">
        <v>33</v>
      </c>
      <c r="F505" t="s">
        <v>36</v>
      </c>
      <c r="G505">
        <v>252</v>
      </c>
      <c r="H505" t="s">
        <v>28</v>
      </c>
      <c r="I505">
        <v>2725</v>
      </c>
      <c r="J505">
        <v>8143</v>
      </c>
      <c r="K505" t="s">
        <v>63</v>
      </c>
      <c r="L505" t="s">
        <v>40</v>
      </c>
      <c r="M505">
        <v>105</v>
      </c>
      <c r="N505">
        <v>118</v>
      </c>
      <c r="O505" t="s">
        <v>36</v>
      </c>
      <c r="P505" t="s">
        <v>63</v>
      </c>
      <c r="Q505">
        <v>252</v>
      </c>
      <c r="R505" t="s">
        <v>34</v>
      </c>
      <c r="S505">
        <v>7.99</v>
      </c>
    </row>
    <row r="506" spans="1:19" x14ac:dyDescent="0.3">
      <c r="A506">
        <f>'Raw Data'!D506-'Raw Data'!C506</f>
        <v>621</v>
      </c>
      <c r="B506" s="2" t="str">
        <f>_xlfn.IFS('Raw Data'!E506&gt;10,"Premium",'Raw Data'!E506&lt;10,"Basic")</f>
        <v>Premium</v>
      </c>
      <c r="C506">
        <v>15.99</v>
      </c>
      <c r="D506">
        <v>3984</v>
      </c>
      <c r="E506" t="s">
        <v>62</v>
      </c>
      <c r="F506" t="s">
        <v>52</v>
      </c>
      <c r="G506">
        <v>146</v>
      </c>
      <c r="H506" t="s">
        <v>28</v>
      </c>
      <c r="I506">
        <v>4400</v>
      </c>
      <c r="J506">
        <v>3984</v>
      </c>
      <c r="K506" t="s">
        <v>63</v>
      </c>
      <c r="L506" t="s">
        <v>26</v>
      </c>
      <c r="M506">
        <v>646</v>
      </c>
      <c r="N506">
        <v>139</v>
      </c>
      <c r="O506" t="s">
        <v>52</v>
      </c>
      <c r="P506" t="s">
        <v>63</v>
      </c>
      <c r="Q506">
        <v>146</v>
      </c>
      <c r="R506" t="s">
        <v>34</v>
      </c>
      <c r="S506">
        <v>15.99</v>
      </c>
    </row>
    <row r="507" spans="1:19" x14ac:dyDescent="0.3">
      <c r="A507">
        <f>'Raw Data'!D507-'Raw Data'!C507</f>
        <v>640</v>
      </c>
      <c r="B507" s="2" t="str">
        <f>_xlfn.IFS('Raw Data'!E507&gt;10,"Premium",'Raw Data'!E507&lt;10,"Basic")</f>
        <v>Premium</v>
      </c>
      <c r="C507">
        <v>11.99</v>
      </c>
      <c r="D507">
        <v>9294</v>
      </c>
      <c r="E507" t="s">
        <v>55</v>
      </c>
      <c r="F507" t="s">
        <v>36</v>
      </c>
      <c r="G507">
        <v>352</v>
      </c>
      <c r="H507" t="s">
        <v>28</v>
      </c>
      <c r="I507">
        <v>2218</v>
      </c>
      <c r="J507">
        <v>9294</v>
      </c>
      <c r="K507" t="s">
        <v>39</v>
      </c>
      <c r="L507" t="s">
        <v>40</v>
      </c>
      <c r="M507">
        <v>358</v>
      </c>
      <c r="N507">
        <v>6</v>
      </c>
      <c r="O507" t="s">
        <v>36</v>
      </c>
      <c r="P507" t="s">
        <v>39</v>
      </c>
      <c r="Q507">
        <v>352</v>
      </c>
      <c r="R507" t="s">
        <v>41</v>
      </c>
      <c r="S507">
        <v>11.99</v>
      </c>
    </row>
    <row r="508" spans="1:19" x14ac:dyDescent="0.3">
      <c r="A508">
        <f>'Raw Data'!D508-'Raw Data'!C508</f>
        <v>286</v>
      </c>
      <c r="B508" s="2" t="str">
        <f>_xlfn.IFS('Raw Data'!E508&gt;10,"Premium",'Raw Data'!E508&lt;10,"Basic")</f>
        <v>Basic</v>
      </c>
      <c r="C508">
        <v>7.99</v>
      </c>
      <c r="D508">
        <v>4769</v>
      </c>
      <c r="E508" t="s">
        <v>79</v>
      </c>
      <c r="F508" t="s">
        <v>52</v>
      </c>
      <c r="G508">
        <v>43</v>
      </c>
      <c r="H508" t="s">
        <v>28</v>
      </c>
      <c r="I508">
        <v>4552</v>
      </c>
      <c r="J508">
        <v>4769</v>
      </c>
      <c r="K508" t="s">
        <v>25</v>
      </c>
      <c r="L508" t="s">
        <v>26</v>
      </c>
      <c r="M508">
        <v>336</v>
      </c>
      <c r="N508">
        <v>135</v>
      </c>
      <c r="O508" t="s">
        <v>52</v>
      </c>
      <c r="P508" t="s">
        <v>25</v>
      </c>
      <c r="Q508">
        <v>43</v>
      </c>
      <c r="R508" t="s">
        <v>56</v>
      </c>
      <c r="S508">
        <v>7.99</v>
      </c>
    </row>
    <row r="509" spans="1:19" x14ac:dyDescent="0.3">
      <c r="A509">
        <f>'Raw Data'!D509-'Raw Data'!C509</f>
        <v>254</v>
      </c>
      <c r="B509" s="2" t="str">
        <f>_xlfn.IFS('Raw Data'!E509&gt;10,"Premium",'Raw Data'!E509&lt;10,"Basic")</f>
        <v>Premium</v>
      </c>
      <c r="C509">
        <v>11.99</v>
      </c>
      <c r="D509">
        <v>8864</v>
      </c>
      <c r="E509" t="s">
        <v>33</v>
      </c>
      <c r="F509" t="s">
        <v>30</v>
      </c>
      <c r="G509">
        <v>440</v>
      </c>
      <c r="H509" t="s">
        <v>28</v>
      </c>
      <c r="I509">
        <v>4125</v>
      </c>
      <c r="J509">
        <v>8864</v>
      </c>
      <c r="K509" t="s">
        <v>44</v>
      </c>
      <c r="L509" t="s">
        <v>64</v>
      </c>
      <c r="M509">
        <v>80</v>
      </c>
      <c r="N509">
        <v>143</v>
      </c>
      <c r="O509" t="s">
        <v>30</v>
      </c>
      <c r="P509" t="s">
        <v>44</v>
      </c>
      <c r="Q509">
        <v>440</v>
      </c>
      <c r="R509" t="s">
        <v>34</v>
      </c>
      <c r="S509">
        <v>11.99</v>
      </c>
    </row>
    <row r="510" spans="1:19" x14ac:dyDescent="0.3">
      <c r="A510">
        <f>'Raw Data'!D510-'Raw Data'!C510</f>
        <v>172</v>
      </c>
      <c r="B510" s="2" t="str">
        <f>_xlfn.IFS('Raw Data'!E510&gt;10,"Premium",'Raw Data'!E510&lt;10,"Basic")</f>
        <v>Premium</v>
      </c>
      <c r="C510">
        <v>15.99</v>
      </c>
      <c r="D510">
        <v>1857</v>
      </c>
      <c r="E510" t="s">
        <v>79</v>
      </c>
      <c r="F510" t="s">
        <v>68</v>
      </c>
      <c r="G510">
        <v>376</v>
      </c>
      <c r="H510" t="s">
        <v>28</v>
      </c>
      <c r="I510">
        <v>424</v>
      </c>
      <c r="J510">
        <v>1857</v>
      </c>
      <c r="K510" t="s">
        <v>48</v>
      </c>
      <c r="L510" t="s">
        <v>64</v>
      </c>
      <c r="M510">
        <v>326</v>
      </c>
      <c r="N510">
        <v>89</v>
      </c>
      <c r="O510" t="s">
        <v>68</v>
      </c>
      <c r="P510" t="s">
        <v>48</v>
      </c>
      <c r="Q510">
        <v>376</v>
      </c>
      <c r="R510" t="s">
        <v>50</v>
      </c>
      <c r="S510">
        <v>15.99</v>
      </c>
    </row>
    <row r="511" spans="1:19" x14ac:dyDescent="0.3">
      <c r="A511">
        <f>'Raw Data'!D511-'Raw Data'!C511</f>
        <v>355</v>
      </c>
      <c r="B511" s="2" t="str">
        <f>_xlfn.IFS('Raw Data'!E511&gt;10,"Premium",'Raw Data'!E511&lt;10,"Basic")</f>
        <v>Premium</v>
      </c>
      <c r="C511">
        <v>11.99</v>
      </c>
      <c r="D511">
        <v>5566</v>
      </c>
      <c r="E511" t="s">
        <v>24</v>
      </c>
      <c r="F511" t="s">
        <v>30</v>
      </c>
      <c r="G511">
        <v>137</v>
      </c>
      <c r="H511" t="s">
        <v>28</v>
      </c>
      <c r="I511">
        <v>2418</v>
      </c>
      <c r="J511">
        <v>5566</v>
      </c>
      <c r="K511" t="s">
        <v>63</v>
      </c>
      <c r="L511" t="s">
        <v>26</v>
      </c>
      <c r="M511">
        <v>699</v>
      </c>
      <c r="N511">
        <v>70</v>
      </c>
      <c r="O511" t="s">
        <v>30</v>
      </c>
      <c r="P511" t="s">
        <v>63</v>
      </c>
      <c r="Q511">
        <v>137</v>
      </c>
      <c r="R511" t="s">
        <v>50</v>
      </c>
      <c r="S511">
        <v>11.99</v>
      </c>
    </row>
    <row r="512" spans="1:19" x14ac:dyDescent="0.3">
      <c r="A512">
        <f>'Raw Data'!D512-'Raw Data'!C512</f>
        <v>640</v>
      </c>
      <c r="B512" s="2" t="str">
        <f>_xlfn.IFS('Raw Data'!E512&gt;10,"Premium",'Raw Data'!E512&lt;10,"Basic")</f>
        <v>Basic</v>
      </c>
      <c r="C512">
        <v>7.99</v>
      </c>
      <c r="D512">
        <v>1373</v>
      </c>
      <c r="E512" t="s">
        <v>24</v>
      </c>
      <c r="F512" t="s">
        <v>68</v>
      </c>
      <c r="G512">
        <v>301</v>
      </c>
      <c r="H512" t="s">
        <v>28</v>
      </c>
      <c r="I512">
        <v>756</v>
      </c>
      <c r="J512">
        <v>1373</v>
      </c>
      <c r="K512" t="s">
        <v>25</v>
      </c>
      <c r="L512" t="s">
        <v>49</v>
      </c>
      <c r="M512">
        <v>89</v>
      </c>
      <c r="N512">
        <v>55</v>
      </c>
      <c r="O512" t="s">
        <v>68</v>
      </c>
      <c r="P512" t="s">
        <v>25</v>
      </c>
      <c r="Q512">
        <v>301</v>
      </c>
      <c r="R512" t="s">
        <v>67</v>
      </c>
      <c r="S512">
        <v>7.99</v>
      </c>
    </row>
    <row r="513" spans="1:19" x14ac:dyDescent="0.3">
      <c r="A513">
        <f>'Raw Data'!D513-'Raw Data'!C513</f>
        <v>708</v>
      </c>
      <c r="B513" s="2" t="str">
        <f>_xlfn.IFS('Raw Data'!E513&gt;10,"Premium",'Raw Data'!E513&lt;10,"Basic")</f>
        <v>Basic</v>
      </c>
      <c r="C513">
        <v>7.99</v>
      </c>
      <c r="D513">
        <v>6345</v>
      </c>
      <c r="E513" t="s">
        <v>46</v>
      </c>
      <c r="F513" t="s">
        <v>36</v>
      </c>
      <c r="G513">
        <v>410</v>
      </c>
      <c r="H513" t="s">
        <v>28</v>
      </c>
      <c r="I513">
        <v>754</v>
      </c>
      <c r="J513">
        <v>6345</v>
      </c>
      <c r="K513" t="s">
        <v>39</v>
      </c>
      <c r="L513" t="s">
        <v>26</v>
      </c>
      <c r="M513">
        <v>909</v>
      </c>
      <c r="N513">
        <v>99</v>
      </c>
      <c r="O513" t="s">
        <v>36</v>
      </c>
      <c r="P513" t="s">
        <v>39</v>
      </c>
      <c r="Q513">
        <v>410</v>
      </c>
      <c r="R513" t="s">
        <v>41</v>
      </c>
      <c r="S513">
        <v>7.99</v>
      </c>
    </row>
    <row r="514" spans="1:19" x14ac:dyDescent="0.3">
      <c r="A514">
        <f>'Raw Data'!D514-'Raw Data'!C514</f>
        <v>341</v>
      </c>
      <c r="B514" s="2" t="str">
        <f>_xlfn.IFS('Raw Data'!E514&gt;10,"Premium",'Raw Data'!E514&lt;10,"Basic")</f>
        <v>Premium</v>
      </c>
      <c r="C514">
        <v>11.99</v>
      </c>
      <c r="D514">
        <v>3234</v>
      </c>
      <c r="E514" t="s">
        <v>55</v>
      </c>
      <c r="F514" t="s">
        <v>52</v>
      </c>
      <c r="G514">
        <v>298</v>
      </c>
      <c r="H514" t="s">
        <v>28</v>
      </c>
      <c r="I514">
        <v>3476</v>
      </c>
      <c r="J514">
        <v>3234</v>
      </c>
      <c r="K514" t="s">
        <v>59</v>
      </c>
      <c r="L514" t="s">
        <v>26</v>
      </c>
      <c r="M514">
        <v>918</v>
      </c>
      <c r="N514">
        <v>153</v>
      </c>
      <c r="O514" t="s">
        <v>52</v>
      </c>
      <c r="P514" t="s">
        <v>59</v>
      </c>
      <c r="Q514">
        <v>298</v>
      </c>
      <c r="R514" t="s">
        <v>50</v>
      </c>
      <c r="S514">
        <v>11.99</v>
      </c>
    </row>
    <row r="515" spans="1:19" x14ac:dyDescent="0.3">
      <c r="A515">
        <f>'Raw Data'!D515-'Raw Data'!C515</f>
        <v>255</v>
      </c>
      <c r="B515" s="2" t="str">
        <f>_xlfn.IFS('Raw Data'!E515&gt;10,"Premium",'Raw Data'!E515&lt;10,"Basic")</f>
        <v>Basic</v>
      </c>
      <c r="C515">
        <v>7.99</v>
      </c>
      <c r="D515">
        <v>6998</v>
      </c>
      <c r="E515" t="s">
        <v>43</v>
      </c>
      <c r="F515" t="s">
        <v>60</v>
      </c>
      <c r="G515">
        <v>54</v>
      </c>
      <c r="H515" t="s">
        <v>28</v>
      </c>
      <c r="I515">
        <v>290</v>
      </c>
      <c r="J515">
        <v>6998</v>
      </c>
      <c r="K515" t="s">
        <v>48</v>
      </c>
      <c r="L515" t="s">
        <v>49</v>
      </c>
      <c r="M515">
        <v>285</v>
      </c>
      <c r="N515">
        <v>66</v>
      </c>
      <c r="O515" t="s">
        <v>60</v>
      </c>
      <c r="P515" t="s">
        <v>48</v>
      </c>
      <c r="Q515">
        <v>54</v>
      </c>
      <c r="R515" t="s">
        <v>56</v>
      </c>
      <c r="S515">
        <v>7.99</v>
      </c>
    </row>
    <row r="516" spans="1:19" x14ac:dyDescent="0.3">
      <c r="A516">
        <f>'Raw Data'!D516-'Raw Data'!C516</f>
        <v>67</v>
      </c>
      <c r="B516" s="2" t="str">
        <f>_xlfn.IFS('Raw Data'!E516&gt;10,"Premium",'Raw Data'!E516&lt;10,"Basic")</f>
        <v>Basic</v>
      </c>
      <c r="C516">
        <v>7.99</v>
      </c>
      <c r="D516">
        <v>5809</v>
      </c>
      <c r="E516" t="s">
        <v>55</v>
      </c>
      <c r="F516" t="s">
        <v>68</v>
      </c>
      <c r="G516">
        <v>486</v>
      </c>
      <c r="H516" t="s">
        <v>28</v>
      </c>
      <c r="I516">
        <v>987</v>
      </c>
      <c r="J516">
        <v>5809</v>
      </c>
      <c r="K516" t="s">
        <v>44</v>
      </c>
      <c r="L516" t="s">
        <v>40</v>
      </c>
      <c r="M516">
        <v>463</v>
      </c>
      <c r="N516">
        <v>171</v>
      </c>
      <c r="O516" t="s">
        <v>68</v>
      </c>
      <c r="P516" t="s">
        <v>44</v>
      </c>
      <c r="Q516">
        <v>486</v>
      </c>
      <c r="R516" t="s">
        <v>67</v>
      </c>
      <c r="S516">
        <v>7.99</v>
      </c>
    </row>
    <row r="517" spans="1:19" x14ac:dyDescent="0.3">
      <c r="A517">
        <f>'Raw Data'!D517-'Raw Data'!C517</f>
        <v>444</v>
      </c>
      <c r="B517" s="2" t="str">
        <f>_xlfn.IFS('Raw Data'!E517&gt;10,"Premium",'Raw Data'!E517&lt;10,"Basic")</f>
        <v>Premium</v>
      </c>
      <c r="C517">
        <v>11.99</v>
      </c>
      <c r="D517">
        <v>6522</v>
      </c>
      <c r="E517" t="s">
        <v>62</v>
      </c>
      <c r="F517" t="s">
        <v>52</v>
      </c>
      <c r="G517">
        <v>38</v>
      </c>
      <c r="H517" t="s">
        <v>28</v>
      </c>
      <c r="I517">
        <v>4972</v>
      </c>
      <c r="J517">
        <v>6522</v>
      </c>
      <c r="K517" t="s">
        <v>39</v>
      </c>
      <c r="L517" t="s">
        <v>64</v>
      </c>
      <c r="M517">
        <v>875</v>
      </c>
      <c r="N517">
        <v>115</v>
      </c>
      <c r="O517" t="s">
        <v>52</v>
      </c>
      <c r="P517" t="s">
        <v>39</v>
      </c>
      <c r="Q517">
        <v>38</v>
      </c>
      <c r="R517" t="s">
        <v>34</v>
      </c>
      <c r="S517">
        <v>11.99</v>
      </c>
    </row>
    <row r="518" spans="1:19" x14ac:dyDescent="0.3">
      <c r="A518">
        <f>'Raw Data'!D518-'Raw Data'!C518</f>
        <v>501</v>
      </c>
      <c r="B518" s="2" t="str">
        <f>_xlfn.IFS('Raw Data'!E518&gt;10,"Premium",'Raw Data'!E518&lt;10,"Basic")</f>
        <v>Basic</v>
      </c>
      <c r="C518">
        <v>7.99</v>
      </c>
      <c r="D518">
        <v>3892</v>
      </c>
      <c r="E518" t="s">
        <v>24</v>
      </c>
      <c r="F518" t="s">
        <v>30</v>
      </c>
      <c r="G518">
        <v>442</v>
      </c>
      <c r="H518" t="s">
        <v>28</v>
      </c>
      <c r="I518">
        <v>1628</v>
      </c>
      <c r="J518">
        <v>3892</v>
      </c>
      <c r="K518" t="s">
        <v>39</v>
      </c>
      <c r="L518" t="s">
        <v>26</v>
      </c>
      <c r="M518">
        <v>875</v>
      </c>
      <c r="N518">
        <v>70</v>
      </c>
      <c r="O518" t="s">
        <v>30</v>
      </c>
      <c r="P518" t="s">
        <v>39</v>
      </c>
      <c r="Q518">
        <v>442</v>
      </c>
      <c r="R518" t="s">
        <v>34</v>
      </c>
      <c r="S518">
        <v>7.99</v>
      </c>
    </row>
    <row r="519" spans="1:19" x14ac:dyDescent="0.3">
      <c r="A519">
        <f>'Raw Data'!D519-'Raw Data'!C519</f>
        <v>530</v>
      </c>
      <c r="B519" s="2" t="str">
        <f>_xlfn.IFS('Raw Data'!E519&gt;10,"Premium",'Raw Data'!E519&lt;10,"Basic")</f>
        <v>Basic</v>
      </c>
      <c r="C519">
        <v>7.99</v>
      </c>
      <c r="D519">
        <v>4427</v>
      </c>
      <c r="E519" t="s">
        <v>55</v>
      </c>
      <c r="F519" t="s">
        <v>60</v>
      </c>
      <c r="G519">
        <v>474</v>
      </c>
      <c r="H519" t="s">
        <v>28</v>
      </c>
      <c r="I519">
        <v>1285</v>
      </c>
      <c r="J519">
        <v>4427</v>
      </c>
      <c r="K519" t="s">
        <v>59</v>
      </c>
      <c r="L519" t="s">
        <v>64</v>
      </c>
      <c r="M519">
        <v>341</v>
      </c>
      <c r="N519">
        <v>165</v>
      </c>
      <c r="O519" t="s">
        <v>60</v>
      </c>
      <c r="P519" t="s">
        <v>59</v>
      </c>
      <c r="Q519">
        <v>474</v>
      </c>
      <c r="R519" t="s">
        <v>41</v>
      </c>
      <c r="S519">
        <v>7.99</v>
      </c>
    </row>
    <row r="520" spans="1:19" x14ac:dyDescent="0.3">
      <c r="A520">
        <f>'Raw Data'!D520-'Raw Data'!C520</f>
        <v>650</v>
      </c>
      <c r="B520" s="2" t="str">
        <f>_xlfn.IFS('Raw Data'!E520&gt;10,"Premium",'Raw Data'!E520&lt;10,"Basic")</f>
        <v>Premium</v>
      </c>
      <c r="C520">
        <v>15.99</v>
      </c>
      <c r="D520">
        <v>8145</v>
      </c>
      <c r="E520" t="s">
        <v>62</v>
      </c>
      <c r="F520" t="s">
        <v>36</v>
      </c>
      <c r="G520">
        <v>96</v>
      </c>
      <c r="H520" t="s">
        <v>28</v>
      </c>
      <c r="I520">
        <v>1960</v>
      </c>
      <c r="J520">
        <v>8145</v>
      </c>
      <c r="K520" t="s">
        <v>44</v>
      </c>
      <c r="L520" t="s">
        <v>26</v>
      </c>
      <c r="M520">
        <v>273</v>
      </c>
      <c r="N520">
        <v>79</v>
      </c>
      <c r="O520" t="s">
        <v>36</v>
      </c>
      <c r="P520" t="s">
        <v>44</v>
      </c>
      <c r="Q520">
        <v>96</v>
      </c>
      <c r="R520" t="s">
        <v>56</v>
      </c>
      <c r="S520">
        <v>15.99</v>
      </c>
    </row>
    <row r="521" spans="1:19" x14ac:dyDescent="0.3">
      <c r="A521">
        <f>'Raw Data'!D521-'Raw Data'!C521</f>
        <v>403</v>
      </c>
      <c r="B521" s="2" t="str">
        <f>_xlfn.IFS('Raw Data'!E521&gt;10,"Premium",'Raw Data'!E521&lt;10,"Basic")</f>
        <v>Premium</v>
      </c>
      <c r="C521">
        <v>11.99</v>
      </c>
      <c r="D521">
        <v>1150</v>
      </c>
      <c r="E521" t="s">
        <v>55</v>
      </c>
      <c r="F521" t="s">
        <v>36</v>
      </c>
      <c r="G521">
        <v>160</v>
      </c>
      <c r="H521" t="s">
        <v>28</v>
      </c>
      <c r="I521">
        <v>771</v>
      </c>
      <c r="J521">
        <v>1150</v>
      </c>
      <c r="K521" t="s">
        <v>48</v>
      </c>
      <c r="L521" t="s">
        <v>26</v>
      </c>
      <c r="M521">
        <v>352</v>
      </c>
      <c r="N521">
        <v>31</v>
      </c>
      <c r="O521" t="s">
        <v>36</v>
      </c>
      <c r="P521" t="s">
        <v>48</v>
      </c>
      <c r="Q521">
        <v>160</v>
      </c>
      <c r="R521" t="s">
        <v>27</v>
      </c>
      <c r="S521">
        <v>11.99</v>
      </c>
    </row>
    <row r="522" spans="1:19" x14ac:dyDescent="0.3">
      <c r="A522">
        <f>'Raw Data'!D522-'Raw Data'!C522</f>
        <v>176</v>
      </c>
      <c r="B522" s="2" t="str">
        <f>_xlfn.IFS('Raw Data'!E522&gt;10,"Premium",'Raw Data'!E522&lt;10,"Basic")</f>
        <v>Basic</v>
      </c>
      <c r="C522">
        <v>7.99</v>
      </c>
      <c r="D522">
        <v>7366</v>
      </c>
      <c r="E522" t="s">
        <v>62</v>
      </c>
      <c r="F522" t="s">
        <v>60</v>
      </c>
      <c r="G522">
        <v>451</v>
      </c>
      <c r="H522" t="s">
        <v>28</v>
      </c>
      <c r="I522">
        <v>1785</v>
      </c>
      <c r="J522">
        <v>7366</v>
      </c>
      <c r="K522" t="s">
        <v>63</v>
      </c>
      <c r="L522" t="s">
        <v>40</v>
      </c>
      <c r="M522">
        <v>588</v>
      </c>
      <c r="N522">
        <v>147</v>
      </c>
      <c r="O522" t="s">
        <v>60</v>
      </c>
      <c r="P522" t="s">
        <v>63</v>
      </c>
      <c r="Q522">
        <v>451</v>
      </c>
      <c r="R522" t="s">
        <v>34</v>
      </c>
      <c r="S522">
        <v>7.99</v>
      </c>
    </row>
    <row r="523" spans="1:19" x14ac:dyDescent="0.3">
      <c r="A523">
        <f>'Raw Data'!D523-'Raw Data'!C523</f>
        <v>57</v>
      </c>
      <c r="B523" s="2" t="str">
        <f>_xlfn.IFS('Raw Data'!E523&gt;10,"Premium",'Raw Data'!E523&lt;10,"Basic")</f>
        <v>Premium</v>
      </c>
      <c r="C523">
        <v>11.99</v>
      </c>
      <c r="D523">
        <v>3004</v>
      </c>
      <c r="E523" t="s">
        <v>46</v>
      </c>
      <c r="F523" t="s">
        <v>60</v>
      </c>
      <c r="G523">
        <v>184</v>
      </c>
      <c r="H523" t="s">
        <v>28</v>
      </c>
      <c r="I523">
        <v>2760</v>
      </c>
      <c r="J523">
        <v>3004</v>
      </c>
      <c r="K523" t="s">
        <v>39</v>
      </c>
      <c r="L523" t="s">
        <v>64</v>
      </c>
      <c r="M523">
        <v>233</v>
      </c>
      <c r="N523">
        <v>15</v>
      </c>
      <c r="O523" t="s">
        <v>60</v>
      </c>
      <c r="P523" t="s">
        <v>39</v>
      </c>
      <c r="Q523">
        <v>184</v>
      </c>
      <c r="R523" t="s">
        <v>41</v>
      </c>
      <c r="S523">
        <v>11.99</v>
      </c>
    </row>
    <row r="524" spans="1:19" x14ac:dyDescent="0.3">
      <c r="A524">
        <f>'Raw Data'!D524-'Raw Data'!C524</f>
        <v>354</v>
      </c>
      <c r="B524" s="2" t="str">
        <f>_xlfn.IFS('Raw Data'!E524&gt;10,"Premium",'Raw Data'!E524&lt;10,"Basic")</f>
        <v>Premium</v>
      </c>
      <c r="C524">
        <v>15.99</v>
      </c>
      <c r="D524">
        <v>9934</v>
      </c>
      <c r="E524" t="s">
        <v>33</v>
      </c>
      <c r="F524" t="s">
        <v>36</v>
      </c>
      <c r="G524">
        <v>50</v>
      </c>
      <c r="H524" t="s">
        <v>28</v>
      </c>
      <c r="I524">
        <v>388</v>
      </c>
      <c r="J524">
        <v>9934</v>
      </c>
      <c r="K524" t="s">
        <v>59</v>
      </c>
      <c r="L524" t="s">
        <v>40</v>
      </c>
      <c r="M524">
        <v>159</v>
      </c>
      <c r="N524">
        <v>131</v>
      </c>
      <c r="O524" t="s">
        <v>36</v>
      </c>
      <c r="P524" t="s">
        <v>59</v>
      </c>
      <c r="Q524">
        <v>50</v>
      </c>
      <c r="R524" t="s">
        <v>41</v>
      </c>
      <c r="S524">
        <v>15.99</v>
      </c>
    </row>
    <row r="525" spans="1:19" x14ac:dyDescent="0.3">
      <c r="A525">
        <f>'Raw Data'!D525-'Raw Data'!C525</f>
        <v>626</v>
      </c>
      <c r="B525" s="2" t="str">
        <f>_xlfn.IFS('Raw Data'!E525&gt;10,"Premium",'Raw Data'!E525&lt;10,"Basic")</f>
        <v>Basic</v>
      </c>
      <c r="C525">
        <v>7.99</v>
      </c>
      <c r="D525">
        <v>1228</v>
      </c>
      <c r="E525" t="s">
        <v>55</v>
      </c>
      <c r="F525" t="s">
        <v>60</v>
      </c>
      <c r="G525">
        <v>299</v>
      </c>
      <c r="H525" t="s">
        <v>28</v>
      </c>
      <c r="I525">
        <v>2385</v>
      </c>
      <c r="J525">
        <v>1228</v>
      </c>
      <c r="K525" t="s">
        <v>63</v>
      </c>
      <c r="L525" t="s">
        <v>40</v>
      </c>
      <c r="M525">
        <v>488</v>
      </c>
      <c r="N525">
        <v>135</v>
      </c>
      <c r="O525" t="s">
        <v>60</v>
      </c>
      <c r="P525" t="s">
        <v>63</v>
      </c>
      <c r="Q525">
        <v>299</v>
      </c>
      <c r="R525" t="s">
        <v>34</v>
      </c>
      <c r="S525">
        <v>7.99</v>
      </c>
    </row>
    <row r="526" spans="1:19" x14ac:dyDescent="0.3">
      <c r="A526">
        <f>'Raw Data'!D526-'Raw Data'!C526</f>
        <v>136</v>
      </c>
      <c r="B526" s="2" t="str">
        <f>_xlfn.IFS('Raw Data'!E526&gt;10,"Premium",'Raw Data'!E526&lt;10,"Basic")</f>
        <v>Basic</v>
      </c>
      <c r="C526">
        <v>7.99</v>
      </c>
      <c r="D526">
        <v>5806</v>
      </c>
      <c r="E526" t="s">
        <v>33</v>
      </c>
      <c r="F526" t="s">
        <v>68</v>
      </c>
      <c r="G526">
        <v>495</v>
      </c>
      <c r="H526" t="s">
        <v>28</v>
      </c>
      <c r="I526">
        <v>3714</v>
      </c>
      <c r="J526">
        <v>5806</v>
      </c>
      <c r="K526" t="s">
        <v>59</v>
      </c>
      <c r="L526" t="s">
        <v>64</v>
      </c>
      <c r="M526">
        <v>522</v>
      </c>
      <c r="N526">
        <v>32</v>
      </c>
      <c r="O526" t="s">
        <v>68</v>
      </c>
      <c r="P526" t="s">
        <v>59</v>
      </c>
      <c r="Q526">
        <v>495</v>
      </c>
      <c r="R526" t="s">
        <v>67</v>
      </c>
      <c r="S526">
        <v>7.99</v>
      </c>
    </row>
    <row r="527" spans="1:19" x14ac:dyDescent="0.3">
      <c r="A527">
        <f>'Raw Data'!D527-'Raw Data'!C527</f>
        <v>198</v>
      </c>
      <c r="B527" s="2" t="str">
        <f>_xlfn.IFS('Raw Data'!E527&gt;10,"Premium",'Raw Data'!E527&lt;10,"Basic")</f>
        <v>Basic</v>
      </c>
      <c r="C527">
        <v>7.99</v>
      </c>
      <c r="D527">
        <v>7538</v>
      </c>
      <c r="E527" t="s">
        <v>55</v>
      </c>
      <c r="F527" t="s">
        <v>60</v>
      </c>
      <c r="G527">
        <v>132</v>
      </c>
      <c r="H527" t="s">
        <v>28</v>
      </c>
      <c r="I527">
        <v>2015</v>
      </c>
      <c r="J527">
        <v>7538</v>
      </c>
      <c r="K527" t="s">
        <v>25</v>
      </c>
      <c r="L527" t="s">
        <v>26</v>
      </c>
      <c r="M527">
        <v>30</v>
      </c>
      <c r="N527">
        <v>177</v>
      </c>
      <c r="O527" t="s">
        <v>60</v>
      </c>
      <c r="P527" t="s">
        <v>25</v>
      </c>
      <c r="Q527">
        <v>132</v>
      </c>
      <c r="R527" t="s">
        <v>67</v>
      </c>
      <c r="S527">
        <v>7.99</v>
      </c>
    </row>
    <row r="528" spans="1:19" x14ac:dyDescent="0.3">
      <c r="A528">
        <f>'Raw Data'!D528-'Raw Data'!C528</f>
        <v>280</v>
      </c>
      <c r="B528" s="2" t="str">
        <f>_xlfn.IFS('Raw Data'!E528&gt;10,"Premium",'Raw Data'!E528&lt;10,"Basic")</f>
        <v>Premium</v>
      </c>
      <c r="C528">
        <v>11.99</v>
      </c>
      <c r="D528">
        <v>1035</v>
      </c>
      <c r="E528" t="s">
        <v>79</v>
      </c>
      <c r="F528" t="s">
        <v>60</v>
      </c>
      <c r="G528">
        <v>395</v>
      </c>
      <c r="H528" t="s">
        <v>28</v>
      </c>
      <c r="I528">
        <v>3201</v>
      </c>
      <c r="J528">
        <v>1035</v>
      </c>
      <c r="K528" t="s">
        <v>63</v>
      </c>
      <c r="L528" t="s">
        <v>40</v>
      </c>
      <c r="M528">
        <v>139</v>
      </c>
      <c r="N528">
        <v>29</v>
      </c>
      <c r="O528" t="s">
        <v>60</v>
      </c>
      <c r="P528" t="s">
        <v>63</v>
      </c>
      <c r="Q528">
        <v>395</v>
      </c>
      <c r="R528" t="s">
        <v>50</v>
      </c>
      <c r="S528">
        <v>11.99</v>
      </c>
    </row>
    <row r="529" spans="1:19" x14ac:dyDescent="0.3">
      <c r="A529">
        <f>'Raw Data'!D529-'Raw Data'!C529</f>
        <v>639</v>
      </c>
      <c r="B529" s="2" t="str">
        <f>_xlfn.IFS('Raw Data'!E529&gt;10,"Premium",'Raw Data'!E529&lt;10,"Basic")</f>
        <v>Premium</v>
      </c>
      <c r="C529">
        <v>11.99</v>
      </c>
      <c r="D529">
        <v>8399</v>
      </c>
      <c r="E529" t="s">
        <v>24</v>
      </c>
      <c r="F529" t="s">
        <v>30</v>
      </c>
      <c r="G529">
        <v>34</v>
      </c>
      <c r="H529" t="s">
        <v>28</v>
      </c>
      <c r="I529">
        <v>3426</v>
      </c>
      <c r="J529">
        <v>8399</v>
      </c>
      <c r="K529" t="s">
        <v>44</v>
      </c>
      <c r="L529" t="s">
        <v>64</v>
      </c>
      <c r="M529">
        <v>393</v>
      </c>
      <c r="N529">
        <v>130</v>
      </c>
      <c r="O529" t="s">
        <v>30</v>
      </c>
      <c r="P529" t="s">
        <v>44</v>
      </c>
      <c r="Q529">
        <v>34</v>
      </c>
      <c r="R529" t="s">
        <v>41</v>
      </c>
      <c r="S529">
        <v>11.99</v>
      </c>
    </row>
    <row r="530" spans="1:19" x14ac:dyDescent="0.3">
      <c r="A530">
        <f>'Raw Data'!D530-'Raw Data'!C530</f>
        <v>505</v>
      </c>
      <c r="B530" s="2" t="str">
        <f>_xlfn.IFS('Raw Data'!E530&gt;10,"Premium",'Raw Data'!E530&lt;10,"Basic")</f>
        <v>Premium</v>
      </c>
      <c r="C530">
        <v>11.99</v>
      </c>
      <c r="D530">
        <v>1912</v>
      </c>
      <c r="E530" t="s">
        <v>79</v>
      </c>
      <c r="F530" t="s">
        <v>30</v>
      </c>
      <c r="G530">
        <v>348</v>
      </c>
      <c r="H530" t="s">
        <v>28</v>
      </c>
      <c r="I530">
        <v>3366</v>
      </c>
      <c r="J530">
        <v>1912</v>
      </c>
      <c r="K530" t="s">
        <v>59</v>
      </c>
      <c r="L530" t="s">
        <v>64</v>
      </c>
      <c r="M530">
        <v>792</v>
      </c>
      <c r="N530">
        <v>67</v>
      </c>
      <c r="O530" t="s">
        <v>30</v>
      </c>
      <c r="P530" t="s">
        <v>59</v>
      </c>
      <c r="Q530">
        <v>348</v>
      </c>
      <c r="R530" t="s">
        <v>67</v>
      </c>
      <c r="S530">
        <v>11.99</v>
      </c>
    </row>
    <row r="531" spans="1:19" x14ac:dyDescent="0.3">
      <c r="A531">
        <f>'Raw Data'!D531-'Raw Data'!C531</f>
        <v>159</v>
      </c>
      <c r="B531" s="2" t="str">
        <f>_xlfn.IFS('Raw Data'!E531&gt;10,"Premium",'Raw Data'!E531&lt;10,"Basic")</f>
        <v>Premium</v>
      </c>
      <c r="C531">
        <v>15.99</v>
      </c>
      <c r="D531">
        <v>6604</v>
      </c>
      <c r="E531" t="s">
        <v>79</v>
      </c>
      <c r="F531" t="s">
        <v>60</v>
      </c>
      <c r="G531">
        <v>247</v>
      </c>
      <c r="H531" t="s">
        <v>28</v>
      </c>
      <c r="I531">
        <v>125</v>
      </c>
      <c r="J531">
        <v>6604</v>
      </c>
      <c r="K531" t="s">
        <v>44</v>
      </c>
      <c r="L531" t="s">
        <v>64</v>
      </c>
      <c r="M531">
        <v>186</v>
      </c>
      <c r="N531">
        <v>158</v>
      </c>
      <c r="O531" t="s">
        <v>60</v>
      </c>
      <c r="P531" t="s">
        <v>44</v>
      </c>
      <c r="Q531">
        <v>247</v>
      </c>
      <c r="R531" t="s">
        <v>50</v>
      </c>
      <c r="S531">
        <v>15.99</v>
      </c>
    </row>
    <row r="532" spans="1:19" x14ac:dyDescent="0.3">
      <c r="A532">
        <f>'Raw Data'!D532-'Raw Data'!C532</f>
        <v>653</v>
      </c>
      <c r="B532" s="2" t="str">
        <f>_xlfn.IFS('Raw Data'!E532&gt;10,"Premium",'Raw Data'!E532&lt;10,"Basic")</f>
        <v>Premium</v>
      </c>
      <c r="C532">
        <v>11.99</v>
      </c>
      <c r="D532">
        <v>8952</v>
      </c>
      <c r="E532" t="s">
        <v>79</v>
      </c>
      <c r="F532" t="s">
        <v>52</v>
      </c>
      <c r="G532">
        <v>216</v>
      </c>
      <c r="H532" t="s">
        <v>28</v>
      </c>
      <c r="I532">
        <v>4037</v>
      </c>
      <c r="J532">
        <v>8952</v>
      </c>
      <c r="K532" t="s">
        <v>74</v>
      </c>
      <c r="L532" t="s">
        <v>49</v>
      </c>
      <c r="M532">
        <v>872</v>
      </c>
      <c r="N532">
        <v>150</v>
      </c>
      <c r="O532" t="s">
        <v>52</v>
      </c>
      <c r="P532" t="s">
        <v>74</v>
      </c>
      <c r="Q532">
        <v>216</v>
      </c>
      <c r="R532" t="s">
        <v>56</v>
      </c>
      <c r="S532">
        <v>11.99</v>
      </c>
    </row>
    <row r="533" spans="1:19" x14ac:dyDescent="0.3">
      <c r="A533">
        <f>'Raw Data'!D533-'Raw Data'!C533</f>
        <v>102</v>
      </c>
      <c r="B533" s="2" t="str">
        <f>_xlfn.IFS('Raw Data'!E533&gt;10,"Premium",'Raw Data'!E533&lt;10,"Basic")</f>
        <v>Premium</v>
      </c>
      <c r="C533">
        <v>11.99</v>
      </c>
      <c r="D533">
        <v>2549</v>
      </c>
      <c r="E533" t="s">
        <v>62</v>
      </c>
      <c r="F533" t="s">
        <v>60</v>
      </c>
      <c r="G533">
        <v>299</v>
      </c>
      <c r="H533" t="s">
        <v>28</v>
      </c>
      <c r="I533">
        <v>4348</v>
      </c>
      <c r="J533">
        <v>2549</v>
      </c>
      <c r="K533" t="s">
        <v>59</v>
      </c>
      <c r="L533" t="s">
        <v>64</v>
      </c>
      <c r="M533">
        <v>77</v>
      </c>
      <c r="N533">
        <v>191</v>
      </c>
      <c r="O533" t="s">
        <v>60</v>
      </c>
      <c r="P533" t="s">
        <v>59</v>
      </c>
      <c r="Q533">
        <v>299</v>
      </c>
      <c r="R533" t="s">
        <v>56</v>
      </c>
      <c r="S533">
        <v>11.99</v>
      </c>
    </row>
    <row r="534" spans="1:19" x14ac:dyDescent="0.3">
      <c r="A534">
        <f>'Raw Data'!D534-'Raw Data'!C534</f>
        <v>380</v>
      </c>
      <c r="B534" s="2" t="str">
        <f>_xlfn.IFS('Raw Data'!E534&gt;10,"Premium",'Raw Data'!E534&lt;10,"Basic")</f>
        <v>Premium</v>
      </c>
      <c r="C534">
        <v>15.99</v>
      </c>
      <c r="D534">
        <v>8954</v>
      </c>
      <c r="E534" t="s">
        <v>62</v>
      </c>
      <c r="F534" t="s">
        <v>30</v>
      </c>
      <c r="G534">
        <v>315</v>
      </c>
      <c r="H534" t="s">
        <v>28</v>
      </c>
      <c r="I534">
        <v>546</v>
      </c>
      <c r="J534">
        <v>8954</v>
      </c>
      <c r="K534" t="s">
        <v>25</v>
      </c>
      <c r="L534" t="s">
        <v>40</v>
      </c>
      <c r="M534">
        <v>829</v>
      </c>
      <c r="N534">
        <v>178</v>
      </c>
      <c r="O534" t="s">
        <v>30</v>
      </c>
      <c r="P534" t="s">
        <v>25</v>
      </c>
      <c r="Q534">
        <v>315</v>
      </c>
      <c r="R534" t="s">
        <v>50</v>
      </c>
      <c r="S534">
        <v>15.99</v>
      </c>
    </row>
    <row r="535" spans="1:19" x14ac:dyDescent="0.3">
      <c r="A535">
        <f>'Raw Data'!D535-'Raw Data'!C535</f>
        <v>2</v>
      </c>
      <c r="B535" s="2" t="str">
        <f>_xlfn.IFS('Raw Data'!E535&gt;10,"Premium",'Raw Data'!E535&lt;10,"Basic")</f>
        <v>Premium</v>
      </c>
      <c r="C535">
        <v>11.99</v>
      </c>
      <c r="D535">
        <v>1922</v>
      </c>
      <c r="E535" t="s">
        <v>46</v>
      </c>
      <c r="F535" t="s">
        <v>30</v>
      </c>
      <c r="G535">
        <v>35</v>
      </c>
      <c r="H535" t="s">
        <v>28</v>
      </c>
      <c r="I535">
        <v>2785</v>
      </c>
      <c r="J535">
        <v>1922</v>
      </c>
      <c r="K535" t="s">
        <v>48</v>
      </c>
      <c r="L535" t="s">
        <v>40</v>
      </c>
      <c r="M535">
        <v>821</v>
      </c>
      <c r="N535">
        <v>7</v>
      </c>
      <c r="O535" t="s">
        <v>30</v>
      </c>
      <c r="P535" t="s">
        <v>48</v>
      </c>
      <c r="Q535">
        <v>35</v>
      </c>
      <c r="R535" t="s">
        <v>41</v>
      </c>
      <c r="S535">
        <v>11.99</v>
      </c>
    </row>
    <row r="536" spans="1:19" x14ac:dyDescent="0.3">
      <c r="A536">
        <f>'Raw Data'!D536-'Raw Data'!C536</f>
        <v>375</v>
      </c>
      <c r="B536" s="2" t="str">
        <f>_xlfn.IFS('Raw Data'!E536&gt;10,"Premium",'Raw Data'!E536&lt;10,"Basic")</f>
        <v>Premium</v>
      </c>
      <c r="C536">
        <v>15.99</v>
      </c>
      <c r="D536">
        <v>9861</v>
      </c>
      <c r="E536" t="s">
        <v>62</v>
      </c>
      <c r="F536" t="s">
        <v>36</v>
      </c>
      <c r="G536">
        <v>359</v>
      </c>
      <c r="H536" t="s">
        <v>28</v>
      </c>
      <c r="I536">
        <v>3308</v>
      </c>
      <c r="J536">
        <v>9861</v>
      </c>
      <c r="K536" t="s">
        <v>59</v>
      </c>
      <c r="L536" t="s">
        <v>49</v>
      </c>
      <c r="M536">
        <v>265</v>
      </c>
      <c r="N536">
        <v>34</v>
      </c>
      <c r="O536" t="s">
        <v>36</v>
      </c>
      <c r="P536" t="s">
        <v>59</v>
      </c>
      <c r="Q536">
        <v>359</v>
      </c>
      <c r="R536" t="s">
        <v>56</v>
      </c>
      <c r="S536">
        <v>15.99</v>
      </c>
    </row>
    <row r="537" spans="1:19" x14ac:dyDescent="0.3">
      <c r="A537">
        <f>'Raw Data'!D537-'Raw Data'!C537</f>
        <v>83</v>
      </c>
      <c r="B537" s="2" t="str">
        <f>_xlfn.IFS('Raw Data'!E537&gt;10,"Premium",'Raw Data'!E537&lt;10,"Basic")</f>
        <v>Premium</v>
      </c>
      <c r="C537">
        <v>15.99</v>
      </c>
      <c r="D537">
        <v>4383</v>
      </c>
      <c r="E537" t="s">
        <v>24</v>
      </c>
      <c r="F537" t="s">
        <v>52</v>
      </c>
      <c r="G537">
        <v>361</v>
      </c>
      <c r="H537" t="s">
        <v>28</v>
      </c>
      <c r="I537">
        <v>527</v>
      </c>
      <c r="J537">
        <v>4383</v>
      </c>
      <c r="K537" t="s">
        <v>59</v>
      </c>
      <c r="L537" t="s">
        <v>49</v>
      </c>
      <c r="M537">
        <v>416</v>
      </c>
      <c r="N537">
        <v>143</v>
      </c>
      <c r="O537" t="s">
        <v>52</v>
      </c>
      <c r="P537" t="s">
        <v>59</v>
      </c>
      <c r="Q537">
        <v>361</v>
      </c>
      <c r="R537" t="s">
        <v>67</v>
      </c>
      <c r="S537">
        <v>15.99</v>
      </c>
    </row>
    <row r="538" spans="1:19" x14ac:dyDescent="0.3">
      <c r="A538">
        <f>'Raw Data'!D538-'Raw Data'!C538</f>
        <v>556</v>
      </c>
      <c r="B538" s="2" t="str">
        <f>_xlfn.IFS('Raw Data'!E538&gt;10,"Premium",'Raw Data'!E538&lt;10,"Basic")</f>
        <v>Premium</v>
      </c>
      <c r="C538">
        <v>11.99</v>
      </c>
      <c r="D538">
        <v>4328</v>
      </c>
      <c r="E538" t="s">
        <v>24</v>
      </c>
      <c r="F538" t="s">
        <v>36</v>
      </c>
      <c r="G538">
        <v>273</v>
      </c>
      <c r="H538" t="s">
        <v>28</v>
      </c>
      <c r="I538">
        <v>837</v>
      </c>
      <c r="J538">
        <v>4328</v>
      </c>
      <c r="K538" t="s">
        <v>63</v>
      </c>
      <c r="L538" t="s">
        <v>26</v>
      </c>
      <c r="M538">
        <v>253</v>
      </c>
      <c r="N538">
        <v>70</v>
      </c>
      <c r="O538" t="s">
        <v>36</v>
      </c>
      <c r="P538" t="s">
        <v>63</v>
      </c>
      <c r="Q538">
        <v>273</v>
      </c>
      <c r="R538" t="s">
        <v>56</v>
      </c>
      <c r="S538">
        <v>11.99</v>
      </c>
    </row>
    <row r="539" spans="1:19" x14ac:dyDescent="0.3">
      <c r="A539">
        <f>'Raw Data'!D539-'Raw Data'!C539</f>
        <v>25</v>
      </c>
      <c r="B539" s="2" t="str">
        <f>_xlfn.IFS('Raw Data'!E539&gt;10,"Premium",'Raw Data'!E539&lt;10,"Basic")</f>
        <v>Basic</v>
      </c>
      <c r="C539">
        <v>7.99</v>
      </c>
      <c r="D539">
        <v>4622</v>
      </c>
      <c r="E539" t="s">
        <v>24</v>
      </c>
      <c r="F539" t="s">
        <v>60</v>
      </c>
      <c r="G539">
        <v>47</v>
      </c>
      <c r="H539" t="s">
        <v>28</v>
      </c>
      <c r="I539">
        <v>371</v>
      </c>
      <c r="J539">
        <v>4622</v>
      </c>
      <c r="K539" t="s">
        <v>59</v>
      </c>
      <c r="L539" t="s">
        <v>49</v>
      </c>
      <c r="M539">
        <v>770</v>
      </c>
      <c r="N539">
        <v>2</v>
      </c>
      <c r="O539" t="s">
        <v>60</v>
      </c>
      <c r="P539" t="s">
        <v>59</v>
      </c>
      <c r="Q539">
        <v>47</v>
      </c>
      <c r="R539" t="s">
        <v>56</v>
      </c>
      <c r="S539">
        <v>7.99</v>
      </c>
    </row>
    <row r="540" spans="1:19" x14ac:dyDescent="0.3">
      <c r="A540">
        <f>'Raw Data'!D540-'Raw Data'!C540</f>
        <v>604</v>
      </c>
      <c r="B540" s="2" t="str">
        <f>_xlfn.IFS('Raw Data'!E540&gt;10,"Premium",'Raw Data'!E540&lt;10,"Basic")</f>
        <v>Basic</v>
      </c>
      <c r="C540">
        <v>7.99</v>
      </c>
      <c r="D540">
        <v>7828</v>
      </c>
      <c r="E540" t="s">
        <v>55</v>
      </c>
      <c r="F540" t="s">
        <v>36</v>
      </c>
      <c r="G540">
        <v>477</v>
      </c>
      <c r="H540" t="s">
        <v>28</v>
      </c>
      <c r="I540">
        <v>877</v>
      </c>
      <c r="J540">
        <v>7828</v>
      </c>
      <c r="K540" t="s">
        <v>74</v>
      </c>
      <c r="L540" t="s">
        <v>40</v>
      </c>
      <c r="M540">
        <v>969</v>
      </c>
      <c r="N540">
        <v>12</v>
      </c>
      <c r="O540" t="s">
        <v>36</v>
      </c>
      <c r="P540" t="s">
        <v>74</v>
      </c>
      <c r="Q540">
        <v>477</v>
      </c>
      <c r="R540" t="s">
        <v>56</v>
      </c>
      <c r="S540">
        <v>7.99</v>
      </c>
    </row>
    <row r="541" spans="1:19" x14ac:dyDescent="0.3">
      <c r="A541">
        <f>'Raw Data'!D541-'Raw Data'!C541</f>
        <v>686</v>
      </c>
      <c r="B541" s="2" t="str">
        <f>_xlfn.IFS('Raw Data'!E541&gt;10,"Premium",'Raw Data'!E541&lt;10,"Basic")</f>
        <v>Basic</v>
      </c>
      <c r="C541">
        <v>7.99</v>
      </c>
      <c r="D541">
        <v>1393</v>
      </c>
      <c r="E541" t="s">
        <v>24</v>
      </c>
      <c r="F541" t="s">
        <v>36</v>
      </c>
      <c r="G541">
        <v>418</v>
      </c>
      <c r="H541" t="s">
        <v>28</v>
      </c>
      <c r="I541">
        <v>4873</v>
      </c>
      <c r="J541">
        <v>1393</v>
      </c>
      <c r="K541" t="s">
        <v>48</v>
      </c>
      <c r="L541" t="s">
        <v>40</v>
      </c>
      <c r="M541">
        <v>701</v>
      </c>
      <c r="N541">
        <v>125</v>
      </c>
      <c r="O541" t="s">
        <v>36</v>
      </c>
      <c r="P541" t="s">
        <v>48</v>
      </c>
      <c r="Q541">
        <v>418</v>
      </c>
      <c r="R541" t="s">
        <v>27</v>
      </c>
      <c r="S541">
        <v>7.99</v>
      </c>
    </row>
    <row r="542" spans="1:19" x14ac:dyDescent="0.3">
      <c r="A542">
        <f>'Raw Data'!D542-'Raw Data'!C542</f>
        <v>-4</v>
      </c>
      <c r="B542" s="2" t="str">
        <f>_xlfn.IFS('Raw Data'!E542&gt;10,"Premium",'Raw Data'!E542&lt;10,"Basic")</f>
        <v>Premium</v>
      </c>
      <c r="C542">
        <v>15.99</v>
      </c>
      <c r="D542">
        <v>9239</v>
      </c>
      <c r="E542" t="s">
        <v>33</v>
      </c>
      <c r="F542" t="s">
        <v>60</v>
      </c>
      <c r="G542">
        <v>274</v>
      </c>
      <c r="H542" t="s">
        <v>28</v>
      </c>
      <c r="I542">
        <v>4194</v>
      </c>
      <c r="J542">
        <v>9239</v>
      </c>
      <c r="K542" t="s">
        <v>44</v>
      </c>
      <c r="L542" t="s">
        <v>26</v>
      </c>
      <c r="M542">
        <v>732</v>
      </c>
      <c r="N542">
        <v>105</v>
      </c>
      <c r="O542" t="s">
        <v>60</v>
      </c>
      <c r="P542" t="s">
        <v>44</v>
      </c>
      <c r="Q542">
        <v>274</v>
      </c>
      <c r="R542" t="s">
        <v>27</v>
      </c>
      <c r="S542">
        <v>15.99</v>
      </c>
    </row>
    <row r="543" spans="1:19" x14ac:dyDescent="0.3">
      <c r="A543">
        <f>'Raw Data'!D543-'Raw Data'!C543</f>
        <v>559</v>
      </c>
      <c r="B543" s="2" t="str">
        <f>_xlfn.IFS('Raw Data'!E543&gt;10,"Premium",'Raw Data'!E543&lt;10,"Basic")</f>
        <v>Premium</v>
      </c>
      <c r="C543">
        <v>11.99</v>
      </c>
      <c r="D543">
        <v>1636</v>
      </c>
      <c r="E543" t="s">
        <v>79</v>
      </c>
      <c r="F543" t="s">
        <v>30</v>
      </c>
      <c r="G543">
        <v>102</v>
      </c>
      <c r="H543" t="s">
        <v>28</v>
      </c>
      <c r="I543">
        <v>3118</v>
      </c>
      <c r="J543">
        <v>1636</v>
      </c>
      <c r="K543" t="s">
        <v>59</v>
      </c>
      <c r="L543" t="s">
        <v>64</v>
      </c>
      <c r="M543">
        <v>989</v>
      </c>
      <c r="N543">
        <v>44</v>
      </c>
      <c r="O543" t="s">
        <v>30</v>
      </c>
      <c r="P543" t="s">
        <v>59</v>
      </c>
      <c r="Q543">
        <v>102</v>
      </c>
      <c r="R543" t="s">
        <v>56</v>
      </c>
      <c r="S543">
        <v>11.99</v>
      </c>
    </row>
    <row r="544" spans="1:19" x14ac:dyDescent="0.3">
      <c r="A544">
        <f>'Raw Data'!D544-'Raw Data'!C544</f>
        <v>245</v>
      </c>
      <c r="B544" s="2" t="str">
        <f>_xlfn.IFS('Raw Data'!E544&gt;10,"Premium",'Raw Data'!E544&lt;10,"Basic")</f>
        <v>Premium</v>
      </c>
      <c r="C544">
        <v>15.99</v>
      </c>
      <c r="D544">
        <v>4401</v>
      </c>
      <c r="E544" t="s">
        <v>46</v>
      </c>
      <c r="F544" t="s">
        <v>68</v>
      </c>
      <c r="G544">
        <v>164</v>
      </c>
      <c r="H544" t="s">
        <v>28</v>
      </c>
      <c r="I544">
        <v>2088</v>
      </c>
      <c r="J544">
        <v>4401</v>
      </c>
      <c r="K544" t="s">
        <v>63</v>
      </c>
      <c r="L544" t="s">
        <v>64</v>
      </c>
      <c r="M544">
        <v>89</v>
      </c>
      <c r="N544">
        <v>32</v>
      </c>
      <c r="O544" t="s">
        <v>68</v>
      </c>
      <c r="P544" t="s">
        <v>63</v>
      </c>
      <c r="Q544">
        <v>164</v>
      </c>
      <c r="R544" t="s">
        <v>34</v>
      </c>
      <c r="S544">
        <v>15.99</v>
      </c>
    </row>
    <row r="545" spans="1:19" x14ac:dyDescent="0.3">
      <c r="A545">
        <f>'Raw Data'!D545-'Raw Data'!C545</f>
        <v>371</v>
      </c>
      <c r="B545" s="2" t="str">
        <f>_xlfn.IFS('Raw Data'!E545&gt;10,"Premium",'Raw Data'!E545&lt;10,"Basic")</f>
        <v>Premium</v>
      </c>
      <c r="C545">
        <v>15.99</v>
      </c>
      <c r="D545">
        <v>7135</v>
      </c>
      <c r="E545" t="s">
        <v>33</v>
      </c>
      <c r="F545" t="s">
        <v>60</v>
      </c>
      <c r="G545">
        <v>478</v>
      </c>
      <c r="H545" t="s">
        <v>28</v>
      </c>
      <c r="I545">
        <v>3468</v>
      </c>
      <c r="J545">
        <v>7135</v>
      </c>
      <c r="K545" t="s">
        <v>63</v>
      </c>
      <c r="L545" t="s">
        <v>49</v>
      </c>
      <c r="M545">
        <v>578</v>
      </c>
      <c r="N545">
        <v>117</v>
      </c>
      <c r="O545" t="s">
        <v>60</v>
      </c>
      <c r="P545" t="s">
        <v>63</v>
      </c>
      <c r="Q545">
        <v>478</v>
      </c>
      <c r="R545" t="s">
        <v>27</v>
      </c>
      <c r="S545">
        <v>15.99</v>
      </c>
    </row>
    <row r="546" spans="1:19" x14ac:dyDescent="0.3">
      <c r="A546">
        <f>'Raw Data'!D546-'Raw Data'!C546</f>
        <v>-1</v>
      </c>
      <c r="B546" s="2" t="str">
        <f>_xlfn.IFS('Raw Data'!E546&gt;10,"Premium",'Raw Data'!E546&lt;10,"Basic")</f>
        <v>Premium</v>
      </c>
      <c r="C546">
        <v>11.99</v>
      </c>
      <c r="D546">
        <v>8923</v>
      </c>
      <c r="E546" t="s">
        <v>79</v>
      </c>
      <c r="F546" t="s">
        <v>30</v>
      </c>
      <c r="G546">
        <v>100</v>
      </c>
      <c r="H546" t="s">
        <v>28</v>
      </c>
      <c r="I546">
        <v>3183</v>
      </c>
      <c r="J546">
        <v>8923</v>
      </c>
      <c r="K546" t="s">
        <v>74</v>
      </c>
      <c r="L546" t="s">
        <v>49</v>
      </c>
      <c r="M546">
        <v>417</v>
      </c>
      <c r="N546">
        <v>87</v>
      </c>
      <c r="O546" t="s">
        <v>30</v>
      </c>
      <c r="P546" t="s">
        <v>74</v>
      </c>
      <c r="Q546">
        <v>100</v>
      </c>
      <c r="R546" t="s">
        <v>56</v>
      </c>
      <c r="S546">
        <v>11.99</v>
      </c>
    </row>
    <row r="547" spans="1:19" x14ac:dyDescent="0.3">
      <c r="A547">
        <f>'Raw Data'!D547-'Raw Data'!C547</f>
        <v>361</v>
      </c>
      <c r="B547" s="2" t="str">
        <f>_xlfn.IFS('Raw Data'!E547&gt;10,"Premium",'Raw Data'!E547&lt;10,"Basic")</f>
        <v>Premium</v>
      </c>
      <c r="C547">
        <v>15.99</v>
      </c>
      <c r="D547">
        <v>9748</v>
      </c>
      <c r="E547" t="s">
        <v>79</v>
      </c>
      <c r="F547" t="s">
        <v>30</v>
      </c>
      <c r="G547">
        <v>264</v>
      </c>
      <c r="H547" t="s">
        <v>28</v>
      </c>
      <c r="I547">
        <v>4070</v>
      </c>
      <c r="J547">
        <v>9748</v>
      </c>
      <c r="K547" t="s">
        <v>25</v>
      </c>
      <c r="L547" t="s">
        <v>64</v>
      </c>
      <c r="M547">
        <v>474</v>
      </c>
      <c r="N547">
        <v>10</v>
      </c>
      <c r="O547" t="s">
        <v>30</v>
      </c>
      <c r="P547" t="s">
        <v>25</v>
      </c>
      <c r="Q547">
        <v>264</v>
      </c>
      <c r="R547" t="s">
        <v>34</v>
      </c>
      <c r="S547">
        <v>15.99</v>
      </c>
    </row>
    <row r="548" spans="1:19" x14ac:dyDescent="0.3">
      <c r="A548">
        <f>'Raw Data'!D548-'Raw Data'!C548</f>
        <v>653</v>
      </c>
      <c r="B548" s="2" t="str">
        <f>_xlfn.IFS('Raw Data'!E548&gt;10,"Premium",'Raw Data'!E548&lt;10,"Basic")</f>
        <v>Premium</v>
      </c>
      <c r="C548">
        <v>15.99</v>
      </c>
      <c r="D548">
        <v>7046</v>
      </c>
      <c r="E548" t="s">
        <v>55</v>
      </c>
      <c r="F548" t="s">
        <v>68</v>
      </c>
      <c r="G548">
        <v>208</v>
      </c>
      <c r="H548" t="s">
        <v>28</v>
      </c>
      <c r="I548">
        <v>4147</v>
      </c>
      <c r="J548">
        <v>7046</v>
      </c>
      <c r="K548" t="s">
        <v>59</v>
      </c>
      <c r="L548" t="s">
        <v>26</v>
      </c>
      <c r="M548">
        <v>512</v>
      </c>
      <c r="N548">
        <v>176</v>
      </c>
      <c r="O548" t="s">
        <v>68</v>
      </c>
      <c r="P548" t="s">
        <v>59</v>
      </c>
      <c r="Q548">
        <v>208</v>
      </c>
      <c r="R548" t="s">
        <v>67</v>
      </c>
      <c r="S548">
        <v>15.99</v>
      </c>
    </row>
    <row r="549" spans="1:19" x14ac:dyDescent="0.3">
      <c r="A549">
        <f>'Raw Data'!D549-'Raw Data'!C549</f>
        <v>323</v>
      </c>
      <c r="B549" s="2" t="str">
        <f>_xlfn.IFS('Raw Data'!E549&gt;10,"Premium",'Raw Data'!E549&lt;10,"Basic")</f>
        <v>Basic</v>
      </c>
      <c r="C549">
        <v>7.99</v>
      </c>
      <c r="D549">
        <v>9688</v>
      </c>
      <c r="E549" t="s">
        <v>62</v>
      </c>
      <c r="F549" t="s">
        <v>36</v>
      </c>
      <c r="G549">
        <v>56</v>
      </c>
      <c r="H549" t="s">
        <v>28</v>
      </c>
      <c r="I549">
        <v>255</v>
      </c>
      <c r="J549">
        <v>9688</v>
      </c>
      <c r="K549" t="s">
        <v>74</v>
      </c>
      <c r="L549" t="s">
        <v>64</v>
      </c>
      <c r="M549">
        <v>280</v>
      </c>
      <c r="N549">
        <v>67</v>
      </c>
      <c r="O549" t="s">
        <v>36</v>
      </c>
      <c r="P549" t="s">
        <v>74</v>
      </c>
      <c r="Q549">
        <v>56</v>
      </c>
      <c r="R549" t="s">
        <v>50</v>
      </c>
      <c r="S549">
        <v>7.99</v>
      </c>
    </row>
    <row r="550" spans="1:19" x14ac:dyDescent="0.3">
      <c r="A550">
        <f>'Raw Data'!D550-'Raw Data'!C550</f>
        <v>524</v>
      </c>
      <c r="B550" s="2" t="str">
        <f>_xlfn.IFS('Raw Data'!E550&gt;10,"Premium",'Raw Data'!E550&lt;10,"Basic")</f>
        <v>Premium</v>
      </c>
      <c r="C550">
        <v>15.99</v>
      </c>
      <c r="D550">
        <v>6720</v>
      </c>
      <c r="E550" t="s">
        <v>55</v>
      </c>
      <c r="F550" t="s">
        <v>68</v>
      </c>
      <c r="G550">
        <v>207</v>
      </c>
      <c r="H550" t="s">
        <v>28</v>
      </c>
      <c r="I550">
        <v>3278</v>
      </c>
      <c r="J550">
        <v>6720</v>
      </c>
      <c r="K550" t="s">
        <v>74</v>
      </c>
      <c r="L550" t="s">
        <v>64</v>
      </c>
      <c r="M550">
        <v>494</v>
      </c>
      <c r="N550">
        <v>28</v>
      </c>
      <c r="O550" t="s">
        <v>68</v>
      </c>
      <c r="P550" t="s">
        <v>74</v>
      </c>
      <c r="Q550">
        <v>207</v>
      </c>
      <c r="R550" t="s">
        <v>34</v>
      </c>
      <c r="S550">
        <v>15.99</v>
      </c>
    </row>
    <row r="551" spans="1:19" x14ac:dyDescent="0.3">
      <c r="A551">
        <f>'Raw Data'!D551-'Raw Data'!C551</f>
        <v>687</v>
      </c>
      <c r="B551" s="2" t="str">
        <f>_xlfn.IFS('Raw Data'!E551&gt;10,"Premium",'Raw Data'!E551&lt;10,"Basic")</f>
        <v>Basic</v>
      </c>
      <c r="C551">
        <v>7.99</v>
      </c>
      <c r="D551">
        <v>2766</v>
      </c>
      <c r="E551" t="s">
        <v>46</v>
      </c>
      <c r="F551" t="s">
        <v>52</v>
      </c>
      <c r="G551">
        <v>187</v>
      </c>
      <c r="H551" t="s">
        <v>28</v>
      </c>
      <c r="I551">
        <v>213</v>
      </c>
      <c r="J551">
        <v>2766</v>
      </c>
      <c r="K551" t="s">
        <v>59</v>
      </c>
      <c r="L551" t="s">
        <v>40</v>
      </c>
      <c r="M551">
        <v>697</v>
      </c>
      <c r="N551">
        <v>5</v>
      </c>
      <c r="O551" t="s">
        <v>52</v>
      </c>
      <c r="P551" t="s">
        <v>59</v>
      </c>
      <c r="Q551">
        <v>187</v>
      </c>
      <c r="R551" t="s">
        <v>34</v>
      </c>
      <c r="S551">
        <v>7.99</v>
      </c>
    </row>
    <row r="552" spans="1:19" x14ac:dyDescent="0.3">
      <c r="A552">
        <f>'Raw Data'!D552-'Raw Data'!C552</f>
        <v>263</v>
      </c>
      <c r="B552" s="2" t="str">
        <f>_xlfn.IFS('Raw Data'!E552&gt;10,"Premium",'Raw Data'!E552&lt;10,"Basic")</f>
        <v>Premium</v>
      </c>
      <c r="C552">
        <v>11.99</v>
      </c>
      <c r="D552">
        <v>3847</v>
      </c>
      <c r="E552" t="s">
        <v>24</v>
      </c>
      <c r="F552" t="s">
        <v>36</v>
      </c>
      <c r="G552">
        <v>62</v>
      </c>
      <c r="H552" t="s">
        <v>28</v>
      </c>
      <c r="I552">
        <v>2886</v>
      </c>
      <c r="J552">
        <v>3847</v>
      </c>
      <c r="K552" t="s">
        <v>48</v>
      </c>
      <c r="L552" t="s">
        <v>26</v>
      </c>
      <c r="M552">
        <v>879</v>
      </c>
      <c r="N552">
        <v>128</v>
      </c>
      <c r="O552" t="s">
        <v>36</v>
      </c>
      <c r="P552" t="s">
        <v>48</v>
      </c>
      <c r="Q552">
        <v>62</v>
      </c>
      <c r="R552" t="s">
        <v>41</v>
      </c>
      <c r="S552">
        <v>11.99</v>
      </c>
    </row>
    <row r="553" spans="1:19" x14ac:dyDescent="0.3">
      <c r="A553">
        <f>'Raw Data'!D553-'Raw Data'!C553</f>
        <v>355</v>
      </c>
      <c r="B553" s="2" t="str">
        <f>_xlfn.IFS('Raw Data'!E553&gt;10,"Premium",'Raw Data'!E553&lt;10,"Basic")</f>
        <v>Premium</v>
      </c>
      <c r="C553">
        <v>15.99</v>
      </c>
      <c r="D553">
        <v>8554</v>
      </c>
      <c r="E553" t="s">
        <v>79</v>
      </c>
      <c r="F553" t="s">
        <v>60</v>
      </c>
      <c r="G553">
        <v>182</v>
      </c>
      <c r="H553" t="s">
        <v>28</v>
      </c>
      <c r="I553">
        <v>1901</v>
      </c>
      <c r="J553">
        <v>8554</v>
      </c>
      <c r="K553" t="s">
        <v>25</v>
      </c>
      <c r="L553" t="s">
        <v>49</v>
      </c>
      <c r="M553">
        <v>442</v>
      </c>
      <c r="N553">
        <v>87</v>
      </c>
      <c r="O553" t="s">
        <v>60</v>
      </c>
      <c r="P553" t="s">
        <v>25</v>
      </c>
      <c r="Q553">
        <v>182</v>
      </c>
      <c r="R553" t="s">
        <v>41</v>
      </c>
      <c r="S553">
        <v>15.99</v>
      </c>
    </row>
    <row r="554" spans="1:19" x14ac:dyDescent="0.3">
      <c r="A554">
        <f>'Raw Data'!D554-'Raw Data'!C554</f>
        <v>391</v>
      </c>
      <c r="B554" s="2" t="str">
        <f>_xlfn.IFS('Raw Data'!E554&gt;10,"Premium",'Raw Data'!E554&lt;10,"Basic")</f>
        <v>Basic</v>
      </c>
      <c r="C554">
        <v>7.99</v>
      </c>
      <c r="D554">
        <v>6569</v>
      </c>
      <c r="E554" t="s">
        <v>79</v>
      </c>
      <c r="F554" t="s">
        <v>36</v>
      </c>
      <c r="G554">
        <v>468</v>
      </c>
      <c r="H554" t="s">
        <v>28</v>
      </c>
      <c r="I554">
        <v>4456</v>
      </c>
      <c r="J554">
        <v>6569</v>
      </c>
      <c r="K554" t="s">
        <v>39</v>
      </c>
      <c r="L554" t="s">
        <v>40</v>
      </c>
      <c r="M554">
        <v>514</v>
      </c>
      <c r="N554">
        <v>46</v>
      </c>
      <c r="O554" t="s">
        <v>36</v>
      </c>
      <c r="P554" t="s">
        <v>39</v>
      </c>
      <c r="Q554">
        <v>468</v>
      </c>
      <c r="R554" t="s">
        <v>56</v>
      </c>
      <c r="S554">
        <v>7.99</v>
      </c>
    </row>
    <row r="555" spans="1:19" x14ac:dyDescent="0.3">
      <c r="A555">
        <f>'Raw Data'!D555-'Raw Data'!C555</f>
        <v>197</v>
      </c>
      <c r="B555" s="2" t="str">
        <f>_xlfn.IFS('Raw Data'!E555&gt;10,"Premium",'Raw Data'!E555&lt;10,"Basic")</f>
        <v>Premium</v>
      </c>
      <c r="C555">
        <v>15.99</v>
      </c>
      <c r="D555">
        <v>6391</v>
      </c>
      <c r="E555" t="s">
        <v>33</v>
      </c>
      <c r="F555" t="s">
        <v>52</v>
      </c>
      <c r="G555">
        <v>389</v>
      </c>
      <c r="H555" t="s">
        <v>28</v>
      </c>
      <c r="I555">
        <v>237</v>
      </c>
      <c r="J555">
        <v>6391</v>
      </c>
      <c r="K555" t="s">
        <v>44</v>
      </c>
      <c r="L555" t="s">
        <v>40</v>
      </c>
      <c r="M555">
        <v>120</v>
      </c>
      <c r="N555">
        <v>191</v>
      </c>
      <c r="O555" t="s">
        <v>52</v>
      </c>
      <c r="P555" t="s">
        <v>44</v>
      </c>
      <c r="Q555">
        <v>389</v>
      </c>
      <c r="R555" t="s">
        <v>56</v>
      </c>
      <c r="S555">
        <v>15.99</v>
      </c>
    </row>
    <row r="556" spans="1:19" x14ac:dyDescent="0.3">
      <c r="A556">
        <f>'Raw Data'!D556-'Raw Data'!C556</f>
        <v>306</v>
      </c>
      <c r="B556" s="2" t="str">
        <f>_xlfn.IFS('Raw Data'!E556&gt;10,"Premium",'Raw Data'!E556&lt;10,"Basic")</f>
        <v>Premium</v>
      </c>
      <c r="C556">
        <v>15.99</v>
      </c>
      <c r="D556">
        <v>4883</v>
      </c>
      <c r="E556" t="s">
        <v>24</v>
      </c>
      <c r="F556" t="s">
        <v>30</v>
      </c>
      <c r="G556">
        <v>155</v>
      </c>
      <c r="H556" t="s">
        <v>28</v>
      </c>
      <c r="I556">
        <v>4659</v>
      </c>
      <c r="J556">
        <v>4883</v>
      </c>
      <c r="K556" t="s">
        <v>48</v>
      </c>
      <c r="L556" t="s">
        <v>64</v>
      </c>
      <c r="M556">
        <v>573</v>
      </c>
      <c r="N556">
        <v>190</v>
      </c>
      <c r="O556" t="s">
        <v>30</v>
      </c>
      <c r="P556" t="s">
        <v>48</v>
      </c>
      <c r="Q556">
        <v>155</v>
      </c>
      <c r="R556" t="s">
        <v>50</v>
      </c>
      <c r="S556">
        <v>15.99</v>
      </c>
    </row>
    <row r="557" spans="1:19" x14ac:dyDescent="0.3">
      <c r="A557">
        <f>'Raw Data'!D557-'Raw Data'!C557</f>
        <v>347</v>
      </c>
      <c r="B557" s="2" t="str">
        <f>_xlfn.IFS('Raw Data'!E557&gt;10,"Premium",'Raw Data'!E557&lt;10,"Basic")</f>
        <v>Basic</v>
      </c>
      <c r="C557">
        <v>7.99</v>
      </c>
      <c r="D557">
        <v>4530</v>
      </c>
      <c r="E557" t="s">
        <v>24</v>
      </c>
      <c r="F557" t="s">
        <v>68</v>
      </c>
      <c r="G557">
        <v>331</v>
      </c>
      <c r="H557" t="s">
        <v>28</v>
      </c>
      <c r="I557">
        <v>4906</v>
      </c>
      <c r="J557">
        <v>4530</v>
      </c>
      <c r="K557" t="s">
        <v>63</v>
      </c>
      <c r="L557" t="s">
        <v>26</v>
      </c>
      <c r="M557">
        <v>231</v>
      </c>
      <c r="N557">
        <v>199</v>
      </c>
      <c r="O557" t="s">
        <v>68</v>
      </c>
      <c r="P557" t="s">
        <v>63</v>
      </c>
      <c r="Q557">
        <v>331</v>
      </c>
      <c r="R557" t="s">
        <v>41</v>
      </c>
      <c r="S557">
        <v>7.99</v>
      </c>
    </row>
    <row r="558" spans="1:19" x14ac:dyDescent="0.3">
      <c r="A558">
        <f>'Raw Data'!D558-'Raw Data'!C558</f>
        <v>674</v>
      </c>
      <c r="B558" s="2" t="str">
        <f>_xlfn.IFS('Raw Data'!E558&gt;10,"Premium",'Raw Data'!E558&lt;10,"Basic")</f>
        <v>Premium</v>
      </c>
      <c r="C558">
        <v>11.99</v>
      </c>
      <c r="D558">
        <v>6531</v>
      </c>
      <c r="E558" t="s">
        <v>43</v>
      </c>
      <c r="F558" t="s">
        <v>30</v>
      </c>
      <c r="G558">
        <v>131</v>
      </c>
      <c r="H558" t="s">
        <v>28</v>
      </c>
      <c r="I558">
        <v>1155</v>
      </c>
      <c r="J558">
        <v>6531</v>
      </c>
      <c r="K558" t="s">
        <v>74</v>
      </c>
      <c r="L558" t="s">
        <v>40</v>
      </c>
      <c r="M558">
        <v>374</v>
      </c>
      <c r="N558">
        <v>154</v>
      </c>
      <c r="O558" t="s">
        <v>30</v>
      </c>
      <c r="P558" t="s">
        <v>74</v>
      </c>
      <c r="Q558">
        <v>131</v>
      </c>
      <c r="R558" t="s">
        <v>34</v>
      </c>
      <c r="S558">
        <v>11.99</v>
      </c>
    </row>
    <row r="559" spans="1:19" x14ac:dyDescent="0.3">
      <c r="A559">
        <f>'Raw Data'!D559-'Raw Data'!C559</f>
        <v>620</v>
      </c>
      <c r="B559" s="2" t="str">
        <f>_xlfn.IFS('Raw Data'!E559&gt;10,"Premium",'Raw Data'!E559&lt;10,"Basic")</f>
        <v>Basic</v>
      </c>
      <c r="C559">
        <v>7.99</v>
      </c>
      <c r="D559">
        <v>9701</v>
      </c>
      <c r="E559" t="s">
        <v>43</v>
      </c>
      <c r="F559" t="s">
        <v>36</v>
      </c>
      <c r="G559">
        <v>376</v>
      </c>
      <c r="H559" t="s">
        <v>28</v>
      </c>
      <c r="I559">
        <v>4378</v>
      </c>
      <c r="J559">
        <v>9701</v>
      </c>
      <c r="K559" t="s">
        <v>44</v>
      </c>
      <c r="L559" t="s">
        <v>64</v>
      </c>
      <c r="M559">
        <v>727</v>
      </c>
      <c r="N559">
        <v>13</v>
      </c>
      <c r="O559" t="s">
        <v>36</v>
      </c>
      <c r="P559" t="s">
        <v>44</v>
      </c>
      <c r="Q559">
        <v>376</v>
      </c>
      <c r="R559" t="s">
        <v>34</v>
      </c>
      <c r="S559">
        <v>7.99</v>
      </c>
    </row>
    <row r="560" spans="1:19" x14ac:dyDescent="0.3">
      <c r="A560">
        <f>'Raw Data'!D560-'Raw Data'!C560</f>
        <v>255</v>
      </c>
      <c r="B560" s="2" t="str">
        <f>_xlfn.IFS('Raw Data'!E560&gt;10,"Premium",'Raw Data'!E560&lt;10,"Basic")</f>
        <v>Basic</v>
      </c>
      <c r="C560">
        <v>7.99</v>
      </c>
      <c r="D560">
        <v>4702</v>
      </c>
      <c r="E560" t="s">
        <v>55</v>
      </c>
      <c r="F560" t="s">
        <v>60</v>
      </c>
      <c r="G560">
        <v>106</v>
      </c>
      <c r="H560" t="s">
        <v>28</v>
      </c>
      <c r="I560">
        <v>1674</v>
      </c>
      <c r="J560">
        <v>4702</v>
      </c>
      <c r="K560" t="s">
        <v>59</v>
      </c>
      <c r="L560" t="s">
        <v>40</v>
      </c>
      <c r="M560">
        <v>858</v>
      </c>
      <c r="N560">
        <v>12</v>
      </c>
      <c r="O560" t="s">
        <v>60</v>
      </c>
      <c r="P560" t="s">
        <v>59</v>
      </c>
      <c r="Q560">
        <v>106</v>
      </c>
      <c r="R560" t="s">
        <v>41</v>
      </c>
      <c r="S560">
        <v>7.99</v>
      </c>
    </row>
    <row r="561" spans="1:19" x14ac:dyDescent="0.3">
      <c r="A561">
        <f>'Raw Data'!D561-'Raw Data'!C561</f>
        <v>141</v>
      </c>
      <c r="B561" s="2" t="str">
        <f>_xlfn.IFS('Raw Data'!E561&gt;10,"Premium",'Raw Data'!E561&lt;10,"Basic")</f>
        <v>Premium</v>
      </c>
      <c r="C561">
        <v>11.99</v>
      </c>
      <c r="D561">
        <v>3163</v>
      </c>
      <c r="E561" t="s">
        <v>62</v>
      </c>
      <c r="F561" t="s">
        <v>36</v>
      </c>
      <c r="G561">
        <v>445</v>
      </c>
      <c r="H561" t="s">
        <v>28</v>
      </c>
      <c r="I561">
        <v>2407</v>
      </c>
      <c r="J561">
        <v>3163</v>
      </c>
      <c r="K561" t="s">
        <v>63</v>
      </c>
      <c r="L561" t="s">
        <v>26</v>
      </c>
      <c r="M561">
        <v>25</v>
      </c>
      <c r="N561">
        <v>132</v>
      </c>
      <c r="O561" t="s">
        <v>36</v>
      </c>
      <c r="P561" t="s">
        <v>63</v>
      </c>
      <c r="Q561">
        <v>445</v>
      </c>
      <c r="R561" t="s">
        <v>50</v>
      </c>
      <c r="S561">
        <v>11.99</v>
      </c>
    </row>
    <row r="562" spans="1:19" x14ac:dyDescent="0.3">
      <c r="A562">
        <f>'Raw Data'!D562-'Raw Data'!C562</f>
        <v>435</v>
      </c>
      <c r="B562" s="2" t="str">
        <f>_xlfn.IFS('Raw Data'!E562&gt;10,"Premium",'Raw Data'!E562&lt;10,"Basic")</f>
        <v>Premium</v>
      </c>
      <c r="C562">
        <v>15.99</v>
      </c>
      <c r="D562">
        <v>8719</v>
      </c>
      <c r="E562" t="s">
        <v>46</v>
      </c>
      <c r="F562" t="s">
        <v>52</v>
      </c>
      <c r="G562">
        <v>345</v>
      </c>
      <c r="H562" t="s">
        <v>28</v>
      </c>
      <c r="I562">
        <v>2636</v>
      </c>
      <c r="J562">
        <v>8719</v>
      </c>
      <c r="K562" t="s">
        <v>44</v>
      </c>
      <c r="L562" t="s">
        <v>64</v>
      </c>
      <c r="M562">
        <v>180</v>
      </c>
      <c r="N562">
        <v>99</v>
      </c>
      <c r="O562" t="s">
        <v>52</v>
      </c>
      <c r="P562" t="s">
        <v>44</v>
      </c>
      <c r="Q562">
        <v>345</v>
      </c>
      <c r="R562" t="s">
        <v>67</v>
      </c>
      <c r="S562">
        <v>15.99</v>
      </c>
    </row>
    <row r="563" spans="1:19" x14ac:dyDescent="0.3">
      <c r="A563">
        <f>'Raw Data'!D563-'Raw Data'!C563</f>
        <v>-13</v>
      </c>
      <c r="B563" s="2" t="str">
        <f>_xlfn.IFS('Raw Data'!E563&gt;10,"Premium",'Raw Data'!E563&lt;10,"Basic")</f>
        <v>Premium</v>
      </c>
      <c r="C563">
        <v>15.99</v>
      </c>
      <c r="D563">
        <v>1282</v>
      </c>
      <c r="E563" t="s">
        <v>55</v>
      </c>
      <c r="F563" t="s">
        <v>60</v>
      </c>
      <c r="G563">
        <v>432</v>
      </c>
      <c r="H563" t="s">
        <v>28</v>
      </c>
      <c r="I563">
        <v>4020</v>
      </c>
      <c r="J563">
        <v>1282</v>
      </c>
      <c r="K563" t="s">
        <v>59</v>
      </c>
      <c r="L563" t="s">
        <v>64</v>
      </c>
      <c r="M563">
        <v>666</v>
      </c>
      <c r="N563">
        <v>76</v>
      </c>
      <c r="O563" t="s">
        <v>60</v>
      </c>
      <c r="P563" t="s">
        <v>59</v>
      </c>
      <c r="Q563">
        <v>432</v>
      </c>
      <c r="R563" t="s">
        <v>67</v>
      </c>
      <c r="S563">
        <v>15.99</v>
      </c>
    </row>
    <row r="564" spans="1:19" x14ac:dyDescent="0.3">
      <c r="A564">
        <f>'Raw Data'!D564-'Raw Data'!C564</f>
        <v>458</v>
      </c>
      <c r="B564" s="2" t="str">
        <f>_xlfn.IFS('Raw Data'!E564&gt;10,"Premium",'Raw Data'!E564&lt;10,"Basic")</f>
        <v>Premium</v>
      </c>
      <c r="C564">
        <v>15.99</v>
      </c>
      <c r="D564">
        <v>4538</v>
      </c>
      <c r="E564" t="s">
        <v>33</v>
      </c>
      <c r="F564" t="s">
        <v>68</v>
      </c>
      <c r="G564">
        <v>362</v>
      </c>
      <c r="H564" t="s">
        <v>28</v>
      </c>
      <c r="I564">
        <v>4127</v>
      </c>
      <c r="J564">
        <v>4538</v>
      </c>
      <c r="K564" t="s">
        <v>25</v>
      </c>
      <c r="L564" t="s">
        <v>49</v>
      </c>
      <c r="M564">
        <v>709</v>
      </c>
      <c r="N564">
        <v>52</v>
      </c>
      <c r="O564" t="s">
        <v>68</v>
      </c>
      <c r="P564" t="s">
        <v>25</v>
      </c>
      <c r="Q564">
        <v>362</v>
      </c>
      <c r="R564" t="s">
        <v>50</v>
      </c>
      <c r="S564">
        <v>15.99</v>
      </c>
    </row>
    <row r="565" spans="1:19" x14ac:dyDescent="0.3">
      <c r="A565">
        <f>'Raw Data'!D565-'Raw Data'!C565</f>
        <v>675</v>
      </c>
      <c r="B565" s="2" t="str">
        <f>_xlfn.IFS('Raw Data'!E565&gt;10,"Premium",'Raw Data'!E565&lt;10,"Basic")</f>
        <v>Premium</v>
      </c>
      <c r="C565">
        <v>15.99</v>
      </c>
      <c r="D565">
        <v>9538</v>
      </c>
      <c r="E565" t="s">
        <v>33</v>
      </c>
      <c r="F565" t="s">
        <v>30</v>
      </c>
      <c r="G565">
        <v>174</v>
      </c>
      <c r="H565" t="s">
        <v>28</v>
      </c>
      <c r="I565">
        <v>4503</v>
      </c>
      <c r="J565">
        <v>9538</v>
      </c>
      <c r="K565" t="s">
        <v>25</v>
      </c>
      <c r="L565" t="s">
        <v>64</v>
      </c>
      <c r="M565">
        <v>30</v>
      </c>
      <c r="N565">
        <v>136</v>
      </c>
      <c r="O565" t="s">
        <v>30</v>
      </c>
      <c r="P565" t="s">
        <v>25</v>
      </c>
      <c r="Q565">
        <v>174</v>
      </c>
      <c r="R565" t="s">
        <v>41</v>
      </c>
      <c r="S565">
        <v>15.99</v>
      </c>
    </row>
    <row r="566" spans="1:19" x14ac:dyDescent="0.3">
      <c r="A566">
        <f>'Raw Data'!D566-'Raw Data'!C566</f>
        <v>233</v>
      </c>
      <c r="B566" s="2" t="str">
        <f>_xlfn.IFS('Raw Data'!E566&gt;10,"Premium",'Raw Data'!E566&lt;10,"Basic")</f>
        <v>Premium</v>
      </c>
      <c r="C566">
        <v>11.99</v>
      </c>
      <c r="D566">
        <v>5109</v>
      </c>
      <c r="E566" t="s">
        <v>46</v>
      </c>
      <c r="F566" t="s">
        <v>52</v>
      </c>
      <c r="G566">
        <v>490</v>
      </c>
      <c r="H566" t="s">
        <v>28</v>
      </c>
      <c r="I566">
        <v>1080</v>
      </c>
      <c r="J566">
        <v>5109</v>
      </c>
      <c r="K566" t="s">
        <v>63</v>
      </c>
      <c r="L566" t="s">
        <v>49</v>
      </c>
      <c r="M566">
        <v>466</v>
      </c>
      <c r="N566">
        <v>106</v>
      </c>
      <c r="O566" t="s">
        <v>52</v>
      </c>
      <c r="P566" t="s">
        <v>63</v>
      </c>
      <c r="Q566">
        <v>490</v>
      </c>
      <c r="R566" t="s">
        <v>67</v>
      </c>
      <c r="S566">
        <v>11.99</v>
      </c>
    </row>
    <row r="567" spans="1:19" x14ac:dyDescent="0.3">
      <c r="A567">
        <f>'Raw Data'!D567-'Raw Data'!C567</f>
        <v>402</v>
      </c>
      <c r="B567" s="2" t="str">
        <f>_xlfn.IFS('Raw Data'!E567&gt;10,"Premium",'Raw Data'!E567&lt;10,"Basic")</f>
        <v>Premium</v>
      </c>
      <c r="C567">
        <v>15.99</v>
      </c>
      <c r="D567">
        <v>7947</v>
      </c>
      <c r="E567" t="s">
        <v>62</v>
      </c>
      <c r="F567" t="s">
        <v>30</v>
      </c>
      <c r="G567">
        <v>32</v>
      </c>
      <c r="H567" t="s">
        <v>28</v>
      </c>
      <c r="I567">
        <v>1610</v>
      </c>
      <c r="J567">
        <v>7947</v>
      </c>
      <c r="K567" t="s">
        <v>44</v>
      </c>
      <c r="L567" t="s">
        <v>49</v>
      </c>
      <c r="M567">
        <v>385</v>
      </c>
      <c r="N567">
        <v>106</v>
      </c>
      <c r="O567" t="s">
        <v>30</v>
      </c>
      <c r="P567" t="s">
        <v>44</v>
      </c>
      <c r="Q567">
        <v>32</v>
      </c>
      <c r="R567" t="s">
        <v>50</v>
      </c>
      <c r="S567">
        <v>15.99</v>
      </c>
    </row>
    <row r="568" spans="1:19" x14ac:dyDescent="0.3">
      <c r="A568">
        <f>'Raw Data'!D568-'Raw Data'!C568</f>
        <v>47</v>
      </c>
      <c r="B568" s="2" t="str">
        <f>_xlfn.IFS('Raw Data'!E568&gt;10,"Premium",'Raw Data'!E568&lt;10,"Basic")</f>
        <v>Basic</v>
      </c>
      <c r="C568">
        <v>7.99</v>
      </c>
      <c r="D568">
        <v>7546</v>
      </c>
      <c r="E568" t="s">
        <v>43</v>
      </c>
      <c r="F568" t="s">
        <v>52</v>
      </c>
      <c r="G568">
        <v>48</v>
      </c>
      <c r="H568" t="s">
        <v>28</v>
      </c>
      <c r="I568">
        <v>1535</v>
      </c>
      <c r="J568">
        <v>7546</v>
      </c>
      <c r="K568" t="s">
        <v>48</v>
      </c>
      <c r="L568" t="s">
        <v>64</v>
      </c>
      <c r="M568">
        <v>484</v>
      </c>
      <c r="N568">
        <v>131</v>
      </c>
      <c r="O568" t="s">
        <v>52</v>
      </c>
      <c r="P568" t="s">
        <v>48</v>
      </c>
      <c r="Q568">
        <v>48</v>
      </c>
      <c r="R568" t="s">
        <v>56</v>
      </c>
      <c r="S568">
        <v>7.99</v>
      </c>
    </row>
    <row r="569" spans="1:19" x14ac:dyDescent="0.3">
      <c r="A569">
        <f>'Raw Data'!D569-'Raw Data'!C569</f>
        <v>351</v>
      </c>
      <c r="B569" s="2" t="str">
        <f>_xlfn.IFS('Raw Data'!E569&gt;10,"Premium",'Raw Data'!E569&lt;10,"Basic")</f>
        <v>Basic</v>
      </c>
      <c r="C569">
        <v>7.99</v>
      </c>
      <c r="D569">
        <v>4213</v>
      </c>
      <c r="E569" t="s">
        <v>24</v>
      </c>
      <c r="F569" t="s">
        <v>60</v>
      </c>
      <c r="G569">
        <v>141</v>
      </c>
      <c r="H569" t="s">
        <v>28</v>
      </c>
      <c r="I569">
        <v>3840</v>
      </c>
      <c r="J569">
        <v>4213</v>
      </c>
      <c r="K569" t="s">
        <v>39</v>
      </c>
      <c r="L569" t="s">
        <v>64</v>
      </c>
      <c r="M569">
        <v>379</v>
      </c>
      <c r="N569">
        <v>35</v>
      </c>
      <c r="O569" t="s">
        <v>60</v>
      </c>
      <c r="P569" t="s">
        <v>39</v>
      </c>
      <c r="Q569">
        <v>141</v>
      </c>
      <c r="R569" t="s">
        <v>27</v>
      </c>
      <c r="S569">
        <v>7.99</v>
      </c>
    </row>
    <row r="570" spans="1:19" x14ac:dyDescent="0.3">
      <c r="A570">
        <f>'Raw Data'!D570-'Raw Data'!C570</f>
        <v>170</v>
      </c>
      <c r="B570" s="2" t="str">
        <f>_xlfn.IFS('Raw Data'!E570&gt;10,"Premium",'Raw Data'!E570&lt;10,"Basic")</f>
        <v>Basic</v>
      </c>
      <c r="C570">
        <v>7.99</v>
      </c>
      <c r="D570">
        <v>3135</v>
      </c>
      <c r="E570" t="s">
        <v>55</v>
      </c>
      <c r="F570" t="s">
        <v>36</v>
      </c>
      <c r="G570">
        <v>368</v>
      </c>
      <c r="H570" t="s">
        <v>28</v>
      </c>
      <c r="I570">
        <v>1108</v>
      </c>
      <c r="J570">
        <v>3135</v>
      </c>
      <c r="K570" t="s">
        <v>74</v>
      </c>
      <c r="L570" t="s">
        <v>64</v>
      </c>
      <c r="M570">
        <v>481</v>
      </c>
      <c r="N570">
        <v>58</v>
      </c>
      <c r="O570" t="s">
        <v>36</v>
      </c>
      <c r="P570" t="s">
        <v>74</v>
      </c>
      <c r="Q570">
        <v>368</v>
      </c>
      <c r="R570" t="s">
        <v>34</v>
      </c>
      <c r="S570">
        <v>7.99</v>
      </c>
    </row>
    <row r="571" spans="1:19" x14ac:dyDescent="0.3">
      <c r="A571">
        <f>'Raw Data'!D571-'Raw Data'!C571</f>
        <v>267</v>
      </c>
      <c r="B571" s="2" t="str">
        <f>_xlfn.IFS('Raw Data'!E571&gt;10,"Premium",'Raw Data'!E571&lt;10,"Basic")</f>
        <v>Basic</v>
      </c>
      <c r="C571">
        <v>7.99</v>
      </c>
      <c r="D571">
        <v>9916</v>
      </c>
      <c r="E571" t="s">
        <v>62</v>
      </c>
      <c r="F571" t="s">
        <v>30</v>
      </c>
      <c r="G571">
        <v>227</v>
      </c>
      <c r="H571" t="s">
        <v>28</v>
      </c>
      <c r="I571">
        <v>4510</v>
      </c>
      <c r="J571">
        <v>9916</v>
      </c>
      <c r="K571" t="s">
        <v>44</v>
      </c>
      <c r="L571" t="s">
        <v>49</v>
      </c>
      <c r="M571">
        <v>969</v>
      </c>
      <c r="N571">
        <v>175</v>
      </c>
      <c r="O571" t="s">
        <v>30</v>
      </c>
      <c r="P571" t="s">
        <v>44</v>
      </c>
      <c r="Q571">
        <v>227</v>
      </c>
      <c r="R571" t="s">
        <v>50</v>
      </c>
      <c r="S571">
        <v>7.99</v>
      </c>
    </row>
    <row r="572" spans="1:19" x14ac:dyDescent="0.3">
      <c r="A572">
        <f>'Raw Data'!D572-'Raw Data'!C572</f>
        <v>389</v>
      </c>
      <c r="B572" s="2" t="str">
        <f>_xlfn.IFS('Raw Data'!E572&gt;10,"Premium",'Raw Data'!E572&lt;10,"Basic")</f>
        <v>Basic</v>
      </c>
      <c r="C572">
        <v>7.99</v>
      </c>
      <c r="D572">
        <v>2784</v>
      </c>
      <c r="E572" t="s">
        <v>46</v>
      </c>
      <c r="F572" t="s">
        <v>52</v>
      </c>
      <c r="G572">
        <v>484</v>
      </c>
      <c r="H572" t="s">
        <v>28</v>
      </c>
      <c r="I572">
        <v>1042</v>
      </c>
      <c r="J572">
        <v>2784</v>
      </c>
      <c r="K572" t="s">
        <v>74</v>
      </c>
      <c r="L572" t="s">
        <v>26</v>
      </c>
      <c r="M572">
        <v>52</v>
      </c>
      <c r="N572">
        <v>151</v>
      </c>
      <c r="O572" t="s">
        <v>52</v>
      </c>
      <c r="P572" t="s">
        <v>74</v>
      </c>
      <c r="Q572">
        <v>484</v>
      </c>
      <c r="R572" t="s">
        <v>67</v>
      </c>
      <c r="S572">
        <v>7.99</v>
      </c>
    </row>
    <row r="573" spans="1:19" x14ac:dyDescent="0.3">
      <c r="A573">
        <f>'Raw Data'!D573-'Raw Data'!C573</f>
        <v>82</v>
      </c>
      <c r="B573" s="2" t="str">
        <f>_xlfn.IFS('Raw Data'!E573&gt;10,"Premium",'Raw Data'!E573&lt;10,"Basic")</f>
        <v>Premium</v>
      </c>
      <c r="C573">
        <v>15.99</v>
      </c>
      <c r="D573">
        <v>5916</v>
      </c>
      <c r="E573" t="s">
        <v>33</v>
      </c>
      <c r="F573" t="s">
        <v>52</v>
      </c>
      <c r="G573">
        <v>14</v>
      </c>
      <c r="H573" t="s">
        <v>28</v>
      </c>
      <c r="I573">
        <v>2175</v>
      </c>
      <c r="J573">
        <v>5916</v>
      </c>
      <c r="K573" t="s">
        <v>63</v>
      </c>
      <c r="L573" t="s">
        <v>40</v>
      </c>
      <c r="M573">
        <v>57</v>
      </c>
      <c r="N573">
        <v>175</v>
      </c>
      <c r="O573" t="s">
        <v>52</v>
      </c>
      <c r="P573" t="s">
        <v>63</v>
      </c>
      <c r="Q573">
        <v>14</v>
      </c>
      <c r="R573" t="s">
        <v>67</v>
      </c>
      <c r="S573">
        <v>15.99</v>
      </c>
    </row>
    <row r="574" spans="1:19" x14ac:dyDescent="0.3">
      <c r="A574">
        <f>'Raw Data'!D574-'Raw Data'!C574</f>
        <v>153</v>
      </c>
      <c r="B574" s="2" t="str">
        <f>_xlfn.IFS('Raw Data'!E574&gt;10,"Premium",'Raw Data'!E574&lt;10,"Basic")</f>
        <v>Premium</v>
      </c>
      <c r="C574">
        <v>11.99</v>
      </c>
      <c r="D574">
        <v>1674</v>
      </c>
      <c r="E574" t="s">
        <v>62</v>
      </c>
      <c r="F574" t="s">
        <v>30</v>
      </c>
      <c r="G574">
        <v>328</v>
      </c>
      <c r="H574" t="s">
        <v>28</v>
      </c>
      <c r="I574">
        <v>1311</v>
      </c>
      <c r="J574">
        <v>1674</v>
      </c>
      <c r="K574" t="s">
        <v>44</v>
      </c>
      <c r="L574" t="s">
        <v>26</v>
      </c>
      <c r="M574">
        <v>415</v>
      </c>
      <c r="N574">
        <v>162</v>
      </c>
      <c r="O574" t="s">
        <v>30</v>
      </c>
      <c r="P574" t="s">
        <v>44</v>
      </c>
      <c r="Q574">
        <v>328</v>
      </c>
      <c r="R574" t="s">
        <v>67</v>
      </c>
      <c r="S574">
        <v>11.99</v>
      </c>
    </row>
    <row r="575" spans="1:19" x14ac:dyDescent="0.3">
      <c r="A575">
        <f>'Raw Data'!D575-'Raw Data'!C575</f>
        <v>108</v>
      </c>
      <c r="B575" s="2" t="str">
        <f>_xlfn.IFS('Raw Data'!E575&gt;10,"Premium",'Raw Data'!E575&lt;10,"Basic")</f>
        <v>Premium</v>
      </c>
      <c r="C575">
        <v>11.99</v>
      </c>
      <c r="D575">
        <v>2095</v>
      </c>
      <c r="E575" t="s">
        <v>79</v>
      </c>
      <c r="F575" t="s">
        <v>68</v>
      </c>
      <c r="G575">
        <v>279</v>
      </c>
      <c r="H575" t="s">
        <v>28</v>
      </c>
      <c r="I575">
        <v>4201</v>
      </c>
      <c r="J575">
        <v>2095</v>
      </c>
      <c r="K575" t="s">
        <v>39</v>
      </c>
      <c r="L575" t="s">
        <v>64</v>
      </c>
      <c r="M575">
        <v>285</v>
      </c>
      <c r="N575">
        <v>92</v>
      </c>
      <c r="O575" t="s">
        <v>68</v>
      </c>
      <c r="P575" t="s">
        <v>39</v>
      </c>
      <c r="Q575">
        <v>279</v>
      </c>
      <c r="R575" t="s">
        <v>41</v>
      </c>
      <c r="S575">
        <v>11.99</v>
      </c>
    </row>
    <row r="576" spans="1:19" x14ac:dyDescent="0.3">
      <c r="A576">
        <f>'Raw Data'!D576-'Raw Data'!C576</f>
        <v>46</v>
      </c>
      <c r="B576" s="2" t="str">
        <f>_xlfn.IFS('Raw Data'!E576&gt;10,"Premium",'Raw Data'!E576&lt;10,"Basic")</f>
        <v>Basic</v>
      </c>
      <c r="C576">
        <v>7.99</v>
      </c>
      <c r="D576">
        <v>9594</v>
      </c>
      <c r="E576" t="s">
        <v>24</v>
      </c>
      <c r="F576" t="s">
        <v>52</v>
      </c>
      <c r="G576">
        <v>158</v>
      </c>
      <c r="H576" t="s">
        <v>28</v>
      </c>
      <c r="I576">
        <v>513</v>
      </c>
      <c r="J576">
        <v>9594</v>
      </c>
      <c r="K576" t="s">
        <v>74</v>
      </c>
      <c r="L576" t="s">
        <v>49</v>
      </c>
      <c r="M576">
        <v>861</v>
      </c>
      <c r="N576">
        <v>125</v>
      </c>
      <c r="O576" t="s">
        <v>52</v>
      </c>
      <c r="P576" t="s">
        <v>74</v>
      </c>
      <c r="Q576">
        <v>158</v>
      </c>
      <c r="R576" t="s">
        <v>56</v>
      </c>
      <c r="S576">
        <v>7.99</v>
      </c>
    </row>
    <row r="577" spans="1:19" x14ac:dyDescent="0.3">
      <c r="A577">
        <f>'Raw Data'!D577-'Raw Data'!C577</f>
        <v>493</v>
      </c>
      <c r="B577" s="2" t="str">
        <f>_xlfn.IFS('Raw Data'!E577&gt;10,"Premium",'Raw Data'!E577&lt;10,"Basic")</f>
        <v>Basic</v>
      </c>
      <c r="C577">
        <v>7.99</v>
      </c>
      <c r="D577">
        <v>6750</v>
      </c>
      <c r="E577" t="s">
        <v>43</v>
      </c>
      <c r="F577" t="s">
        <v>52</v>
      </c>
      <c r="G577">
        <v>422</v>
      </c>
      <c r="H577" t="s">
        <v>28</v>
      </c>
      <c r="I577">
        <v>1330</v>
      </c>
      <c r="J577">
        <v>6750</v>
      </c>
      <c r="K577" t="s">
        <v>74</v>
      </c>
      <c r="L577" t="s">
        <v>49</v>
      </c>
      <c r="M577">
        <v>399</v>
      </c>
      <c r="N577">
        <v>27</v>
      </c>
      <c r="O577" t="s">
        <v>52</v>
      </c>
      <c r="P577" t="s">
        <v>74</v>
      </c>
      <c r="Q577">
        <v>422</v>
      </c>
      <c r="R577" t="s">
        <v>56</v>
      </c>
      <c r="S577">
        <v>7.99</v>
      </c>
    </row>
    <row r="578" spans="1:19" x14ac:dyDescent="0.3">
      <c r="A578">
        <f>'Raw Data'!D578-'Raw Data'!C578</f>
        <v>696</v>
      </c>
      <c r="B578" s="2" t="str">
        <f>_xlfn.IFS('Raw Data'!E578&gt;10,"Premium",'Raw Data'!E578&lt;10,"Basic")</f>
        <v>Basic</v>
      </c>
      <c r="C578">
        <v>7.99</v>
      </c>
      <c r="D578">
        <v>7235</v>
      </c>
      <c r="E578" t="s">
        <v>55</v>
      </c>
      <c r="F578" t="s">
        <v>60</v>
      </c>
      <c r="G578">
        <v>235</v>
      </c>
      <c r="H578" t="s">
        <v>28</v>
      </c>
      <c r="I578">
        <v>3689</v>
      </c>
      <c r="J578">
        <v>7235</v>
      </c>
      <c r="K578" t="s">
        <v>44</v>
      </c>
      <c r="L578" t="s">
        <v>49</v>
      </c>
      <c r="M578">
        <v>765</v>
      </c>
      <c r="N578">
        <v>159</v>
      </c>
      <c r="O578" t="s">
        <v>60</v>
      </c>
      <c r="P578" t="s">
        <v>44</v>
      </c>
      <c r="Q578">
        <v>235</v>
      </c>
      <c r="R578" t="s">
        <v>27</v>
      </c>
      <c r="S578">
        <v>7.99</v>
      </c>
    </row>
    <row r="579" spans="1:19" x14ac:dyDescent="0.3">
      <c r="A579">
        <f>'Raw Data'!D579-'Raw Data'!C579</f>
        <v>343</v>
      </c>
      <c r="B579" s="2" t="str">
        <f>_xlfn.IFS('Raw Data'!E579&gt;10,"Premium",'Raw Data'!E579&lt;10,"Basic")</f>
        <v>Premium</v>
      </c>
      <c r="C579">
        <v>11.99</v>
      </c>
      <c r="D579">
        <v>3910</v>
      </c>
      <c r="E579" t="s">
        <v>79</v>
      </c>
      <c r="F579" t="s">
        <v>52</v>
      </c>
      <c r="G579">
        <v>331</v>
      </c>
      <c r="H579" t="s">
        <v>28</v>
      </c>
      <c r="I579">
        <v>670</v>
      </c>
      <c r="J579">
        <v>3910</v>
      </c>
      <c r="K579" t="s">
        <v>59</v>
      </c>
      <c r="L579" t="s">
        <v>40</v>
      </c>
      <c r="M579">
        <v>667</v>
      </c>
      <c r="N579">
        <v>43</v>
      </c>
      <c r="O579" t="s">
        <v>52</v>
      </c>
      <c r="P579" t="s">
        <v>59</v>
      </c>
      <c r="Q579">
        <v>331</v>
      </c>
      <c r="R579" t="s">
        <v>41</v>
      </c>
      <c r="S579">
        <v>11.99</v>
      </c>
    </row>
    <row r="580" spans="1:19" x14ac:dyDescent="0.3">
      <c r="A580">
        <f>'Raw Data'!D580-'Raw Data'!C580</f>
        <v>102</v>
      </c>
      <c r="B580" s="2" t="str">
        <f>_xlfn.IFS('Raw Data'!E580&gt;10,"Premium",'Raw Data'!E580&lt;10,"Basic")</f>
        <v>Premium</v>
      </c>
      <c r="C580">
        <v>11.99</v>
      </c>
      <c r="D580">
        <v>8190</v>
      </c>
      <c r="E580" t="s">
        <v>46</v>
      </c>
      <c r="F580" t="s">
        <v>30</v>
      </c>
      <c r="G580">
        <v>148</v>
      </c>
      <c r="H580" t="s">
        <v>28</v>
      </c>
      <c r="I580">
        <v>544</v>
      </c>
      <c r="J580">
        <v>8190</v>
      </c>
      <c r="K580" t="s">
        <v>74</v>
      </c>
      <c r="L580" t="s">
        <v>49</v>
      </c>
      <c r="M580">
        <v>409</v>
      </c>
      <c r="N580">
        <v>38</v>
      </c>
      <c r="O580" t="s">
        <v>30</v>
      </c>
      <c r="P580" t="s">
        <v>74</v>
      </c>
      <c r="Q580">
        <v>148</v>
      </c>
      <c r="R580" t="s">
        <v>56</v>
      </c>
      <c r="S580">
        <v>11.99</v>
      </c>
    </row>
    <row r="581" spans="1:19" x14ac:dyDescent="0.3">
      <c r="A581">
        <f>'Raw Data'!D581-'Raw Data'!C581</f>
        <v>515</v>
      </c>
      <c r="B581" s="2" t="str">
        <f>_xlfn.IFS('Raw Data'!E581&gt;10,"Premium",'Raw Data'!E581&lt;10,"Basic")</f>
        <v>Basic</v>
      </c>
      <c r="C581">
        <v>7.99</v>
      </c>
      <c r="D581">
        <v>5315</v>
      </c>
      <c r="E581" t="s">
        <v>55</v>
      </c>
      <c r="F581" t="s">
        <v>36</v>
      </c>
      <c r="G581">
        <v>198</v>
      </c>
      <c r="H581" t="s">
        <v>28</v>
      </c>
      <c r="I581">
        <v>1392</v>
      </c>
      <c r="J581">
        <v>5315</v>
      </c>
      <c r="K581" t="s">
        <v>39</v>
      </c>
      <c r="L581" t="s">
        <v>64</v>
      </c>
      <c r="M581">
        <v>202</v>
      </c>
      <c r="N581">
        <v>26</v>
      </c>
      <c r="O581" t="s">
        <v>36</v>
      </c>
      <c r="P581" t="s">
        <v>39</v>
      </c>
      <c r="Q581">
        <v>198</v>
      </c>
      <c r="R581" t="s">
        <v>67</v>
      </c>
      <c r="S581">
        <v>7.99</v>
      </c>
    </row>
    <row r="582" spans="1:19" x14ac:dyDescent="0.3">
      <c r="A582">
        <f>'Raw Data'!D582-'Raw Data'!C582</f>
        <v>564</v>
      </c>
      <c r="B582" s="2" t="str">
        <f>_xlfn.IFS('Raw Data'!E582&gt;10,"Premium",'Raw Data'!E582&lt;10,"Basic")</f>
        <v>Premium</v>
      </c>
      <c r="C582">
        <v>15.99</v>
      </c>
      <c r="D582">
        <v>7503</v>
      </c>
      <c r="E582" t="s">
        <v>55</v>
      </c>
      <c r="F582" t="s">
        <v>36</v>
      </c>
      <c r="G582">
        <v>81</v>
      </c>
      <c r="H582" t="s">
        <v>28</v>
      </c>
      <c r="I582">
        <v>3199</v>
      </c>
      <c r="J582">
        <v>7503</v>
      </c>
      <c r="K582" t="s">
        <v>74</v>
      </c>
      <c r="L582" t="s">
        <v>40</v>
      </c>
      <c r="M582">
        <v>208</v>
      </c>
      <c r="N582">
        <v>144</v>
      </c>
      <c r="O582" t="s">
        <v>36</v>
      </c>
      <c r="P582" t="s">
        <v>74</v>
      </c>
      <c r="Q582">
        <v>81</v>
      </c>
      <c r="R582" t="s">
        <v>56</v>
      </c>
      <c r="S582">
        <v>15.99</v>
      </c>
    </row>
    <row r="583" spans="1:19" x14ac:dyDescent="0.3">
      <c r="A583">
        <f>'Raw Data'!D583-'Raw Data'!C583</f>
        <v>568</v>
      </c>
      <c r="B583" s="2" t="str">
        <f>_xlfn.IFS('Raw Data'!E583&gt;10,"Premium",'Raw Data'!E583&lt;10,"Basic")</f>
        <v>Premium</v>
      </c>
      <c r="C583">
        <v>11.99</v>
      </c>
      <c r="D583">
        <v>5788</v>
      </c>
      <c r="E583" t="s">
        <v>55</v>
      </c>
      <c r="F583" t="s">
        <v>36</v>
      </c>
      <c r="G583">
        <v>131</v>
      </c>
      <c r="H583" t="s">
        <v>28</v>
      </c>
      <c r="I583">
        <v>4204</v>
      </c>
      <c r="J583">
        <v>5788</v>
      </c>
      <c r="K583" t="s">
        <v>63</v>
      </c>
      <c r="L583" t="s">
        <v>49</v>
      </c>
      <c r="M583">
        <v>382</v>
      </c>
      <c r="N583">
        <v>50</v>
      </c>
      <c r="O583" t="s">
        <v>36</v>
      </c>
      <c r="P583" t="s">
        <v>63</v>
      </c>
      <c r="Q583">
        <v>131</v>
      </c>
      <c r="R583" t="s">
        <v>50</v>
      </c>
      <c r="S583">
        <v>11.99</v>
      </c>
    </row>
    <row r="584" spans="1:19" x14ac:dyDescent="0.3">
      <c r="A584">
        <f>'Raw Data'!D584-'Raw Data'!C584</f>
        <v>249</v>
      </c>
      <c r="B584" s="2" t="str">
        <f>_xlfn.IFS('Raw Data'!E584&gt;10,"Premium",'Raw Data'!E584&lt;10,"Basic")</f>
        <v>Premium</v>
      </c>
      <c r="C584">
        <v>15.99</v>
      </c>
      <c r="D584">
        <v>7030</v>
      </c>
      <c r="E584" t="s">
        <v>46</v>
      </c>
      <c r="F584" t="s">
        <v>68</v>
      </c>
      <c r="G584">
        <v>210</v>
      </c>
      <c r="H584" t="s">
        <v>28</v>
      </c>
      <c r="I584">
        <v>1461</v>
      </c>
      <c r="J584">
        <v>7030</v>
      </c>
      <c r="K584" t="s">
        <v>25</v>
      </c>
      <c r="L584" t="s">
        <v>26</v>
      </c>
      <c r="M584">
        <v>666</v>
      </c>
      <c r="N584">
        <v>164</v>
      </c>
      <c r="O584" t="s">
        <v>68</v>
      </c>
      <c r="P584" t="s">
        <v>25</v>
      </c>
      <c r="Q584">
        <v>210</v>
      </c>
      <c r="R584" t="s">
        <v>41</v>
      </c>
      <c r="S584">
        <v>15.99</v>
      </c>
    </row>
    <row r="585" spans="1:19" x14ac:dyDescent="0.3">
      <c r="A585">
        <f>'Raw Data'!D585-'Raw Data'!C585</f>
        <v>182</v>
      </c>
      <c r="B585" s="2" t="str">
        <f>_xlfn.IFS('Raw Data'!E585&gt;10,"Premium",'Raw Data'!E585&lt;10,"Basic")</f>
        <v>Premium</v>
      </c>
      <c r="C585">
        <v>15.99</v>
      </c>
      <c r="D585">
        <v>6619</v>
      </c>
      <c r="E585" t="s">
        <v>46</v>
      </c>
      <c r="F585" t="s">
        <v>30</v>
      </c>
      <c r="G585">
        <v>301</v>
      </c>
      <c r="H585" t="s">
        <v>28</v>
      </c>
      <c r="I585">
        <v>658</v>
      </c>
      <c r="J585">
        <v>6619</v>
      </c>
      <c r="K585" t="s">
        <v>48</v>
      </c>
      <c r="L585" t="s">
        <v>64</v>
      </c>
      <c r="M585">
        <v>855</v>
      </c>
      <c r="N585">
        <v>46</v>
      </c>
      <c r="O585" t="s">
        <v>30</v>
      </c>
      <c r="P585" t="s">
        <v>48</v>
      </c>
      <c r="Q585">
        <v>301</v>
      </c>
      <c r="R585" t="s">
        <v>50</v>
      </c>
      <c r="S585">
        <v>15.99</v>
      </c>
    </row>
    <row r="586" spans="1:19" x14ac:dyDescent="0.3">
      <c r="A586">
        <f>'Raw Data'!D586-'Raw Data'!C586</f>
        <v>654</v>
      </c>
      <c r="B586" s="2" t="str">
        <f>_xlfn.IFS('Raw Data'!E586&gt;10,"Premium",'Raw Data'!E586&lt;10,"Basic")</f>
        <v>Basic</v>
      </c>
      <c r="C586">
        <v>7.99</v>
      </c>
      <c r="D586">
        <v>6319</v>
      </c>
      <c r="E586" t="s">
        <v>79</v>
      </c>
      <c r="F586" t="s">
        <v>60</v>
      </c>
      <c r="G586">
        <v>466</v>
      </c>
      <c r="H586" t="s">
        <v>28</v>
      </c>
      <c r="I586">
        <v>423</v>
      </c>
      <c r="J586">
        <v>6319</v>
      </c>
      <c r="K586" t="s">
        <v>74</v>
      </c>
      <c r="L586" t="s">
        <v>40</v>
      </c>
      <c r="M586">
        <v>592</v>
      </c>
      <c r="N586">
        <v>67</v>
      </c>
      <c r="O586" t="s">
        <v>60</v>
      </c>
      <c r="P586" t="s">
        <v>74</v>
      </c>
      <c r="Q586">
        <v>466</v>
      </c>
      <c r="R586" t="s">
        <v>67</v>
      </c>
      <c r="S586">
        <v>7.99</v>
      </c>
    </row>
    <row r="587" spans="1:19" x14ac:dyDescent="0.3">
      <c r="A587">
        <f>'Raw Data'!D587-'Raw Data'!C587</f>
        <v>314</v>
      </c>
      <c r="B587" s="2" t="str">
        <f>_xlfn.IFS('Raw Data'!E587&gt;10,"Premium",'Raw Data'!E587&lt;10,"Basic")</f>
        <v>Premium</v>
      </c>
      <c r="C587">
        <v>15.99</v>
      </c>
      <c r="D587">
        <v>6268</v>
      </c>
      <c r="E587" t="s">
        <v>55</v>
      </c>
      <c r="F587" t="s">
        <v>68</v>
      </c>
      <c r="G587">
        <v>336</v>
      </c>
      <c r="H587" t="s">
        <v>28</v>
      </c>
      <c r="I587">
        <v>2824</v>
      </c>
      <c r="J587">
        <v>6268</v>
      </c>
      <c r="K587" t="s">
        <v>48</v>
      </c>
      <c r="L587" t="s">
        <v>26</v>
      </c>
      <c r="M587">
        <v>546</v>
      </c>
      <c r="N587">
        <v>16</v>
      </c>
      <c r="O587" t="s">
        <v>68</v>
      </c>
      <c r="P587" t="s">
        <v>48</v>
      </c>
      <c r="Q587">
        <v>336</v>
      </c>
      <c r="R587" t="s">
        <v>56</v>
      </c>
      <c r="S587">
        <v>15.99</v>
      </c>
    </row>
    <row r="588" spans="1:19" x14ac:dyDescent="0.3">
      <c r="A588">
        <f>'Raw Data'!D588-'Raw Data'!C588</f>
        <v>501</v>
      </c>
      <c r="B588" s="2" t="str">
        <f>_xlfn.IFS('Raw Data'!E588&gt;10,"Premium",'Raw Data'!E588&lt;10,"Basic")</f>
        <v>Premium</v>
      </c>
      <c r="C588">
        <v>11.99</v>
      </c>
      <c r="D588">
        <v>5016</v>
      </c>
      <c r="E588" t="s">
        <v>62</v>
      </c>
      <c r="F588" t="s">
        <v>68</v>
      </c>
      <c r="G588">
        <v>280</v>
      </c>
      <c r="H588" t="s">
        <v>28</v>
      </c>
      <c r="I588">
        <v>2657</v>
      </c>
      <c r="J588">
        <v>5016</v>
      </c>
      <c r="K588" t="s">
        <v>25</v>
      </c>
      <c r="L588" t="s">
        <v>26</v>
      </c>
      <c r="M588">
        <v>633</v>
      </c>
      <c r="N588">
        <v>83</v>
      </c>
      <c r="O588" t="s">
        <v>68</v>
      </c>
      <c r="P588" t="s">
        <v>25</v>
      </c>
      <c r="Q588">
        <v>280</v>
      </c>
      <c r="R588" t="s">
        <v>41</v>
      </c>
      <c r="S588">
        <v>11.99</v>
      </c>
    </row>
    <row r="589" spans="1:19" x14ac:dyDescent="0.3">
      <c r="A589">
        <f>'Raw Data'!D589-'Raw Data'!C589</f>
        <v>576</v>
      </c>
      <c r="B589" s="2" t="str">
        <f>_xlfn.IFS('Raw Data'!E589&gt;10,"Premium",'Raw Data'!E589&lt;10,"Basic")</f>
        <v>Premium</v>
      </c>
      <c r="C589">
        <v>15.99</v>
      </c>
      <c r="D589">
        <v>3888</v>
      </c>
      <c r="E589" t="s">
        <v>24</v>
      </c>
      <c r="F589" t="s">
        <v>68</v>
      </c>
      <c r="G589">
        <v>495</v>
      </c>
      <c r="H589" t="s">
        <v>28</v>
      </c>
      <c r="I589">
        <v>2213</v>
      </c>
      <c r="J589">
        <v>3888</v>
      </c>
      <c r="K589" t="s">
        <v>59</v>
      </c>
      <c r="L589" t="s">
        <v>64</v>
      </c>
      <c r="M589">
        <v>883</v>
      </c>
      <c r="N589">
        <v>60</v>
      </c>
      <c r="O589" t="s">
        <v>68</v>
      </c>
      <c r="P589" t="s">
        <v>59</v>
      </c>
      <c r="Q589">
        <v>495</v>
      </c>
      <c r="R589" t="s">
        <v>56</v>
      </c>
      <c r="S589">
        <v>15.99</v>
      </c>
    </row>
    <row r="590" spans="1:19" x14ac:dyDescent="0.3">
      <c r="A590">
        <f>'Raw Data'!D590-'Raw Data'!C590</f>
        <v>212</v>
      </c>
      <c r="B590" s="2" t="str">
        <f>_xlfn.IFS('Raw Data'!E590&gt;10,"Premium",'Raw Data'!E590&lt;10,"Basic")</f>
        <v>Premium</v>
      </c>
      <c r="C590">
        <v>11.99</v>
      </c>
      <c r="D590">
        <v>9918</v>
      </c>
      <c r="E590" t="s">
        <v>46</v>
      </c>
      <c r="F590" t="s">
        <v>52</v>
      </c>
      <c r="G590">
        <v>144</v>
      </c>
      <c r="H590" t="s">
        <v>28</v>
      </c>
      <c r="I590">
        <v>3455</v>
      </c>
      <c r="J590">
        <v>9918</v>
      </c>
      <c r="K590" t="s">
        <v>48</v>
      </c>
      <c r="L590" t="s">
        <v>26</v>
      </c>
      <c r="M590">
        <v>235</v>
      </c>
      <c r="N590">
        <v>88</v>
      </c>
      <c r="O590" t="s">
        <v>52</v>
      </c>
      <c r="P590" t="s">
        <v>48</v>
      </c>
      <c r="Q590">
        <v>144</v>
      </c>
      <c r="R590" t="s">
        <v>27</v>
      </c>
      <c r="S590">
        <v>11.99</v>
      </c>
    </row>
    <row r="591" spans="1:19" x14ac:dyDescent="0.3">
      <c r="A591">
        <f>'Raw Data'!D591-'Raw Data'!C591</f>
        <v>641</v>
      </c>
      <c r="B591" s="2" t="str">
        <f>_xlfn.IFS('Raw Data'!E591&gt;10,"Premium",'Raw Data'!E591&lt;10,"Basic")</f>
        <v>Basic</v>
      </c>
      <c r="C591">
        <v>7.99</v>
      </c>
      <c r="D591">
        <v>7305</v>
      </c>
      <c r="E591" t="s">
        <v>79</v>
      </c>
      <c r="F591" t="s">
        <v>36</v>
      </c>
      <c r="G591">
        <v>165</v>
      </c>
      <c r="H591" t="s">
        <v>28</v>
      </c>
      <c r="I591">
        <v>3334</v>
      </c>
      <c r="J591">
        <v>7305</v>
      </c>
      <c r="K591" t="s">
        <v>25</v>
      </c>
      <c r="L591" t="s">
        <v>49</v>
      </c>
      <c r="M591">
        <v>267</v>
      </c>
      <c r="N591">
        <v>146</v>
      </c>
      <c r="O591" t="s">
        <v>36</v>
      </c>
      <c r="P591" t="s">
        <v>25</v>
      </c>
      <c r="Q591">
        <v>165</v>
      </c>
      <c r="R591" t="s">
        <v>50</v>
      </c>
      <c r="S591">
        <v>7.99</v>
      </c>
    </row>
    <row r="592" spans="1:19" x14ac:dyDescent="0.3">
      <c r="A592">
        <f>'Raw Data'!D592-'Raw Data'!C592</f>
        <v>481</v>
      </c>
      <c r="B592" s="2" t="str">
        <f>_xlfn.IFS('Raw Data'!E592&gt;10,"Premium",'Raw Data'!E592&lt;10,"Basic")</f>
        <v>Premium</v>
      </c>
      <c r="C592">
        <v>11.99</v>
      </c>
      <c r="D592">
        <v>5719</v>
      </c>
      <c r="E592" t="s">
        <v>46</v>
      </c>
      <c r="F592" t="s">
        <v>60</v>
      </c>
      <c r="G592">
        <v>479</v>
      </c>
      <c r="H592" t="s">
        <v>28</v>
      </c>
      <c r="I592">
        <v>105</v>
      </c>
      <c r="J592">
        <v>5719</v>
      </c>
      <c r="K592" t="s">
        <v>63</v>
      </c>
      <c r="L592" t="s">
        <v>64</v>
      </c>
      <c r="M592">
        <v>710</v>
      </c>
      <c r="N592">
        <v>68</v>
      </c>
      <c r="O592" t="s">
        <v>60</v>
      </c>
      <c r="P592" t="s">
        <v>63</v>
      </c>
      <c r="Q592">
        <v>479</v>
      </c>
      <c r="R592" t="s">
        <v>67</v>
      </c>
      <c r="S592">
        <v>11.99</v>
      </c>
    </row>
    <row r="593" spans="1:19" x14ac:dyDescent="0.3">
      <c r="A593">
        <f>'Raw Data'!D593-'Raw Data'!C593</f>
        <v>272</v>
      </c>
      <c r="B593" s="2" t="str">
        <f>_xlfn.IFS('Raw Data'!E593&gt;10,"Premium",'Raw Data'!E593&lt;10,"Basic")</f>
        <v>Premium</v>
      </c>
      <c r="C593">
        <v>11.99</v>
      </c>
      <c r="D593">
        <v>2334</v>
      </c>
      <c r="E593" t="s">
        <v>62</v>
      </c>
      <c r="F593" t="s">
        <v>60</v>
      </c>
      <c r="G593">
        <v>285</v>
      </c>
      <c r="H593" t="s">
        <v>28</v>
      </c>
      <c r="I593">
        <v>1404</v>
      </c>
      <c r="J593">
        <v>2334</v>
      </c>
      <c r="K593" t="s">
        <v>44</v>
      </c>
      <c r="L593" t="s">
        <v>40</v>
      </c>
      <c r="M593">
        <v>805</v>
      </c>
      <c r="N593">
        <v>42</v>
      </c>
      <c r="O593" t="s">
        <v>60</v>
      </c>
      <c r="P593" t="s">
        <v>44</v>
      </c>
      <c r="Q593">
        <v>285</v>
      </c>
      <c r="R593" t="s">
        <v>27</v>
      </c>
      <c r="S593">
        <v>11.99</v>
      </c>
    </row>
    <row r="594" spans="1:19" x14ac:dyDescent="0.3">
      <c r="A594">
        <f>'Raw Data'!D594-'Raw Data'!C594</f>
        <v>456</v>
      </c>
      <c r="B594" s="2" t="str">
        <f>_xlfn.IFS('Raw Data'!E594&gt;10,"Premium",'Raw Data'!E594&lt;10,"Basic")</f>
        <v>Premium</v>
      </c>
      <c r="C594">
        <v>11.99</v>
      </c>
      <c r="D594">
        <v>1006</v>
      </c>
      <c r="E594" t="s">
        <v>33</v>
      </c>
      <c r="F594" t="s">
        <v>68</v>
      </c>
      <c r="G594">
        <v>93</v>
      </c>
      <c r="H594" t="s">
        <v>28</v>
      </c>
      <c r="I594">
        <v>1017</v>
      </c>
      <c r="J594">
        <v>1006</v>
      </c>
      <c r="K594" t="s">
        <v>48</v>
      </c>
      <c r="L594" t="s">
        <v>49</v>
      </c>
      <c r="M594">
        <v>209</v>
      </c>
      <c r="N594">
        <v>151</v>
      </c>
      <c r="O594" t="s">
        <v>68</v>
      </c>
      <c r="P594" t="s">
        <v>48</v>
      </c>
      <c r="Q594">
        <v>93</v>
      </c>
      <c r="R594" t="s">
        <v>56</v>
      </c>
      <c r="S594">
        <v>11.99</v>
      </c>
    </row>
    <row r="595" spans="1:19" x14ac:dyDescent="0.3">
      <c r="A595">
        <f>'Raw Data'!D595-'Raw Data'!C595</f>
        <v>676</v>
      </c>
      <c r="B595" s="2" t="str">
        <f>_xlfn.IFS('Raw Data'!E595&gt;10,"Premium",'Raw Data'!E595&lt;10,"Basic")</f>
        <v>Premium</v>
      </c>
      <c r="C595">
        <v>15.99</v>
      </c>
      <c r="D595">
        <v>6719</v>
      </c>
      <c r="E595" t="s">
        <v>55</v>
      </c>
      <c r="F595" t="s">
        <v>36</v>
      </c>
      <c r="G595">
        <v>299</v>
      </c>
      <c r="H595" t="s">
        <v>28</v>
      </c>
      <c r="I595">
        <v>2812</v>
      </c>
      <c r="J595">
        <v>6719</v>
      </c>
      <c r="K595" t="s">
        <v>59</v>
      </c>
      <c r="L595" t="s">
        <v>64</v>
      </c>
      <c r="M595">
        <v>803</v>
      </c>
      <c r="N595">
        <v>197</v>
      </c>
      <c r="O595" t="s">
        <v>36</v>
      </c>
      <c r="P595" t="s">
        <v>59</v>
      </c>
      <c r="Q595">
        <v>299</v>
      </c>
      <c r="R595" t="s">
        <v>67</v>
      </c>
      <c r="S595">
        <v>15.99</v>
      </c>
    </row>
    <row r="596" spans="1:19" x14ac:dyDescent="0.3">
      <c r="A596">
        <f>'Raw Data'!D596-'Raw Data'!C596</f>
        <v>319</v>
      </c>
      <c r="B596" s="2" t="str">
        <f>_xlfn.IFS('Raw Data'!E596&gt;10,"Premium",'Raw Data'!E596&lt;10,"Basic")</f>
        <v>Premium</v>
      </c>
      <c r="C596">
        <v>15.99</v>
      </c>
      <c r="D596">
        <v>6138</v>
      </c>
      <c r="E596" t="s">
        <v>46</v>
      </c>
      <c r="F596" t="s">
        <v>60</v>
      </c>
      <c r="G596">
        <v>10</v>
      </c>
      <c r="H596" t="s">
        <v>28</v>
      </c>
      <c r="I596">
        <v>959</v>
      </c>
      <c r="J596">
        <v>6138</v>
      </c>
      <c r="K596" t="s">
        <v>48</v>
      </c>
      <c r="L596" t="s">
        <v>49</v>
      </c>
      <c r="M596">
        <v>236</v>
      </c>
      <c r="N596">
        <v>183</v>
      </c>
      <c r="O596" t="s">
        <v>60</v>
      </c>
      <c r="P596" t="s">
        <v>48</v>
      </c>
      <c r="Q596">
        <v>10</v>
      </c>
      <c r="R596" t="s">
        <v>56</v>
      </c>
      <c r="S596">
        <v>15.99</v>
      </c>
    </row>
    <row r="597" spans="1:19" x14ac:dyDescent="0.3">
      <c r="A597">
        <f>'Raw Data'!D597-'Raw Data'!C597</f>
        <v>583</v>
      </c>
      <c r="B597" s="2" t="str">
        <f>_xlfn.IFS('Raw Data'!E597&gt;10,"Premium",'Raw Data'!E597&lt;10,"Basic")</f>
        <v>Premium</v>
      </c>
      <c r="C597">
        <v>11.99</v>
      </c>
      <c r="D597">
        <v>1255</v>
      </c>
      <c r="E597" t="s">
        <v>46</v>
      </c>
      <c r="F597" t="s">
        <v>52</v>
      </c>
      <c r="G597">
        <v>82</v>
      </c>
      <c r="H597" t="s">
        <v>28</v>
      </c>
      <c r="I597">
        <v>1870</v>
      </c>
      <c r="J597">
        <v>1255</v>
      </c>
      <c r="K597" t="s">
        <v>48</v>
      </c>
      <c r="L597" t="s">
        <v>64</v>
      </c>
      <c r="M597">
        <v>264</v>
      </c>
      <c r="N597">
        <v>115</v>
      </c>
      <c r="O597" t="s">
        <v>52</v>
      </c>
      <c r="P597" t="s">
        <v>48</v>
      </c>
      <c r="Q597">
        <v>82</v>
      </c>
      <c r="R597" t="s">
        <v>67</v>
      </c>
      <c r="S597">
        <v>11.99</v>
      </c>
    </row>
    <row r="598" spans="1:19" x14ac:dyDescent="0.3">
      <c r="A598">
        <f>'Raw Data'!D598-'Raw Data'!C598</f>
        <v>264</v>
      </c>
      <c r="B598" s="2" t="str">
        <f>_xlfn.IFS('Raw Data'!E598&gt;10,"Premium",'Raw Data'!E598&lt;10,"Basic")</f>
        <v>Premium</v>
      </c>
      <c r="C598">
        <v>11.99</v>
      </c>
      <c r="D598">
        <v>5528</v>
      </c>
      <c r="E598" t="s">
        <v>24</v>
      </c>
      <c r="F598" t="s">
        <v>60</v>
      </c>
      <c r="G598">
        <v>27</v>
      </c>
      <c r="H598" t="s">
        <v>28</v>
      </c>
      <c r="I598">
        <v>2984</v>
      </c>
      <c r="J598">
        <v>5528</v>
      </c>
      <c r="K598" t="s">
        <v>59</v>
      </c>
      <c r="L598" t="s">
        <v>40</v>
      </c>
      <c r="M598">
        <v>767</v>
      </c>
      <c r="N598">
        <v>5</v>
      </c>
      <c r="O598" t="s">
        <v>60</v>
      </c>
      <c r="P598" t="s">
        <v>59</v>
      </c>
      <c r="Q598">
        <v>27</v>
      </c>
      <c r="R598" t="s">
        <v>67</v>
      </c>
      <c r="S598">
        <v>11.99</v>
      </c>
    </row>
    <row r="599" spans="1:19" x14ac:dyDescent="0.3">
      <c r="A599">
        <f>'Raw Data'!D599-'Raw Data'!C599</f>
        <v>216</v>
      </c>
      <c r="B599" s="2" t="str">
        <f>_xlfn.IFS('Raw Data'!E599&gt;10,"Premium",'Raw Data'!E599&lt;10,"Basic")</f>
        <v>Basic</v>
      </c>
      <c r="C599">
        <v>7.99</v>
      </c>
      <c r="D599">
        <v>2517</v>
      </c>
      <c r="E599" t="s">
        <v>43</v>
      </c>
      <c r="F599" t="s">
        <v>30</v>
      </c>
      <c r="G599">
        <v>105</v>
      </c>
      <c r="H599" t="s">
        <v>28</v>
      </c>
      <c r="I599">
        <v>3379</v>
      </c>
      <c r="J599">
        <v>2517</v>
      </c>
      <c r="K599" t="s">
        <v>74</v>
      </c>
      <c r="L599" t="s">
        <v>26</v>
      </c>
      <c r="M599">
        <v>247</v>
      </c>
      <c r="N599">
        <v>104</v>
      </c>
      <c r="O599" t="s">
        <v>30</v>
      </c>
      <c r="P599" t="s">
        <v>74</v>
      </c>
      <c r="Q599">
        <v>105</v>
      </c>
      <c r="R599" t="s">
        <v>50</v>
      </c>
      <c r="S599">
        <v>7.99</v>
      </c>
    </row>
    <row r="600" spans="1:19" x14ac:dyDescent="0.3">
      <c r="A600">
        <f>'Raw Data'!D600-'Raw Data'!C600</f>
        <v>409</v>
      </c>
      <c r="B600" s="2" t="str">
        <f>_xlfn.IFS('Raw Data'!E600&gt;10,"Premium",'Raw Data'!E600&lt;10,"Basic")</f>
        <v>Premium</v>
      </c>
      <c r="C600">
        <v>15.99</v>
      </c>
      <c r="D600">
        <v>9593</v>
      </c>
      <c r="E600" t="s">
        <v>55</v>
      </c>
      <c r="F600" t="s">
        <v>68</v>
      </c>
      <c r="G600">
        <v>330</v>
      </c>
      <c r="H600" t="s">
        <v>28</v>
      </c>
      <c r="I600">
        <v>4990</v>
      </c>
      <c r="J600">
        <v>9593</v>
      </c>
      <c r="K600" t="s">
        <v>44</v>
      </c>
      <c r="L600" t="s">
        <v>26</v>
      </c>
      <c r="M600">
        <v>69</v>
      </c>
      <c r="N600">
        <v>101</v>
      </c>
      <c r="O600" t="s">
        <v>68</v>
      </c>
      <c r="P600" t="s">
        <v>44</v>
      </c>
      <c r="Q600">
        <v>330</v>
      </c>
      <c r="R600" t="s">
        <v>56</v>
      </c>
      <c r="S600">
        <v>15.99</v>
      </c>
    </row>
    <row r="601" spans="1:19" x14ac:dyDescent="0.3">
      <c r="A601">
        <f>'Raw Data'!D601-'Raw Data'!C601</f>
        <v>279</v>
      </c>
      <c r="B601" s="2" t="str">
        <f>_xlfn.IFS('Raw Data'!E601&gt;10,"Premium",'Raw Data'!E601&lt;10,"Basic")</f>
        <v>Premium</v>
      </c>
      <c r="C601">
        <v>11.99</v>
      </c>
      <c r="D601">
        <v>7507</v>
      </c>
      <c r="E601" t="s">
        <v>46</v>
      </c>
      <c r="F601" t="s">
        <v>30</v>
      </c>
      <c r="G601">
        <v>462</v>
      </c>
      <c r="H601" t="s">
        <v>28</v>
      </c>
      <c r="I601">
        <v>2554</v>
      </c>
      <c r="J601">
        <v>7507</v>
      </c>
      <c r="K601" t="s">
        <v>74</v>
      </c>
      <c r="L601" t="s">
        <v>49</v>
      </c>
      <c r="M601">
        <v>958</v>
      </c>
      <c r="N601">
        <v>153</v>
      </c>
      <c r="O601" t="s">
        <v>30</v>
      </c>
      <c r="P601" t="s">
        <v>74</v>
      </c>
      <c r="Q601">
        <v>462</v>
      </c>
      <c r="R601" t="s">
        <v>34</v>
      </c>
      <c r="S601">
        <v>11.99</v>
      </c>
    </row>
    <row r="602" spans="1:19" x14ac:dyDescent="0.3">
      <c r="A602">
        <f>'Raw Data'!D602-'Raw Data'!C602</f>
        <v>381</v>
      </c>
      <c r="B602" s="2" t="str">
        <f>_xlfn.IFS('Raw Data'!E602&gt;10,"Premium",'Raw Data'!E602&lt;10,"Basic")</f>
        <v>Premium</v>
      </c>
      <c r="C602">
        <v>15.99</v>
      </c>
      <c r="D602">
        <v>2884</v>
      </c>
      <c r="E602" t="s">
        <v>24</v>
      </c>
      <c r="F602" t="s">
        <v>52</v>
      </c>
      <c r="G602">
        <v>250</v>
      </c>
      <c r="H602" t="s">
        <v>28</v>
      </c>
      <c r="I602">
        <v>4307</v>
      </c>
      <c r="J602">
        <v>2884</v>
      </c>
      <c r="K602" t="s">
        <v>63</v>
      </c>
      <c r="L602" t="s">
        <v>64</v>
      </c>
      <c r="M602">
        <v>271</v>
      </c>
      <c r="N602">
        <v>50</v>
      </c>
      <c r="O602" t="s">
        <v>52</v>
      </c>
      <c r="P602" t="s">
        <v>63</v>
      </c>
      <c r="Q602">
        <v>250</v>
      </c>
      <c r="R602" t="s">
        <v>27</v>
      </c>
      <c r="S602">
        <v>15.99</v>
      </c>
    </row>
    <row r="603" spans="1:19" x14ac:dyDescent="0.3">
      <c r="A603">
        <f>'Raw Data'!D603-'Raw Data'!C603</f>
        <v>501</v>
      </c>
      <c r="B603" s="2" t="str">
        <f>_xlfn.IFS('Raw Data'!E603&gt;10,"Premium",'Raw Data'!E603&lt;10,"Basic")</f>
        <v>Premium</v>
      </c>
      <c r="C603">
        <v>15.99</v>
      </c>
      <c r="D603">
        <v>6374</v>
      </c>
      <c r="E603" t="s">
        <v>24</v>
      </c>
      <c r="F603" t="s">
        <v>60</v>
      </c>
      <c r="G603">
        <v>30</v>
      </c>
      <c r="H603" t="s">
        <v>28</v>
      </c>
      <c r="I603">
        <v>3124</v>
      </c>
      <c r="J603">
        <v>6374</v>
      </c>
      <c r="K603" t="s">
        <v>48</v>
      </c>
      <c r="L603" t="s">
        <v>26</v>
      </c>
      <c r="M603">
        <v>178</v>
      </c>
      <c r="N603">
        <v>162</v>
      </c>
      <c r="O603" t="s">
        <v>60</v>
      </c>
      <c r="P603" t="s">
        <v>48</v>
      </c>
      <c r="Q603">
        <v>30</v>
      </c>
      <c r="R603" t="s">
        <v>41</v>
      </c>
      <c r="S603">
        <v>15.99</v>
      </c>
    </row>
    <row r="604" spans="1:19" x14ac:dyDescent="0.3">
      <c r="A604">
        <f>'Raw Data'!D604-'Raw Data'!C604</f>
        <v>209</v>
      </c>
      <c r="B604" s="2" t="str">
        <f>_xlfn.IFS('Raw Data'!E604&gt;10,"Premium",'Raw Data'!E604&lt;10,"Basic")</f>
        <v>Premium</v>
      </c>
      <c r="C604">
        <v>15.99</v>
      </c>
      <c r="D604">
        <v>6888</v>
      </c>
      <c r="E604" t="s">
        <v>62</v>
      </c>
      <c r="F604" t="s">
        <v>30</v>
      </c>
      <c r="G604">
        <v>364</v>
      </c>
      <c r="H604" t="s">
        <v>28</v>
      </c>
      <c r="I604">
        <v>1261</v>
      </c>
      <c r="J604">
        <v>6888</v>
      </c>
      <c r="K604" t="s">
        <v>25</v>
      </c>
      <c r="L604" t="s">
        <v>49</v>
      </c>
      <c r="M604">
        <v>865</v>
      </c>
      <c r="N604">
        <v>104</v>
      </c>
      <c r="O604" t="s">
        <v>30</v>
      </c>
      <c r="P604" t="s">
        <v>25</v>
      </c>
      <c r="Q604">
        <v>364</v>
      </c>
      <c r="R604" t="s">
        <v>41</v>
      </c>
      <c r="S604">
        <v>15.99</v>
      </c>
    </row>
    <row r="605" spans="1:19" x14ac:dyDescent="0.3">
      <c r="A605">
        <f>'Raw Data'!D605-'Raw Data'!C605</f>
        <v>666</v>
      </c>
      <c r="B605" s="2" t="str">
        <f>_xlfn.IFS('Raw Data'!E605&gt;10,"Premium",'Raw Data'!E605&lt;10,"Basic")</f>
        <v>Premium</v>
      </c>
      <c r="C605">
        <v>15.99</v>
      </c>
      <c r="D605">
        <v>2788</v>
      </c>
      <c r="E605" t="s">
        <v>62</v>
      </c>
      <c r="F605" t="s">
        <v>30</v>
      </c>
      <c r="G605">
        <v>404</v>
      </c>
      <c r="H605" t="s">
        <v>28</v>
      </c>
      <c r="I605">
        <v>1290</v>
      </c>
      <c r="J605">
        <v>2788</v>
      </c>
      <c r="K605" t="s">
        <v>63</v>
      </c>
      <c r="L605" t="s">
        <v>49</v>
      </c>
      <c r="M605">
        <v>257</v>
      </c>
      <c r="N605">
        <v>113</v>
      </c>
      <c r="O605" t="s">
        <v>30</v>
      </c>
      <c r="P605" t="s">
        <v>63</v>
      </c>
      <c r="Q605">
        <v>404</v>
      </c>
      <c r="R605" t="s">
        <v>41</v>
      </c>
      <c r="S605">
        <v>15.99</v>
      </c>
    </row>
    <row r="606" spans="1:19" x14ac:dyDescent="0.3">
      <c r="A606">
        <f>'Raw Data'!D606-'Raw Data'!C606</f>
        <v>207</v>
      </c>
      <c r="B606" s="2" t="str">
        <f>_xlfn.IFS('Raw Data'!E606&gt;10,"Premium",'Raw Data'!E606&lt;10,"Basic")</f>
        <v>Basic</v>
      </c>
      <c r="C606">
        <v>7.99</v>
      </c>
      <c r="D606">
        <v>7892</v>
      </c>
      <c r="E606" t="s">
        <v>79</v>
      </c>
      <c r="F606" t="s">
        <v>68</v>
      </c>
      <c r="G606">
        <v>499</v>
      </c>
      <c r="H606" t="s">
        <v>28</v>
      </c>
      <c r="I606">
        <v>874</v>
      </c>
      <c r="J606">
        <v>7892</v>
      </c>
      <c r="K606" t="s">
        <v>74</v>
      </c>
      <c r="L606" t="s">
        <v>49</v>
      </c>
      <c r="M606">
        <v>428</v>
      </c>
      <c r="N606">
        <v>168</v>
      </c>
      <c r="O606" t="s">
        <v>68</v>
      </c>
      <c r="P606" t="s">
        <v>74</v>
      </c>
      <c r="Q606">
        <v>499</v>
      </c>
      <c r="R606" t="s">
        <v>67</v>
      </c>
      <c r="S606">
        <v>7.99</v>
      </c>
    </row>
    <row r="607" spans="1:19" x14ac:dyDescent="0.3">
      <c r="A607">
        <f>'Raw Data'!D607-'Raw Data'!C607</f>
        <v>150</v>
      </c>
      <c r="B607" s="2" t="str">
        <f>_xlfn.IFS('Raw Data'!E607&gt;10,"Premium",'Raw Data'!E607&lt;10,"Basic")</f>
        <v>Premium</v>
      </c>
      <c r="C607">
        <v>15.99</v>
      </c>
      <c r="D607">
        <v>4576</v>
      </c>
      <c r="E607" t="s">
        <v>33</v>
      </c>
      <c r="F607" t="s">
        <v>36</v>
      </c>
      <c r="G607">
        <v>480</v>
      </c>
      <c r="H607" t="s">
        <v>28</v>
      </c>
      <c r="I607">
        <v>1734</v>
      </c>
      <c r="J607">
        <v>4576</v>
      </c>
      <c r="K607" t="s">
        <v>63</v>
      </c>
      <c r="L607" t="s">
        <v>49</v>
      </c>
      <c r="M607">
        <v>994</v>
      </c>
      <c r="N607">
        <v>78</v>
      </c>
      <c r="O607" t="s">
        <v>36</v>
      </c>
      <c r="P607" t="s">
        <v>63</v>
      </c>
      <c r="Q607">
        <v>480</v>
      </c>
      <c r="R607" t="s">
        <v>41</v>
      </c>
      <c r="S607">
        <v>15.99</v>
      </c>
    </row>
    <row r="608" spans="1:19" x14ac:dyDescent="0.3">
      <c r="A608">
        <f>'Raw Data'!D608-'Raw Data'!C608</f>
        <v>325</v>
      </c>
      <c r="B608" s="2" t="str">
        <f>_xlfn.IFS('Raw Data'!E608&gt;10,"Premium",'Raw Data'!E608&lt;10,"Basic")</f>
        <v>Premium</v>
      </c>
      <c r="C608">
        <v>11.99</v>
      </c>
      <c r="D608">
        <v>8901</v>
      </c>
      <c r="E608" t="s">
        <v>24</v>
      </c>
      <c r="F608" t="s">
        <v>68</v>
      </c>
      <c r="G608">
        <v>417</v>
      </c>
      <c r="H608" t="s">
        <v>28</v>
      </c>
      <c r="I608">
        <v>2444</v>
      </c>
      <c r="J608">
        <v>8901</v>
      </c>
      <c r="K608" t="s">
        <v>25</v>
      </c>
      <c r="L608" t="s">
        <v>64</v>
      </c>
      <c r="M608">
        <v>476</v>
      </c>
      <c r="N608">
        <v>37</v>
      </c>
      <c r="O608" t="s">
        <v>68</v>
      </c>
      <c r="P608" t="s">
        <v>25</v>
      </c>
      <c r="Q608">
        <v>417</v>
      </c>
      <c r="R608" t="s">
        <v>27</v>
      </c>
      <c r="S608">
        <v>11.99</v>
      </c>
    </row>
    <row r="609" spans="1:19" x14ac:dyDescent="0.3">
      <c r="A609">
        <f>'Raw Data'!D609-'Raw Data'!C609</f>
        <v>549</v>
      </c>
      <c r="B609" s="2" t="str">
        <f>_xlfn.IFS('Raw Data'!E609&gt;10,"Premium",'Raw Data'!E609&lt;10,"Basic")</f>
        <v>Basic</v>
      </c>
      <c r="C609">
        <v>7.99</v>
      </c>
      <c r="D609">
        <v>5147</v>
      </c>
      <c r="E609" t="s">
        <v>62</v>
      </c>
      <c r="F609" t="s">
        <v>30</v>
      </c>
      <c r="G609">
        <v>215</v>
      </c>
      <c r="H609" t="s">
        <v>28</v>
      </c>
      <c r="I609">
        <v>1529</v>
      </c>
      <c r="J609">
        <v>5147</v>
      </c>
      <c r="K609" t="s">
        <v>44</v>
      </c>
      <c r="L609" t="s">
        <v>26</v>
      </c>
      <c r="M609">
        <v>150</v>
      </c>
      <c r="N609">
        <v>57</v>
      </c>
      <c r="O609" t="s">
        <v>30</v>
      </c>
      <c r="P609" t="s">
        <v>44</v>
      </c>
      <c r="Q609">
        <v>215</v>
      </c>
      <c r="R609" t="s">
        <v>27</v>
      </c>
      <c r="S609">
        <v>7.99</v>
      </c>
    </row>
    <row r="610" spans="1:19" x14ac:dyDescent="0.3">
      <c r="A610">
        <f>'Raw Data'!D610-'Raw Data'!C610</f>
        <v>351</v>
      </c>
      <c r="B610" s="2" t="str">
        <f>_xlfn.IFS('Raw Data'!E610&gt;10,"Premium",'Raw Data'!E610&lt;10,"Basic")</f>
        <v>Basic</v>
      </c>
      <c r="C610">
        <v>7.99</v>
      </c>
      <c r="D610">
        <v>8646</v>
      </c>
      <c r="E610" t="s">
        <v>24</v>
      </c>
      <c r="F610" t="s">
        <v>68</v>
      </c>
      <c r="G610">
        <v>234</v>
      </c>
      <c r="H610" t="s">
        <v>28</v>
      </c>
      <c r="I610">
        <v>1976</v>
      </c>
      <c r="J610">
        <v>8646</v>
      </c>
      <c r="K610" t="s">
        <v>44</v>
      </c>
      <c r="L610" t="s">
        <v>26</v>
      </c>
      <c r="M610">
        <v>580</v>
      </c>
      <c r="N610">
        <v>149</v>
      </c>
      <c r="O610" t="s">
        <v>68</v>
      </c>
      <c r="P610" t="s">
        <v>44</v>
      </c>
      <c r="Q610">
        <v>234</v>
      </c>
      <c r="R610" t="s">
        <v>67</v>
      </c>
      <c r="S610">
        <v>7.99</v>
      </c>
    </row>
    <row r="611" spans="1:19" x14ac:dyDescent="0.3">
      <c r="A611">
        <f>'Raw Data'!D611-'Raw Data'!C611</f>
        <v>45</v>
      </c>
      <c r="B611" s="2" t="str">
        <f>_xlfn.IFS('Raw Data'!E611&gt;10,"Premium",'Raw Data'!E611&lt;10,"Basic")</f>
        <v>Basic</v>
      </c>
      <c r="C611">
        <v>7.99</v>
      </c>
      <c r="D611">
        <v>8343</v>
      </c>
      <c r="E611" t="s">
        <v>24</v>
      </c>
      <c r="F611" t="s">
        <v>68</v>
      </c>
      <c r="G611">
        <v>103</v>
      </c>
      <c r="H611" t="s">
        <v>28</v>
      </c>
      <c r="I611">
        <v>3452</v>
      </c>
      <c r="J611">
        <v>8343</v>
      </c>
      <c r="K611" t="s">
        <v>74</v>
      </c>
      <c r="L611" t="s">
        <v>26</v>
      </c>
      <c r="M611">
        <v>284</v>
      </c>
      <c r="N611">
        <v>84</v>
      </c>
      <c r="O611" t="s">
        <v>68</v>
      </c>
      <c r="P611" t="s">
        <v>74</v>
      </c>
      <c r="Q611">
        <v>103</v>
      </c>
      <c r="R611" t="s">
        <v>56</v>
      </c>
      <c r="S611">
        <v>7.99</v>
      </c>
    </row>
    <row r="612" spans="1:19" x14ac:dyDescent="0.3">
      <c r="A612">
        <f>'Raw Data'!D612-'Raw Data'!C612</f>
        <v>569</v>
      </c>
      <c r="B612" s="2" t="str">
        <f>_xlfn.IFS('Raw Data'!E612&gt;10,"Premium",'Raw Data'!E612&lt;10,"Basic")</f>
        <v>Premium</v>
      </c>
      <c r="C612">
        <v>15.99</v>
      </c>
      <c r="D612">
        <v>9332</v>
      </c>
      <c r="E612" t="s">
        <v>46</v>
      </c>
      <c r="F612" t="s">
        <v>52</v>
      </c>
      <c r="G612">
        <v>191</v>
      </c>
      <c r="H612" t="s">
        <v>28</v>
      </c>
      <c r="I612">
        <v>2610</v>
      </c>
      <c r="J612">
        <v>9332</v>
      </c>
      <c r="K612" t="s">
        <v>25</v>
      </c>
      <c r="L612" t="s">
        <v>26</v>
      </c>
      <c r="M612">
        <v>688</v>
      </c>
      <c r="N612">
        <v>192</v>
      </c>
      <c r="O612" t="s">
        <v>52</v>
      </c>
      <c r="P612" t="s">
        <v>25</v>
      </c>
      <c r="Q612">
        <v>191</v>
      </c>
      <c r="R612" t="s">
        <v>27</v>
      </c>
      <c r="S612">
        <v>15.99</v>
      </c>
    </row>
    <row r="613" spans="1:19" x14ac:dyDescent="0.3">
      <c r="A613">
        <f>'Raw Data'!D613-'Raw Data'!C613</f>
        <v>366</v>
      </c>
      <c r="B613" s="2" t="str">
        <f>_xlfn.IFS('Raw Data'!E613&gt;10,"Premium",'Raw Data'!E613&lt;10,"Basic")</f>
        <v>Premium</v>
      </c>
      <c r="C613">
        <v>11.99</v>
      </c>
      <c r="D613">
        <v>7398</v>
      </c>
      <c r="E613" t="s">
        <v>33</v>
      </c>
      <c r="F613" t="s">
        <v>36</v>
      </c>
      <c r="G613">
        <v>82</v>
      </c>
      <c r="H613" t="s">
        <v>28</v>
      </c>
      <c r="I613">
        <v>3152</v>
      </c>
      <c r="J613">
        <v>7398</v>
      </c>
      <c r="K613" t="s">
        <v>39</v>
      </c>
      <c r="L613" t="s">
        <v>26</v>
      </c>
      <c r="M613">
        <v>93</v>
      </c>
      <c r="N613">
        <v>46</v>
      </c>
      <c r="O613" t="s">
        <v>36</v>
      </c>
      <c r="P613" t="s">
        <v>39</v>
      </c>
      <c r="Q613">
        <v>82</v>
      </c>
      <c r="R613" t="s">
        <v>34</v>
      </c>
      <c r="S613">
        <v>11.99</v>
      </c>
    </row>
    <row r="614" spans="1:19" x14ac:dyDescent="0.3">
      <c r="A614">
        <f>'Raw Data'!D614-'Raw Data'!C614</f>
        <v>255</v>
      </c>
      <c r="B614" s="2" t="str">
        <f>_xlfn.IFS('Raw Data'!E614&gt;10,"Premium",'Raw Data'!E614&lt;10,"Basic")</f>
        <v>Premium</v>
      </c>
      <c r="C614">
        <v>11.99</v>
      </c>
      <c r="D614">
        <v>3572</v>
      </c>
      <c r="E614" t="s">
        <v>46</v>
      </c>
      <c r="F614" t="s">
        <v>52</v>
      </c>
      <c r="G614">
        <v>468</v>
      </c>
      <c r="H614" t="s">
        <v>28</v>
      </c>
      <c r="I614">
        <v>4963</v>
      </c>
      <c r="J614">
        <v>3572</v>
      </c>
      <c r="K614" t="s">
        <v>48</v>
      </c>
      <c r="L614" t="s">
        <v>26</v>
      </c>
      <c r="M614">
        <v>799</v>
      </c>
      <c r="N614">
        <v>44</v>
      </c>
      <c r="O614" t="s">
        <v>52</v>
      </c>
      <c r="P614" t="s">
        <v>48</v>
      </c>
      <c r="Q614">
        <v>468</v>
      </c>
      <c r="R614" t="s">
        <v>50</v>
      </c>
      <c r="S614">
        <v>11.99</v>
      </c>
    </row>
    <row r="615" spans="1:19" x14ac:dyDescent="0.3">
      <c r="A615">
        <f>'Raw Data'!D615-'Raw Data'!C615</f>
        <v>532</v>
      </c>
      <c r="B615" s="2" t="str">
        <f>_xlfn.IFS('Raw Data'!E615&gt;10,"Premium",'Raw Data'!E615&lt;10,"Basic")</f>
        <v>Premium</v>
      </c>
      <c r="C615">
        <v>11.99</v>
      </c>
      <c r="D615">
        <v>4590</v>
      </c>
      <c r="E615" t="s">
        <v>79</v>
      </c>
      <c r="F615" t="s">
        <v>68</v>
      </c>
      <c r="G615">
        <v>366</v>
      </c>
      <c r="H615" t="s">
        <v>28</v>
      </c>
      <c r="I615">
        <v>3290</v>
      </c>
      <c r="J615">
        <v>4590</v>
      </c>
      <c r="K615" t="s">
        <v>44</v>
      </c>
      <c r="L615" t="s">
        <v>40</v>
      </c>
      <c r="M615">
        <v>327</v>
      </c>
      <c r="N615">
        <v>1</v>
      </c>
      <c r="O615" t="s">
        <v>68</v>
      </c>
      <c r="P615" t="s">
        <v>44</v>
      </c>
      <c r="Q615">
        <v>366</v>
      </c>
      <c r="R615" t="s">
        <v>27</v>
      </c>
      <c r="S615">
        <v>11.99</v>
      </c>
    </row>
    <row r="616" spans="1:19" x14ac:dyDescent="0.3">
      <c r="A616">
        <f>'Raw Data'!D616-'Raw Data'!C616</f>
        <v>60</v>
      </c>
      <c r="B616" s="2" t="str">
        <f>_xlfn.IFS('Raw Data'!E616&gt;10,"Premium",'Raw Data'!E616&lt;10,"Basic")</f>
        <v>Basic</v>
      </c>
      <c r="C616">
        <v>7.99</v>
      </c>
      <c r="D616">
        <v>1831</v>
      </c>
      <c r="E616" t="s">
        <v>43</v>
      </c>
      <c r="F616" t="s">
        <v>60</v>
      </c>
      <c r="G616">
        <v>53</v>
      </c>
      <c r="H616" t="s">
        <v>28</v>
      </c>
      <c r="I616">
        <v>2596</v>
      </c>
      <c r="J616">
        <v>1831</v>
      </c>
      <c r="K616" t="s">
        <v>63</v>
      </c>
      <c r="L616" t="s">
        <v>49</v>
      </c>
      <c r="M616">
        <v>685</v>
      </c>
      <c r="N616">
        <v>127</v>
      </c>
      <c r="O616" t="s">
        <v>60</v>
      </c>
      <c r="P616" t="s">
        <v>63</v>
      </c>
      <c r="Q616">
        <v>53</v>
      </c>
      <c r="R616" t="s">
        <v>56</v>
      </c>
      <c r="S616">
        <v>7.99</v>
      </c>
    </row>
    <row r="617" spans="1:19" x14ac:dyDescent="0.3">
      <c r="A617">
        <f>'Raw Data'!D617-'Raw Data'!C617</f>
        <v>610</v>
      </c>
      <c r="B617" s="2" t="str">
        <f>_xlfn.IFS('Raw Data'!E617&gt;10,"Premium",'Raw Data'!E617&lt;10,"Basic")</f>
        <v>Premium</v>
      </c>
      <c r="C617">
        <v>15.99</v>
      </c>
      <c r="D617">
        <v>6899</v>
      </c>
      <c r="E617" t="s">
        <v>55</v>
      </c>
      <c r="F617" t="s">
        <v>36</v>
      </c>
      <c r="G617">
        <v>102</v>
      </c>
      <c r="H617" t="s">
        <v>28</v>
      </c>
      <c r="I617">
        <v>745</v>
      </c>
      <c r="J617">
        <v>6899</v>
      </c>
      <c r="K617" t="s">
        <v>74</v>
      </c>
      <c r="L617" t="s">
        <v>64</v>
      </c>
      <c r="M617">
        <v>604</v>
      </c>
      <c r="N617">
        <v>107</v>
      </c>
      <c r="O617" t="s">
        <v>36</v>
      </c>
      <c r="P617" t="s">
        <v>74</v>
      </c>
      <c r="Q617">
        <v>102</v>
      </c>
      <c r="R617" t="s">
        <v>67</v>
      </c>
      <c r="S617">
        <v>15.99</v>
      </c>
    </row>
    <row r="618" spans="1:19" x14ac:dyDescent="0.3">
      <c r="A618">
        <f>'Raw Data'!D618-'Raw Data'!C618</f>
        <v>182</v>
      </c>
      <c r="B618" s="2" t="str">
        <f>_xlfn.IFS('Raw Data'!E618&gt;10,"Premium",'Raw Data'!E618&lt;10,"Basic")</f>
        <v>Premium</v>
      </c>
      <c r="C618">
        <v>15.99</v>
      </c>
      <c r="D618">
        <v>1148</v>
      </c>
      <c r="E618" t="s">
        <v>24</v>
      </c>
      <c r="F618" t="s">
        <v>36</v>
      </c>
      <c r="G618">
        <v>259</v>
      </c>
      <c r="H618" t="s">
        <v>28</v>
      </c>
      <c r="I618">
        <v>668</v>
      </c>
      <c r="J618">
        <v>1148</v>
      </c>
      <c r="K618" t="s">
        <v>63</v>
      </c>
      <c r="L618" t="s">
        <v>64</v>
      </c>
      <c r="M618">
        <v>597</v>
      </c>
      <c r="N618">
        <v>165</v>
      </c>
      <c r="O618" t="s">
        <v>36</v>
      </c>
      <c r="P618" t="s">
        <v>63</v>
      </c>
      <c r="Q618">
        <v>259</v>
      </c>
      <c r="R618" t="s">
        <v>34</v>
      </c>
      <c r="S618">
        <v>15.99</v>
      </c>
    </row>
    <row r="619" spans="1:19" x14ac:dyDescent="0.3">
      <c r="A619">
        <f>'Raw Data'!D619-'Raw Data'!C619</f>
        <v>95</v>
      </c>
      <c r="B619" s="2" t="str">
        <f>_xlfn.IFS('Raw Data'!E619&gt;10,"Premium",'Raw Data'!E619&lt;10,"Basic")</f>
        <v>Premium</v>
      </c>
      <c r="C619">
        <v>11.99</v>
      </c>
      <c r="D619">
        <v>3745</v>
      </c>
      <c r="E619" t="s">
        <v>79</v>
      </c>
      <c r="F619" t="s">
        <v>30</v>
      </c>
      <c r="G619">
        <v>81</v>
      </c>
      <c r="H619" t="s">
        <v>28</v>
      </c>
      <c r="I619">
        <v>3282</v>
      </c>
      <c r="J619">
        <v>3745</v>
      </c>
      <c r="K619" t="s">
        <v>39</v>
      </c>
      <c r="L619" t="s">
        <v>40</v>
      </c>
      <c r="M619">
        <v>451</v>
      </c>
      <c r="N619">
        <v>49</v>
      </c>
      <c r="O619" t="s">
        <v>30</v>
      </c>
      <c r="P619" t="s">
        <v>39</v>
      </c>
      <c r="Q619">
        <v>81</v>
      </c>
      <c r="R619" t="s">
        <v>56</v>
      </c>
      <c r="S619">
        <v>11.99</v>
      </c>
    </row>
    <row r="620" spans="1:19" x14ac:dyDescent="0.3">
      <c r="A620">
        <f>'Raw Data'!D620-'Raw Data'!C620</f>
        <v>394</v>
      </c>
      <c r="B620" s="2" t="str">
        <f>_xlfn.IFS('Raw Data'!E620&gt;10,"Premium",'Raw Data'!E620&lt;10,"Basic")</f>
        <v>Premium</v>
      </c>
      <c r="C620">
        <v>11.99</v>
      </c>
      <c r="D620">
        <v>5084</v>
      </c>
      <c r="E620" t="s">
        <v>24</v>
      </c>
      <c r="F620" t="s">
        <v>68</v>
      </c>
      <c r="G620">
        <v>135</v>
      </c>
      <c r="H620" t="s">
        <v>28</v>
      </c>
      <c r="I620">
        <v>1510</v>
      </c>
      <c r="J620">
        <v>5084</v>
      </c>
      <c r="K620" t="s">
        <v>39</v>
      </c>
      <c r="L620" t="s">
        <v>49</v>
      </c>
      <c r="M620">
        <v>50</v>
      </c>
      <c r="N620">
        <v>15</v>
      </c>
      <c r="O620" t="s">
        <v>68</v>
      </c>
      <c r="P620" t="s">
        <v>39</v>
      </c>
      <c r="Q620">
        <v>135</v>
      </c>
      <c r="R620" t="s">
        <v>67</v>
      </c>
      <c r="S620">
        <v>11.99</v>
      </c>
    </row>
    <row r="621" spans="1:19" x14ac:dyDescent="0.3">
      <c r="A621">
        <f>'Raw Data'!D621-'Raw Data'!C621</f>
        <v>447</v>
      </c>
      <c r="B621" s="2" t="str">
        <f>_xlfn.IFS('Raw Data'!E621&gt;10,"Premium",'Raw Data'!E621&lt;10,"Basic")</f>
        <v>Premium</v>
      </c>
      <c r="C621">
        <v>11.99</v>
      </c>
      <c r="D621">
        <v>7179</v>
      </c>
      <c r="E621" t="s">
        <v>62</v>
      </c>
      <c r="F621" t="s">
        <v>30</v>
      </c>
      <c r="G621">
        <v>465</v>
      </c>
      <c r="H621" t="s">
        <v>28</v>
      </c>
      <c r="I621">
        <v>1206</v>
      </c>
      <c r="J621">
        <v>7179</v>
      </c>
      <c r="K621" t="s">
        <v>74</v>
      </c>
      <c r="L621" t="s">
        <v>40</v>
      </c>
      <c r="M621">
        <v>987</v>
      </c>
      <c r="N621">
        <v>91</v>
      </c>
      <c r="O621" t="s">
        <v>30</v>
      </c>
      <c r="P621" t="s">
        <v>74</v>
      </c>
      <c r="Q621">
        <v>465</v>
      </c>
      <c r="R621" t="s">
        <v>41</v>
      </c>
      <c r="S621">
        <v>11.99</v>
      </c>
    </row>
    <row r="622" spans="1:19" x14ac:dyDescent="0.3">
      <c r="A622">
        <f>'Raw Data'!D622-'Raw Data'!C622</f>
        <v>658</v>
      </c>
      <c r="B622" s="2" t="str">
        <f>_xlfn.IFS('Raw Data'!E622&gt;10,"Premium",'Raw Data'!E622&lt;10,"Basic")</f>
        <v>Premium</v>
      </c>
      <c r="C622">
        <v>11.99</v>
      </c>
      <c r="D622">
        <v>1005</v>
      </c>
      <c r="E622" t="s">
        <v>55</v>
      </c>
      <c r="F622" t="s">
        <v>68</v>
      </c>
      <c r="G622">
        <v>163</v>
      </c>
      <c r="H622" t="s">
        <v>28</v>
      </c>
      <c r="I622">
        <v>168</v>
      </c>
      <c r="J622">
        <v>1005</v>
      </c>
      <c r="K622" t="s">
        <v>48</v>
      </c>
      <c r="L622" t="s">
        <v>49</v>
      </c>
      <c r="M622">
        <v>817</v>
      </c>
      <c r="N622">
        <v>182</v>
      </c>
      <c r="O622" t="s">
        <v>68</v>
      </c>
      <c r="P622" t="s">
        <v>48</v>
      </c>
      <c r="Q622">
        <v>163</v>
      </c>
      <c r="R622" t="s">
        <v>56</v>
      </c>
      <c r="S622">
        <v>11.99</v>
      </c>
    </row>
    <row r="623" spans="1:19" x14ac:dyDescent="0.3">
      <c r="A623">
        <f>'Raw Data'!D623-'Raw Data'!C623</f>
        <v>607</v>
      </c>
      <c r="B623" s="2" t="str">
        <f>_xlfn.IFS('Raw Data'!E623&gt;10,"Premium",'Raw Data'!E623&lt;10,"Basic")</f>
        <v>Premium</v>
      </c>
      <c r="C623">
        <v>11.99</v>
      </c>
      <c r="D623">
        <v>6405</v>
      </c>
      <c r="E623" t="s">
        <v>62</v>
      </c>
      <c r="F623" t="s">
        <v>52</v>
      </c>
      <c r="G623">
        <v>321</v>
      </c>
      <c r="H623" t="s">
        <v>28</v>
      </c>
      <c r="I623">
        <v>1303</v>
      </c>
      <c r="J623">
        <v>6405</v>
      </c>
      <c r="K623" t="s">
        <v>48</v>
      </c>
      <c r="L623" t="s">
        <v>64</v>
      </c>
      <c r="M623">
        <v>361</v>
      </c>
      <c r="N623">
        <v>12</v>
      </c>
      <c r="O623" t="s">
        <v>52</v>
      </c>
      <c r="P623" t="s">
        <v>48</v>
      </c>
      <c r="Q623">
        <v>321</v>
      </c>
      <c r="R623" t="s">
        <v>34</v>
      </c>
      <c r="S623">
        <v>11.99</v>
      </c>
    </row>
    <row r="624" spans="1:19" x14ac:dyDescent="0.3">
      <c r="A624">
        <f>'Raw Data'!D624-'Raw Data'!C624</f>
        <v>610</v>
      </c>
      <c r="B624" s="2" t="str">
        <f>_xlfn.IFS('Raw Data'!E624&gt;10,"Premium",'Raw Data'!E624&lt;10,"Basic")</f>
        <v>Basic</v>
      </c>
      <c r="C624">
        <v>7.99</v>
      </c>
      <c r="D624">
        <v>5215</v>
      </c>
      <c r="E624" t="s">
        <v>79</v>
      </c>
      <c r="F624" t="s">
        <v>52</v>
      </c>
      <c r="G624">
        <v>212</v>
      </c>
      <c r="H624" t="s">
        <v>28</v>
      </c>
      <c r="I624">
        <v>1365</v>
      </c>
      <c r="J624">
        <v>5215</v>
      </c>
      <c r="K624" t="s">
        <v>44</v>
      </c>
      <c r="L624" t="s">
        <v>40</v>
      </c>
      <c r="M624">
        <v>146</v>
      </c>
      <c r="N624">
        <v>147</v>
      </c>
      <c r="O624" t="s">
        <v>52</v>
      </c>
      <c r="P624" t="s">
        <v>44</v>
      </c>
      <c r="Q624">
        <v>212</v>
      </c>
      <c r="R624" t="s">
        <v>67</v>
      </c>
      <c r="S624">
        <v>7.99</v>
      </c>
    </row>
    <row r="625" spans="1:19" x14ac:dyDescent="0.3">
      <c r="A625">
        <f>'Raw Data'!D625-'Raw Data'!C625</f>
        <v>175</v>
      </c>
      <c r="B625" s="2" t="str">
        <f>_xlfn.IFS('Raw Data'!E625&gt;10,"Premium",'Raw Data'!E625&lt;10,"Basic")</f>
        <v>Premium</v>
      </c>
      <c r="C625">
        <v>15.99</v>
      </c>
      <c r="D625">
        <v>7525</v>
      </c>
      <c r="E625" t="s">
        <v>24</v>
      </c>
      <c r="F625" t="s">
        <v>36</v>
      </c>
      <c r="G625">
        <v>453</v>
      </c>
      <c r="H625" t="s">
        <v>28</v>
      </c>
      <c r="I625">
        <v>1563</v>
      </c>
      <c r="J625">
        <v>7525</v>
      </c>
      <c r="K625" t="s">
        <v>63</v>
      </c>
      <c r="L625" t="s">
        <v>26</v>
      </c>
      <c r="M625">
        <v>313</v>
      </c>
      <c r="N625">
        <v>1</v>
      </c>
      <c r="O625" t="s">
        <v>36</v>
      </c>
      <c r="P625" t="s">
        <v>63</v>
      </c>
      <c r="Q625">
        <v>453</v>
      </c>
      <c r="R625" t="s">
        <v>56</v>
      </c>
      <c r="S625">
        <v>15.99</v>
      </c>
    </row>
    <row r="626" spans="1:19" x14ac:dyDescent="0.3">
      <c r="A626">
        <f>'Raw Data'!D626-'Raw Data'!C626</f>
        <v>153</v>
      </c>
      <c r="B626" s="2" t="str">
        <f>_xlfn.IFS('Raw Data'!E626&gt;10,"Premium",'Raw Data'!E626&lt;10,"Basic")</f>
        <v>Premium</v>
      </c>
      <c r="C626">
        <v>11.99</v>
      </c>
      <c r="D626">
        <v>9115</v>
      </c>
      <c r="E626" t="s">
        <v>62</v>
      </c>
      <c r="F626" t="s">
        <v>60</v>
      </c>
      <c r="G626">
        <v>34</v>
      </c>
      <c r="H626" t="s">
        <v>28</v>
      </c>
      <c r="I626">
        <v>1172</v>
      </c>
      <c r="J626">
        <v>9115</v>
      </c>
      <c r="K626" t="s">
        <v>39</v>
      </c>
      <c r="L626" t="s">
        <v>49</v>
      </c>
      <c r="M626">
        <v>80</v>
      </c>
      <c r="N626">
        <v>71</v>
      </c>
      <c r="O626" t="s">
        <v>60</v>
      </c>
      <c r="P626" t="s">
        <v>39</v>
      </c>
      <c r="Q626">
        <v>34</v>
      </c>
      <c r="R626" t="s">
        <v>34</v>
      </c>
      <c r="S626">
        <v>11.99</v>
      </c>
    </row>
    <row r="627" spans="1:19" x14ac:dyDescent="0.3">
      <c r="A627">
        <f>'Raw Data'!D627-'Raw Data'!C627</f>
        <v>251</v>
      </c>
      <c r="B627" s="2" t="str">
        <f>_xlfn.IFS('Raw Data'!E627&gt;10,"Premium",'Raw Data'!E627&lt;10,"Basic")</f>
        <v>Premium</v>
      </c>
      <c r="C627">
        <v>15.99</v>
      </c>
      <c r="D627">
        <v>6454</v>
      </c>
      <c r="E627" t="s">
        <v>62</v>
      </c>
      <c r="F627" t="s">
        <v>30</v>
      </c>
      <c r="G627">
        <v>197</v>
      </c>
      <c r="H627" t="s">
        <v>28</v>
      </c>
      <c r="I627">
        <v>1704</v>
      </c>
      <c r="J627">
        <v>6454</v>
      </c>
      <c r="K627" t="s">
        <v>25</v>
      </c>
      <c r="L627" t="s">
        <v>49</v>
      </c>
      <c r="M627">
        <v>860</v>
      </c>
      <c r="N627">
        <v>42</v>
      </c>
      <c r="O627" t="s">
        <v>30</v>
      </c>
      <c r="P627" t="s">
        <v>25</v>
      </c>
      <c r="Q627">
        <v>197</v>
      </c>
      <c r="R627" t="s">
        <v>67</v>
      </c>
      <c r="S627">
        <v>15.99</v>
      </c>
    </row>
    <row r="628" spans="1:19" x14ac:dyDescent="0.3">
      <c r="A628">
        <f>'Raw Data'!D628-'Raw Data'!C628</f>
        <v>220</v>
      </c>
      <c r="B628" s="2" t="str">
        <f>_xlfn.IFS('Raw Data'!E628&gt;10,"Premium",'Raw Data'!E628&lt;10,"Basic")</f>
        <v>Premium</v>
      </c>
      <c r="C628">
        <v>15.99</v>
      </c>
      <c r="D628">
        <v>4781</v>
      </c>
      <c r="E628" t="s">
        <v>62</v>
      </c>
      <c r="F628" t="s">
        <v>68</v>
      </c>
      <c r="G628">
        <v>361</v>
      </c>
      <c r="H628" t="s">
        <v>28</v>
      </c>
      <c r="I628">
        <v>4421</v>
      </c>
      <c r="J628">
        <v>4781</v>
      </c>
      <c r="K628" t="s">
        <v>48</v>
      </c>
      <c r="L628" t="s">
        <v>26</v>
      </c>
      <c r="M628">
        <v>67</v>
      </c>
      <c r="N628">
        <v>66</v>
      </c>
      <c r="O628" t="s">
        <v>68</v>
      </c>
      <c r="P628" t="s">
        <v>48</v>
      </c>
      <c r="Q628">
        <v>361</v>
      </c>
      <c r="R628" t="s">
        <v>34</v>
      </c>
      <c r="S628">
        <v>15.99</v>
      </c>
    </row>
    <row r="629" spans="1:19" x14ac:dyDescent="0.3">
      <c r="A629">
        <f>'Raw Data'!D629-'Raw Data'!C629</f>
        <v>364</v>
      </c>
      <c r="B629" s="2" t="str">
        <f>_xlfn.IFS('Raw Data'!E629&gt;10,"Premium",'Raw Data'!E629&lt;10,"Basic")</f>
        <v>Premium</v>
      </c>
      <c r="C629">
        <v>11.99</v>
      </c>
      <c r="D629">
        <v>5040</v>
      </c>
      <c r="E629" t="s">
        <v>43</v>
      </c>
      <c r="F629" t="s">
        <v>52</v>
      </c>
      <c r="G629">
        <v>166</v>
      </c>
      <c r="H629" t="s">
        <v>28</v>
      </c>
      <c r="I629">
        <v>2964</v>
      </c>
      <c r="J629">
        <v>5040</v>
      </c>
      <c r="K629" t="s">
        <v>74</v>
      </c>
      <c r="L629" t="s">
        <v>40</v>
      </c>
      <c r="M629">
        <v>178</v>
      </c>
      <c r="N629">
        <v>61</v>
      </c>
      <c r="O629" t="s">
        <v>52</v>
      </c>
      <c r="P629" t="s">
        <v>74</v>
      </c>
      <c r="Q629">
        <v>166</v>
      </c>
      <c r="R629" t="s">
        <v>67</v>
      </c>
      <c r="S629">
        <v>11.99</v>
      </c>
    </row>
    <row r="630" spans="1:19" x14ac:dyDescent="0.3">
      <c r="A630">
        <f>'Raw Data'!D630-'Raw Data'!C630</f>
        <v>372</v>
      </c>
      <c r="B630" s="2" t="str">
        <f>_xlfn.IFS('Raw Data'!E630&gt;10,"Premium",'Raw Data'!E630&lt;10,"Basic")</f>
        <v>Basic</v>
      </c>
      <c r="C630">
        <v>7.99</v>
      </c>
      <c r="D630">
        <v>3209</v>
      </c>
      <c r="E630" t="s">
        <v>46</v>
      </c>
      <c r="F630" t="s">
        <v>52</v>
      </c>
      <c r="G630">
        <v>168</v>
      </c>
      <c r="H630" t="s">
        <v>28</v>
      </c>
      <c r="I630">
        <v>1094</v>
      </c>
      <c r="J630">
        <v>3209</v>
      </c>
      <c r="K630" t="s">
        <v>44</v>
      </c>
      <c r="L630" t="s">
        <v>64</v>
      </c>
      <c r="M630">
        <v>113</v>
      </c>
      <c r="N630">
        <v>85</v>
      </c>
      <c r="O630" t="s">
        <v>52</v>
      </c>
      <c r="P630" t="s">
        <v>44</v>
      </c>
      <c r="Q630">
        <v>168</v>
      </c>
      <c r="R630" t="s">
        <v>50</v>
      </c>
      <c r="S630">
        <v>7.99</v>
      </c>
    </row>
    <row r="631" spans="1:19" x14ac:dyDescent="0.3">
      <c r="A631">
        <f>'Raw Data'!D631-'Raw Data'!C631</f>
        <v>139</v>
      </c>
      <c r="B631" s="2" t="str">
        <f>_xlfn.IFS('Raw Data'!E631&gt;10,"Premium",'Raw Data'!E631&lt;10,"Basic")</f>
        <v>Premium</v>
      </c>
      <c r="C631">
        <v>15.99</v>
      </c>
      <c r="D631">
        <v>8703</v>
      </c>
      <c r="E631" t="s">
        <v>33</v>
      </c>
      <c r="F631" t="s">
        <v>36</v>
      </c>
      <c r="G631">
        <v>336</v>
      </c>
      <c r="H631" t="s">
        <v>28</v>
      </c>
      <c r="I631">
        <v>3674</v>
      </c>
      <c r="J631">
        <v>8703</v>
      </c>
      <c r="K631" t="s">
        <v>39</v>
      </c>
      <c r="L631" t="s">
        <v>26</v>
      </c>
      <c r="M631">
        <v>855</v>
      </c>
      <c r="N631">
        <v>186</v>
      </c>
      <c r="O631" t="s">
        <v>36</v>
      </c>
      <c r="P631" t="s">
        <v>39</v>
      </c>
      <c r="Q631">
        <v>336</v>
      </c>
      <c r="R631" t="s">
        <v>41</v>
      </c>
      <c r="S631">
        <v>15.99</v>
      </c>
    </row>
    <row r="632" spans="1:19" x14ac:dyDescent="0.3">
      <c r="A632">
        <f>'Raw Data'!D632-'Raw Data'!C632</f>
        <v>292</v>
      </c>
      <c r="B632" s="2" t="str">
        <f>_xlfn.IFS('Raw Data'!E632&gt;10,"Premium",'Raw Data'!E632&lt;10,"Basic")</f>
        <v>Premium</v>
      </c>
      <c r="C632">
        <v>15.99</v>
      </c>
      <c r="D632">
        <v>2536</v>
      </c>
      <c r="E632" t="s">
        <v>55</v>
      </c>
      <c r="F632" t="s">
        <v>68</v>
      </c>
      <c r="G632">
        <v>212</v>
      </c>
      <c r="H632" t="s">
        <v>28</v>
      </c>
      <c r="I632">
        <v>296</v>
      </c>
      <c r="J632">
        <v>2536</v>
      </c>
      <c r="K632" t="s">
        <v>74</v>
      </c>
      <c r="L632" t="s">
        <v>64</v>
      </c>
      <c r="M632">
        <v>608</v>
      </c>
      <c r="N632">
        <v>96</v>
      </c>
      <c r="O632" t="s">
        <v>68</v>
      </c>
      <c r="P632" t="s">
        <v>74</v>
      </c>
      <c r="Q632">
        <v>212</v>
      </c>
      <c r="R632" t="s">
        <v>41</v>
      </c>
      <c r="S632">
        <v>15.99</v>
      </c>
    </row>
    <row r="633" spans="1:19" x14ac:dyDescent="0.3">
      <c r="A633">
        <f>'Raw Data'!D633-'Raw Data'!C633</f>
        <v>578</v>
      </c>
      <c r="B633" s="2" t="str">
        <f>_xlfn.IFS('Raw Data'!E633&gt;10,"Premium",'Raw Data'!E633&lt;10,"Basic")</f>
        <v>Basic</v>
      </c>
      <c r="C633">
        <v>7.99</v>
      </c>
      <c r="D633">
        <v>2057</v>
      </c>
      <c r="E633" t="s">
        <v>55</v>
      </c>
      <c r="F633" t="s">
        <v>30</v>
      </c>
      <c r="G633">
        <v>185</v>
      </c>
      <c r="H633" t="s">
        <v>28</v>
      </c>
      <c r="I633">
        <v>4164</v>
      </c>
      <c r="J633">
        <v>2057</v>
      </c>
      <c r="K633" t="s">
        <v>25</v>
      </c>
      <c r="L633" t="s">
        <v>49</v>
      </c>
      <c r="M633">
        <v>804</v>
      </c>
      <c r="N633">
        <v>49</v>
      </c>
      <c r="O633" t="s">
        <v>30</v>
      </c>
      <c r="P633" t="s">
        <v>25</v>
      </c>
      <c r="Q633">
        <v>185</v>
      </c>
      <c r="R633" t="s">
        <v>41</v>
      </c>
      <c r="S633">
        <v>7.99</v>
      </c>
    </row>
    <row r="634" spans="1:19" x14ac:dyDescent="0.3">
      <c r="A634">
        <f>'Raw Data'!D634-'Raw Data'!C634</f>
        <v>333</v>
      </c>
      <c r="B634" s="2" t="str">
        <f>_xlfn.IFS('Raw Data'!E634&gt;10,"Premium",'Raw Data'!E634&lt;10,"Basic")</f>
        <v>Premium</v>
      </c>
      <c r="C634">
        <v>11.99</v>
      </c>
      <c r="D634">
        <v>5627</v>
      </c>
      <c r="E634" t="s">
        <v>43</v>
      </c>
      <c r="F634" t="s">
        <v>60</v>
      </c>
      <c r="G634">
        <v>124</v>
      </c>
      <c r="H634" t="s">
        <v>28</v>
      </c>
      <c r="I634">
        <v>3349</v>
      </c>
      <c r="J634">
        <v>5627</v>
      </c>
      <c r="K634" t="s">
        <v>25</v>
      </c>
      <c r="L634" t="s">
        <v>64</v>
      </c>
      <c r="M634">
        <v>207</v>
      </c>
      <c r="N634">
        <v>140</v>
      </c>
      <c r="O634" t="s">
        <v>60</v>
      </c>
      <c r="P634" t="s">
        <v>25</v>
      </c>
      <c r="Q634">
        <v>124</v>
      </c>
      <c r="R634" t="s">
        <v>27</v>
      </c>
      <c r="S634">
        <v>11.99</v>
      </c>
    </row>
    <row r="635" spans="1:19" x14ac:dyDescent="0.3">
      <c r="A635">
        <f>'Raw Data'!D635-'Raw Data'!C635</f>
        <v>297</v>
      </c>
      <c r="B635" s="2" t="str">
        <f>_xlfn.IFS('Raw Data'!E635&gt;10,"Premium",'Raw Data'!E635&lt;10,"Basic")</f>
        <v>Premium</v>
      </c>
      <c r="C635">
        <v>15.99</v>
      </c>
      <c r="D635">
        <v>4763</v>
      </c>
      <c r="E635" t="s">
        <v>24</v>
      </c>
      <c r="F635" t="s">
        <v>60</v>
      </c>
      <c r="G635">
        <v>256</v>
      </c>
      <c r="H635" t="s">
        <v>28</v>
      </c>
      <c r="I635">
        <v>2830</v>
      </c>
      <c r="J635">
        <v>4763</v>
      </c>
      <c r="K635" t="s">
        <v>59</v>
      </c>
      <c r="L635" t="s">
        <v>40</v>
      </c>
      <c r="M635">
        <v>118</v>
      </c>
      <c r="N635">
        <v>104</v>
      </c>
      <c r="O635" t="s">
        <v>60</v>
      </c>
      <c r="P635" t="s">
        <v>59</v>
      </c>
      <c r="Q635">
        <v>256</v>
      </c>
      <c r="R635" t="s">
        <v>41</v>
      </c>
      <c r="S635">
        <v>15.99</v>
      </c>
    </row>
    <row r="636" spans="1:19" x14ac:dyDescent="0.3">
      <c r="A636">
        <f>'Raw Data'!D636-'Raw Data'!C636</f>
        <v>172</v>
      </c>
      <c r="B636" s="2" t="str">
        <f>_xlfn.IFS('Raw Data'!E636&gt;10,"Premium",'Raw Data'!E636&lt;10,"Basic")</f>
        <v>Premium</v>
      </c>
      <c r="C636">
        <v>11.99</v>
      </c>
      <c r="D636">
        <v>4577</v>
      </c>
      <c r="E636" t="s">
        <v>62</v>
      </c>
      <c r="F636" t="s">
        <v>68</v>
      </c>
      <c r="G636">
        <v>58</v>
      </c>
      <c r="H636" t="s">
        <v>28</v>
      </c>
      <c r="I636">
        <v>2409</v>
      </c>
      <c r="J636">
        <v>4577</v>
      </c>
      <c r="K636" t="s">
        <v>44</v>
      </c>
      <c r="L636" t="s">
        <v>49</v>
      </c>
      <c r="M636">
        <v>983</v>
      </c>
      <c r="N636">
        <v>8</v>
      </c>
      <c r="O636" t="s">
        <v>68</v>
      </c>
      <c r="P636" t="s">
        <v>44</v>
      </c>
      <c r="Q636">
        <v>58</v>
      </c>
      <c r="R636" t="s">
        <v>56</v>
      </c>
      <c r="S636">
        <v>11.99</v>
      </c>
    </row>
    <row r="637" spans="1:19" x14ac:dyDescent="0.3">
      <c r="A637">
        <f>'Raw Data'!D637-'Raw Data'!C637</f>
        <v>60</v>
      </c>
      <c r="B637" s="2" t="str">
        <f>_xlfn.IFS('Raw Data'!E637&gt;10,"Premium",'Raw Data'!E637&lt;10,"Basic")</f>
        <v>Premium</v>
      </c>
      <c r="C637">
        <v>15.99</v>
      </c>
      <c r="D637">
        <v>5216</v>
      </c>
      <c r="E637" t="s">
        <v>62</v>
      </c>
      <c r="F637" t="s">
        <v>36</v>
      </c>
      <c r="G637">
        <v>135</v>
      </c>
      <c r="H637" t="s">
        <v>28</v>
      </c>
      <c r="I637">
        <v>2872</v>
      </c>
      <c r="J637">
        <v>5216</v>
      </c>
      <c r="K637" t="s">
        <v>25</v>
      </c>
      <c r="L637" t="s">
        <v>40</v>
      </c>
      <c r="M637">
        <v>523</v>
      </c>
      <c r="N637">
        <v>159</v>
      </c>
      <c r="O637" t="s">
        <v>36</v>
      </c>
      <c r="P637" t="s">
        <v>25</v>
      </c>
      <c r="Q637">
        <v>135</v>
      </c>
      <c r="R637" t="s">
        <v>27</v>
      </c>
      <c r="S637">
        <v>15.99</v>
      </c>
    </row>
    <row r="638" spans="1:19" x14ac:dyDescent="0.3">
      <c r="A638">
        <f>'Raw Data'!D638-'Raw Data'!C638</f>
        <v>74</v>
      </c>
      <c r="B638" s="2" t="str">
        <f>_xlfn.IFS('Raw Data'!E638&gt;10,"Premium",'Raw Data'!E638&lt;10,"Basic")</f>
        <v>Premium</v>
      </c>
      <c r="C638">
        <v>11.99</v>
      </c>
      <c r="D638">
        <v>3941</v>
      </c>
      <c r="E638" t="s">
        <v>79</v>
      </c>
      <c r="F638" t="s">
        <v>36</v>
      </c>
      <c r="G638">
        <v>163</v>
      </c>
      <c r="H638" t="s">
        <v>28</v>
      </c>
      <c r="I638">
        <v>1364</v>
      </c>
      <c r="J638">
        <v>3941</v>
      </c>
      <c r="K638" t="s">
        <v>44</v>
      </c>
      <c r="L638" t="s">
        <v>64</v>
      </c>
      <c r="M638">
        <v>786</v>
      </c>
      <c r="N638">
        <v>94</v>
      </c>
      <c r="O638" t="s">
        <v>36</v>
      </c>
      <c r="P638" t="s">
        <v>44</v>
      </c>
      <c r="Q638">
        <v>163</v>
      </c>
      <c r="R638" t="s">
        <v>41</v>
      </c>
      <c r="S638">
        <v>11.99</v>
      </c>
    </row>
    <row r="639" spans="1:19" x14ac:dyDescent="0.3">
      <c r="A639">
        <f>'Raw Data'!D639-'Raw Data'!C639</f>
        <v>715</v>
      </c>
      <c r="B639" s="2" t="str">
        <f>_xlfn.IFS('Raw Data'!E639&gt;10,"Premium",'Raw Data'!E639&lt;10,"Basic")</f>
        <v>Premium</v>
      </c>
      <c r="C639">
        <v>15.99</v>
      </c>
      <c r="D639">
        <v>4396</v>
      </c>
      <c r="E639" t="s">
        <v>33</v>
      </c>
      <c r="F639" t="s">
        <v>52</v>
      </c>
      <c r="G639">
        <v>120</v>
      </c>
      <c r="H639" t="s">
        <v>28</v>
      </c>
      <c r="I639">
        <v>473</v>
      </c>
      <c r="J639">
        <v>4396</v>
      </c>
      <c r="K639" t="s">
        <v>39</v>
      </c>
      <c r="L639" t="s">
        <v>49</v>
      </c>
      <c r="M639">
        <v>781</v>
      </c>
      <c r="N639">
        <v>97</v>
      </c>
      <c r="O639" t="s">
        <v>52</v>
      </c>
      <c r="P639" t="s">
        <v>39</v>
      </c>
      <c r="Q639">
        <v>120</v>
      </c>
      <c r="R639" t="s">
        <v>56</v>
      </c>
      <c r="S639">
        <v>15.99</v>
      </c>
    </row>
    <row r="640" spans="1:19" x14ac:dyDescent="0.3">
      <c r="A640">
        <f>'Raw Data'!D640-'Raw Data'!C640</f>
        <v>344</v>
      </c>
      <c r="B640" s="2" t="str">
        <f>_xlfn.IFS('Raw Data'!E640&gt;10,"Premium",'Raw Data'!E640&lt;10,"Basic")</f>
        <v>Basic</v>
      </c>
      <c r="C640">
        <v>7.99</v>
      </c>
      <c r="D640">
        <v>4865</v>
      </c>
      <c r="E640" t="s">
        <v>43</v>
      </c>
      <c r="F640" t="s">
        <v>68</v>
      </c>
      <c r="G640">
        <v>439</v>
      </c>
      <c r="H640" t="s">
        <v>28</v>
      </c>
      <c r="I640">
        <v>4883</v>
      </c>
      <c r="J640">
        <v>4865</v>
      </c>
      <c r="K640" t="s">
        <v>74</v>
      </c>
      <c r="L640" t="s">
        <v>26</v>
      </c>
      <c r="M640">
        <v>434</v>
      </c>
      <c r="N640">
        <v>104</v>
      </c>
      <c r="O640" t="s">
        <v>68</v>
      </c>
      <c r="P640" t="s">
        <v>74</v>
      </c>
      <c r="Q640">
        <v>439</v>
      </c>
      <c r="R640" t="s">
        <v>27</v>
      </c>
      <c r="S640">
        <v>7.99</v>
      </c>
    </row>
    <row r="641" spans="1:19" x14ac:dyDescent="0.3">
      <c r="A641">
        <f>'Raw Data'!D641-'Raw Data'!C641</f>
        <v>491</v>
      </c>
      <c r="B641" s="2" t="str">
        <f>_xlfn.IFS('Raw Data'!E641&gt;10,"Premium",'Raw Data'!E641&lt;10,"Basic")</f>
        <v>Basic</v>
      </c>
      <c r="C641">
        <v>7.99</v>
      </c>
      <c r="D641">
        <v>2497</v>
      </c>
      <c r="E641" t="s">
        <v>46</v>
      </c>
      <c r="F641" t="s">
        <v>52</v>
      </c>
      <c r="G641">
        <v>223</v>
      </c>
      <c r="H641" t="s">
        <v>28</v>
      </c>
      <c r="I641">
        <v>99</v>
      </c>
      <c r="J641">
        <v>2497</v>
      </c>
      <c r="K641" t="s">
        <v>44</v>
      </c>
      <c r="L641" t="s">
        <v>49</v>
      </c>
      <c r="M641">
        <v>824</v>
      </c>
      <c r="N641">
        <v>125</v>
      </c>
      <c r="O641" t="s">
        <v>52</v>
      </c>
      <c r="P641" t="s">
        <v>44</v>
      </c>
      <c r="Q641">
        <v>223</v>
      </c>
      <c r="R641" t="s">
        <v>27</v>
      </c>
      <c r="S641">
        <v>7.99</v>
      </c>
    </row>
    <row r="642" spans="1:19" x14ac:dyDescent="0.3">
      <c r="A642">
        <f>'Raw Data'!D642-'Raw Data'!C642</f>
        <v>202</v>
      </c>
      <c r="B642" s="2" t="str">
        <f>_xlfn.IFS('Raw Data'!E642&gt;10,"Premium",'Raw Data'!E642&lt;10,"Basic")</f>
        <v>Premium</v>
      </c>
      <c r="C642">
        <v>11.99</v>
      </c>
      <c r="D642">
        <v>4945</v>
      </c>
      <c r="E642" t="s">
        <v>79</v>
      </c>
      <c r="F642" t="s">
        <v>60</v>
      </c>
      <c r="G642">
        <v>485</v>
      </c>
      <c r="H642" t="s">
        <v>28</v>
      </c>
      <c r="I642">
        <v>2284</v>
      </c>
      <c r="J642">
        <v>4945</v>
      </c>
      <c r="K642" t="s">
        <v>39</v>
      </c>
      <c r="L642" t="s">
        <v>26</v>
      </c>
      <c r="M642">
        <v>230</v>
      </c>
      <c r="N642">
        <v>21</v>
      </c>
      <c r="O642" t="s">
        <v>60</v>
      </c>
      <c r="P642" t="s">
        <v>39</v>
      </c>
      <c r="Q642">
        <v>485</v>
      </c>
      <c r="R642" t="s">
        <v>50</v>
      </c>
      <c r="S642">
        <v>11.99</v>
      </c>
    </row>
    <row r="643" spans="1:19" x14ac:dyDescent="0.3">
      <c r="A643">
        <f>'Raw Data'!D643-'Raw Data'!C643</f>
        <v>295</v>
      </c>
      <c r="B643" s="2" t="str">
        <f>_xlfn.IFS('Raw Data'!E643&gt;10,"Premium",'Raw Data'!E643&lt;10,"Basic")</f>
        <v>Basic</v>
      </c>
      <c r="C643">
        <v>7.99</v>
      </c>
      <c r="D643">
        <v>5227</v>
      </c>
      <c r="E643" t="s">
        <v>33</v>
      </c>
      <c r="F643" t="s">
        <v>36</v>
      </c>
      <c r="G643">
        <v>474</v>
      </c>
      <c r="H643" t="s">
        <v>28</v>
      </c>
      <c r="I643">
        <v>3505</v>
      </c>
      <c r="J643">
        <v>5227</v>
      </c>
      <c r="K643" t="s">
        <v>25</v>
      </c>
      <c r="L643" t="s">
        <v>64</v>
      </c>
      <c r="M643">
        <v>358</v>
      </c>
      <c r="N643">
        <v>147</v>
      </c>
      <c r="O643" t="s">
        <v>36</v>
      </c>
      <c r="P643" t="s">
        <v>25</v>
      </c>
      <c r="Q643">
        <v>474</v>
      </c>
      <c r="R643" t="s">
        <v>27</v>
      </c>
      <c r="S643">
        <v>7.99</v>
      </c>
    </row>
    <row r="644" spans="1:19" x14ac:dyDescent="0.3">
      <c r="A644">
        <f>'Raw Data'!D644-'Raw Data'!C644</f>
        <v>241</v>
      </c>
      <c r="B644" s="2" t="str">
        <f>_xlfn.IFS('Raw Data'!E644&gt;10,"Premium",'Raw Data'!E644&lt;10,"Basic")</f>
        <v>Premium</v>
      </c>
      <c r="C644">
        <v>11.99</v>
      </c>
      <c r="D644">
        <v>2150</v>
      </c>
      <c r="E644" t="s">
        <v>55</v>
      </c>
      <c r="F644" t="s">
        <v>68</v>
      </c>
      <c r="G644">
        <v>259</v>
      </c>
      <c r="H644" t="s">
        <v>28</v>
      </c>
      <c r="I644">
        <v>412</v>
      </c>
      <c r="J644">
        <v>2150</v>
      </c>
      <c r="K644" t="s">
        <v>25</v>
      </c>
      <c r="L644" t="s">
        <v>64</v>
      </c>
      <c r="M644">
        <v>380</v>
      </c>
      <c r="N644">
        <v>9</v>
      </c>
      <c r="O644" t="s">
        <v>68</v>
      </c>
      <c r="P644" t="s">
        <v>25</v>
      </c>
      <c r="Q644">
        <v>259</v>
      </c>
      <c r="R644" t="s">
        <v>41</v>
      </c>
      <c r="S644">
        <v>11.99</v>
      </c>
    </row>
    <row r="645" spans="1:19" x14ac:dyDescent="0.3">
      <c r="A645">
        <f>'Raw Data'!D645-'Raw Data'!C645</f>
        <v>25</v>
      </c>
      <c r="B645" s="2" t="str">
        <f>_xlfn.IFS('Raw Data'!E645&gt;10,"Premium",'Raw Data'!E645&lt;10,"Basic")</f>
        <v>Basic</v>
      </c>
      <c r="C645">
        <v>7.99</v>
      </c>
      <c r="D645">
        <v>7145</v>
      </c>
      <c r="E645" t="s">
        <v>33</v>
      </c>
      <c r="F645" t="s">
        <v>60</v>
      </c>
      <c r="G645">
        <v>53</v>
      </c>
      <c r="H645" t="s">
        <v>28</v>
      </c>
      <c r="I645">
        <v>4867</v>
      </c>
      <c r="J645">
        <v>7145</v>
      </c>
      <c r="K645" t="s">
        <v>25</v>
      </c>
      <c r="L645" t="s">
        <v>26</v>
      </c>
      <c r="M645">
        <v>647</v>
      </c>
      <c r="N645">
        <v>165</v>
      </c>
      <c r="O645" t="s">
        <v>60</v>
      </c>
      <c r="P645" t="s">
        <v>25</v>
      </c>
      <c r="Q645">
        <v>53</v>
      </c>
      <c r="R645" t="s">
        <v>50</v>
      </c>
      <c r="S645">
        <v>7.99</v>
      </c>
    </row>
    <row r="646" spans="1:19" x14ac:dyDescent="0.3">
      <c r="A646">
        <f>'Raw Data'!D646-'Raw Data'!C646</f>
        <v>50</v>
      </c>
      <c r="B646" s="2" t="str">
        <f>_xlfn.IFS('Raw Data'!E646&gt;10,"Premium",'Raw Data'!E646&lt;10,"Basic")</f>
        <v>Basic</v>
      </c>
      <c r="C646">
        <v>7.99</v>
      </c>
      <c r="D646">
        <v>2040</v>
      </c>
      <c r="E646" t="s">
        <v>55</v>
      </c>
      <c r="F646" t="s">
        <v>52</v>
      </c>
      <c r="G646">
        <v>221</v>
      </c>
      <c r="H646" t="s">
        <v>28</v>
      </c>
      <c r="I646">
        <v>2560</v>
      </c>
      <c r="J646">
        <v>2040</v>
      </c>
      <c r="K646" t="s">
        <v>59</v>
      </c>
      <c r="L646" t="s">
        <v>64</v>
      </c>
      <c r="M646">
        <v>518</v>
      </c>
      <c r="N646">
        <v>157</v>
      </c>
      <c r="O646" t="s">
        <v>52</v>
      </c>
      <c r="P646" t="s">
        <v>59</v>
      </c>
      <c r="Q646">
        <v>221</v>
      </c>
      <c r="R646" t="s">
        <v>56</v>
      </c>
      <c r="S646">
        <v>7.99</v>
      </c>
    </row>
    <row r="647" spans="1:19" x14ac:dyDescent="0.3">
      <c r="A647">
        <f>'Raw Data'!D647-'Raw Data'!C647</f>
        <v>594</v>
      </c>
      <c r="B647" s="2" t="str">
        <f>_xlfn.IFS('Raw Data'!E647&gt;10,"Premium",'Raw Data'!E647&lt;10,"Basic")</f>
        <v>Basic</v>
      </c>
      <c r="C647">
        <v>7.99</v>
      </c>
      <c r="D647">
        <v>4191</v>
      </c>
      <c r="E647" t="s">
        <v>55</v>
      </c>
      <c r="F647" t="s">
        <v>30</v>
      </c>
      <c r="G647">
        <v>46</v>
      </c>
      <c r="H647" t="s">
        <v>28</v>
      </c>
      <c r="I647">
        <v>4269</v>
      </c>
      <c r="J647">
        <v>4191</v>
      </c>
      <c r="K647" t="s">
        <v>63</v>
      </c>
      <c r="L647" t="s">
        <v>64</v>
      </c>
      <c r="M647">
        <v>33</v>
      </c>
      <c r="N647">
        <v>120</v>
      </c>
      <c r="O647" t="s">
        <v>30</v>
      </c>
      <c r="P647" t="s">
        <v>63</v>
      </c>
      <c r="Q647">
        <v>46</v>
      </c>
      <c r="R647" t="s">
        <v>27</v>
      </c>
      <c r="S647">
        <v>7.99</v>
      </c>
    </row>
    <row r="648" spans="1:19" x14ac:dyDescent="0.3">
      <c r="A648">
        <f>'Raw Data'!D648-'Raw Data'!C648</f>
        <v>497</v>
      </c>
      <c r="B648" s="2" t="str">
        <f>_xlfn.IFS('Raw Data'!E648&gt;10,"Premium",'Raw Data'!E648&lt;10,"Basic")</f>
        <v>Premium</v>
      </c>
      <c r="C648">
        <v>15.99</v>
      </c>
      <c r="D648">
        <v>4336</v>
      </c>
      <c r="E648" t="s">
        <v>46</v>
      </c>
      <c r="F648" t="s">
        <v>52</v>
      </c>
      <c r="G648">
        <v>253</v>
      </c>
      <c r="H648" t="s">
        <v>28</v>
      </c>
      <c r="I648">
        <v>1317</v>
      </c>
      <c r="J648">
        <v>4336</v>
      </c>
      <c r="K648" t="s">
        <v>44</v>
      </c>
      <c r="L648" t="s">
        <v>64</v>
      </c>
      <c r="M648">
        <v>660</v>
      </c>
      <c r="N648">
        <v>151</v>
      </c>
      <c r="O648" t="s">
        <v>52</v>
      </c>
      <c r="P648" t="s">
        <v>44</v>
      </c>
      <c r="Q648">
        <v>253</v>
      </c>
      <c r="R648" t="s">
        <v>27</v>
      </c>
      <c r="S648">
        <v>15.99</v>
      </c>
    </row>
    <row r="649" spans="1:19" x14ac:dyDescent="0.3">
      <c r="A649">
        <f>'Raw Data'!D649-'Raw Data'!C649</f>
        <v>421</v>
      </c>
      <c r="B649" s="2" t="str">
        <f>_xlfn.IFS('Raw Data'!E649&gt;10,"Premium",'Raw Data'!E649&lt;10,"Basic")</f>
        <v>Premium</v>
      </c>
      <c r="C649">
        <v>11.99</v>
      </c>
      <c r="D649">
        <v>5438</v>
      </c>
      <c r="E649" t="s">
        <v>33</v>
      </c>
      <c r="F649" t="s">
        <v>60</v>
      </c>
      <c r="G649">
        <v>478</v>
      </c>
      <c r="H649" t="s">
        <v>28</v>
      </c>
      <c r="I649">
        <v>2936</v>
      </c>
      <c r="J649">
        <v>5438</v>
      </c>
      <c r="K649" t="s">
        <v>74</v>
      </c>
      <c r="L649" t="s">
        <v>40</v>
      </c>
      <c r="M649">
        <v>517</v>
      </c>
      <c r="N649">
        <v>200</v>
      </c>
      <c r="O649" t="s">
        <v>60</v>
      </c>
      <c r="P649" t="s">
        <v>74</v>
      </c>
      <c r="Q649">
        <v>478</v>
      </c>
      <c r="R649" t="s">
        <v>27</v>
      </c>
      <c r="S649">
        <v>11.99</v>
      </c>
    </row>
    <row r="650" spans="1:19" x14ac:dyDescent="0.3">
      <c r="A650">
        <f>'Raw Data'!D650-'Raw Data'!C650</f>
        <v>433</v>
      </c>
      <c r="B650" s="2" t="str">
        <f>_xlfn.IFS('Raw Data'!E650&gt;10,"Premium",'Raw Data'!E650&lt;10,"Basic")</f>
        <v>Basic</v>
      </c>
      <c r="C650">
        <v>7.99</v>
      </c>
      <c r="D650">
        <v>9857</v>
      </c>
      <c r="E650" t="s">
        <v>24</v>
      </c>
      <c r="F650" t="s">
        <v>60</v>
      </c>
      <c r="G650">
        <v>145</v>
      </c>
      <c r="H650" t="s">
        <v>28</v>
      </c>
      <c r="I650">
        <v>905</v>
      </c>
      <c r="J650">
        <v>9857</v>
      </c>
      <c r="K650" t="s">
        <v>63</v>
      </c>
      <c r="L650" t="s">
        <v>64</v>
      </c>
      <c r="M650">
        <v>882</v>
      </c>
      <c r="N650">
        <v>23</v>
      </c>
      <c r="O650" t="s">
        <v>60</v>
      </c>
      <c r="P650" t="s">
        <v>63</v>
      </c>
      <c r="Q650">
        <v>145</v>
      </c>
      <c r="R650" t="s">
        <v>67</v>
      </c>
      <c r="S650">
        <v>7.99</v>
      </c>
    </row>
    <row r="651" spans="1:19" x14ac:dyDescent="0.3">
      <c r="A651">
        <f>'Raw Data'!D651-'Raw Data'!C651</f>
        <v>341</v>
      </c>
      <c r="B651" s="2" t="str">
        <f>_xlfn.IFS('Raw Data'!E651&gt;10,"Premium",'Raw Data'!E651&lt;10,"Basic")</f>
        <v>Premium</v>
      </c>
      <c r="C651">
        <v>15.99</v>
      </c>
      <c r="D651">
        <v>4767</v>
      </c>
      <c r="E651" t="s">
        <v>46</v>
      </c>
      <c r="F651" t="s">
        <v>36</v>
      </c>
      <c r="G651">
        <v>366</v>
      </c>
      <c r="H651" t="s">
        <v>28</v>
      </c>
      <c r="I651">
        <v>4513</v>
      </c>
      <c r="J651">
        <v>4767</v>
      </c>
      <c r="K651" t="s">
        <v>59</v>
      </c>
      <c r="L651" t="s">
        <v>64</v>
      </c>
      <c r="M651">
        <v>349</v>
      </c>
      <c r="N651">
        <v>50</v>
      </c>
      <c r="O651" t="s">
        <v>36</v>
      </c>
      <c r="P651" t="s">
        <v>59</v>
      </c>
      <c r="Q651">
        <v>366</v>
      </c>
      <c r="R651" t="s">
        <v>67</v>
      </c>
      <c r="S651">
        <v>15.99</v>
      </c>
    </row>
    <row r="652" spans="1:19" x14ac:dyDescent="0.3">
      <c r="A652">
        <f>'Raw Data'!D652-'Raw Data'!C652</f>
        <v>-16</v>
      </c>
      <c r="B652" s="2" t="str">
        <f>_xlfn.IFS('Raw Data'!E652&gt;10,"Premium",'Raw Data'!E652&lt;10,"Basic")</f>
        <v>Premium</v>
      </c>
      <c r="C652">
        <v>15.99</v>
      </c>
      <c r="D652">
        <v>9374</v>
      </c>
      <c r="E652" t="s">
        <v>24</v>
      </c>
      <c r="F652" t="s">
        <v>60</v>
      </c>
      <c r="G652">
        <v>301</v>
      </c>
      <c r="H652" t="s">
        <v>28</v>
      </c>
      <c r="I652">
        <v>1153</v>
      </c>
      <c r="J652">
        <v>9374</v>
      </c>
      <c r="K652" t="s">
        <v>25</v>
      </c>
      <c r="L652" t="s">
        <v>40</v>
      </c>
      <c r="M652">
        <v>619</v>
      </c>
      <c r="N652">
        <v>172</v>
      </c>
      <c r="O652" t="s">
        <v>60</v>
      </c>
      <c r="P652" t="s">
        <v>25</v>
      </c>
      <c r="Q652">
        <v>301</v>
      </c>
      <c r="R652" t="s">
        <v>56</v>
      </c>
      <c r="S652">
        <v>15.99</v>
      </c>
    </row>
    <row r="653" spans="1:19" x14ac:dyDescent="0.3">
      <c r="A653">
        <f>'Raw Data'!D653-'Raw Data'!C653</f>
        <v>408</v>
      </c>
      <c r="B653" s="2" t="str">
        <f>_xlfn.IFS('Raw Data'!E653&gt;10,"Premium",'Raw Data'!E653&lt;10,"Basic")</f>
        <v>Basic</v>
      </c>
      <c r="C653">
        <v>7.99</v>
      </c>
      <c r="D653">
        <v>3918</v>
      </c>
      <c r="E653" t="s">
        <v>24</v>
      </c>
      <c r="F653" t="s">
        <v>30</v>
      </c>
      <c r="G653">
        <v>26</v>
      </c>
      <c r="H653" t="s">
        <v>28</v>
      </c>
      <c r="I653">
        <v>1506</v>
      </c>
      <c r="J653">
        <v>3918</v>
      </c>
      <c r="K653" t="s">
        <v>44</v>
      </c>
      <c r="L653" t="s">
        <v>40</v>
      </c>
      <c r="M653">
        <v>416</v>
      </c>
      <c r="N653">
        <v>146</v>
      </c>
      <c r="O653" t="s">
        <v>30</v>
      </c>
      <c r="P653" t="s">
        <v>44</v>
      </c>
      <c r="Q653">
        <v>26</v>
      </c>
      <c r="R653" t="s">
        <v>41</v>
      </c>
      <c r="S653">
        <v>7.99</v>
      </c>
    </row>
    <row r="654" spans="1:19" x14ac:dyDescent="0.3">
      <c r="A654">
        <f>'Raw Data'!D654-'Raw Data'!C654</f>
        <v>158</v>
      </c>
      <c r="B654" s="2" t="str">
        <f>_xlfn.IFS('Raw Data'!E654&gt;10,"Premium",'Raw Data'!E654&lt;10,"Basic")</f>
        <v>Premium</v>
      </c>
      <c r="C654">
        <v>11.99</v>
      </c>
      <c r="D654">
        <v>9866</v>
      </c>
      <c r="E654" t="s">
        <v>33</v>
      </c>
      <c r="F654" t="s">
        <v>30</v>
      </c>
      <c r="G654">
        <v>208</v>
      </c>
      <c r="H654" t="s">
        <v>28</v>
      </c>
      <c r="I654">
        <v>3817</v>
      </c>
      <c r="J654">
        <v>9866</v>
      </c>
      <c r="K654" t="s">
        <v>25</v>
      </c>
      <c r="L654" t="s">
        <v>49</v>
      </c>
      <c r="M654">
        <v>466</v>
      </c>
      <c r="N654">
        <v>174</v>
      </c>
      <c r="O654" t="s">
        <v>30</v>
      </c>
      <c r="P654" t="s">
        <v>25</v>
      </c>
      <c r="Q654">
        <v>208</v>
      </c>
      <c r="R654" t="s">
        <v>56</v>
      </c>
      <c r="S654">
        <v>11.99</v>
      </c>
    </row>
    <row r="655" spans="1:19" x14ac:dyDescent="0.3">
      <c r="A655">
        <f>'Raw Data'!D655-'Raw Data'!C655</f>
        <v>726</v>
      </c>
      <c r="B655" s="2" t="str">
        <f>_xlfn.IFS('Raw Data'!E655&gt;10,"Premium",'Raw Data'!E655&lt;10,"Basic")</f>
        <v>Premium</v>
      </c>
      <c r="C655">
        <v>11.99</v>
      </c>
      <c r="D655">
        <v>6389</v>
      </c>
      <c r="E655" t="s">
        <v>46</v>
      </c>
      <c r="F655" t="s">
        <v>30</v>
      </c>
      <c r="G655">
        <v>109</v>
      </c>
      <c r="H655" t="s">
        <v>28</v>
      </c>
      <c r="I655">
        <v>4662</v>
      </c>
      <c r="J655">
        <v>6389</v>
      </c>
      <c r="K655" t="s">
        <v>39</v>
      </c>
      <c r="L655" t="s">
        <v>26</v>
      </c>
      <c r="M655">
        <v>701</v>
      </c>
      <c r="N655">
        <v>4</v>
      </c>
      <c r="O655" t="s">
        <v>30</v>
      </c>
      <c r="P655" t="s">
        <v>39</v>
      </c>
      <c r="Q655">
        <v>109</v>
      </c>
      <c r="R655" t="s">
        <v>27</v>
      </c>
      <c r="S655">
        <v>11.99</v>
      </c>
    </row>
    <row r="656" spans="1:19" x14ac:dyDescent="0.3">
      <c r="A656">
        <f>'Raw Data'!D656-'Raw Data'!C656</f>
        <v>193</v>
      </c>
      <c r="B656" s="2" t="str">
        <f>_xlfn.IFS('Raw Data'!E656&gt;10,"Premium",'Raw Data'!E656&lt;10,"Basic")</f>
        <v>Premium</v>
      </c>
      <c r="C656">
        <v>15.99</v>
      </c>
      <c r="D656">
        <v>8733</v>
      </c>
      <c r="E656" t="s">
        <v>55</v>
      </c>
      <c r="F656" t="s">
        <v>30</v>
      </c>
      <c r="G656">
        <v>451</v>
      </c>
      <c r="H656" t="s">
        <v>28</v>
      </c>
      <c r="I656">
        <v>3708</v>
      </c>
      <c r="J656">
        <v>8733</v>
      </c>
      <c r="K656" t="s">
        <v>59</v>
      </c>
      <c r="L656" t="s">
        <v>40</v>
      </c>
      <c r="M656">
        <v>742</v>
      </c>
      <c r="N656">
        <v>140</v>
      </c>
      <c r="O656" t="s">
        <v>30</v>
      </c>
      <c r="P656" t="s">
        <v>59</v>
      </c>
      <c r="Q656">
        <v>451</v>
      </c>
      <c r="R656" t="s">
        <v>56</v>
      </c>
      <c r="S656">
        <v>15.99</v>
      </c>
    </row>
    <row r="657" spans="1:19" x14ac:dyDescent="0.3">
      <c r="A657">
        <f>'Raw Data'!D657-'Raw Data'!C657</f>
        <v>430</v>
      </c>
      <c r="B657" s="2" t="str">
        <f>_xlfn.IFS('Raw Data'!E657&gt;10,"Premium",'Raw Data'!E657&lt;10,"Basic")</f>
        <v>Premium</v>
      </c>
      <c r="C657">
        <v>15.99</v>
      </c>
      <c r="D657">
        <v>8105</v>
      </c>
      <c r="E657" t="s">
        <v>33</v>
      </c>
      <c r="F657" t="s">
        <v>30</v>
      </c>
      <c r="G657">
        <v>33</v>
      </c>
      <c r="H657" t="s">
        <v>28</v>
      </c>
      <c r="I657">
        <v>1256</v>
      </c>
      <c r="J657">
        <v>8105</v>
      </c>
      <c r="K657" t="s">
        <v>48</v>
      </c>
      <c r="L657" t="s">
        <v>49</v>
      </c>
      <c r="M657">
        <v>228</v>
      </c>
      <c r="N657">
        <v>42</v>
      </c>
      <c r="O657" t="s">
        <v>30</v>
      </c>
      <c r="P657" t="s">
        <v>48</v>
      </c>
      <c r="Q657">
        <v>33</v>
      </c>
      <c r="R657" t="s">
        <v>27</v>
      </c>
      <c r="S657">
        <v>15.99</v>
      </c>
    </row>
    <row r="658" spans="1:19" x14ac:dyDescent="0.3">
      <c r="A658">
        <f>'Raw Data'!D658-'Raw Data'!C658</f>
        <v>279</v>
      </c>
      <c r="B658" s="2" t="str">
        <f>_xlfn.IFS('Raw Data'!E658&gt;10,"Premium",'Raw Data'!E658&lt;10,"Basic")</f>
        <v>Premium</v>
      </c>
      <c r="C658">
        <v>15.99</v>
      </c>
      <c r="D658">
        <v>3443</v>
      </c>
      <c r="E658" t="s">
        <v>46</v>
      </c>
      <c r="F658" t="s">
        <v>52</v>
      </c>
      <c r="G658">
        <v>467</v>
      </c>
      <c r="H658" t="s">
        <v>28</v>
      </c>
      <c r="I658">
        <v>1792</v>
      </c>
      <c r="J658">
        <v>3443</v>
      </c>
      <c r="K658" t="s">
        <v>59</v>
      </c>
      <c r="L658" t="s">
        <v>64</v>
      </c>
      <c r="M658">
        <v>18</v>
      </c>
      <c r="N658">
        <v>34</v>
      </c>
      <c r="O658" t="s">
        <v>52</v>
      </c>
      <c r="P658" t="s">
        <v>59</v>
      </c>
      <c r="Q658">
        <v>467</v>
      </c>
      <c r="R658" t="s">
        <v>67</v>
      </c>
      <c r="S658">
        <v>15.99</v>
      </c>
    </row>
    <row r="659" spans="1:19" x14ac:dyDescent="0.3">
      <c r="A659">
        <f>'Raw Data'!D659-'Raw Data'!C659</f>
        <v>409</v>
      </c>
      <c r="B659" s="2" t="str">
        <f>_xlfn.IFS('Raw Data'!E659&gt;10,"Premium",'Raw Data'!E659&lt;10,"Basic")</f>
        <v>Basic</v>
      </c>
      <c r="C659">
        <v>7.99</v>
      </c>
      <c r="D659">
        <v>2664</v>
      </c>
      <c r="E659" t="s">
        <v>62</v>
      </c>
      <c r="F659" t="s">
        <v>52</v>
      </c>
      <c r="G659">
        <v>123</v>
      </c>
      <c r="H659" t="s">
        <v>28</v>
      </c>
      <c r="I659">
        <v>402</v>
      </c>
      <c r="J659">
        <v>2664</v>
      </c>
      <c r="K659" t="s">
        <v>63</v>
      </c>
      <c r="L659" t="s">
        <v>49</v>
      </c>
      <c r="M659">
        <v>826</v>
      </c>
      <c r="N659">
        <v>79</v>
      </c>
      <c r="O659" t="s">
        <v>52</v>
      </c>
      <c r="P659" t="s">
        <v>63</v>
      </c>
      <c r="Q659">
        <v>123</v>
      </c>
      <c r="R659" t="s">
        <v>34</v>
      </c>
      <c r="S659">
        <v>7.99</v>
      </c>
    </row>
    <row r="660" spans="1:19" x14ac:dyDescent="0.3">
      <c r="A660">
        <f>'Raw Data'!D660-'Raw Data'!C660</f>
        <v>578</v>
      </c>
      <c r="B660" s="2" t="str">
        <f>_xlfn.IFS('Raw Data'!E660&gt;10,"Premium",'Raw Data'!E660&lt;10,"Basic")</f>
        <v>Premium</v>
      </c>
      <c r="C660">
        <v>15.99</v>
      </c>
      <c r="D660">
        <v>1782</v>
      </c>
      <c r="E660" t="s">
        <v>79</v>
      </c>
      <c r="F660" t="s">
        <v>60</v>
      </c>
      <c r="G660">
        <v>139</v>
      </c>
      <c r="H660" t="s">
        <v>28</v>
      </c>
      <c r="I660">
        <v>1271</v>
      </c>
      <c r="J660">
        <v>1782</v>
      </c>
      <c r="K660" t="s">
        <v>48</v>
      </c>
      <c r="L660" t="s">
        <v>40</v>
      </c>
      <c r="M660">
        <v>357</v>
      </c>
      <c r="N660">
        <v>44</v>
      </c>
      <c r="O660" t="s">
        <v>60</v>
      </c>
      <c r="P660" t="s">
        <v>48</v>
      </c>
      <c r="Q660">
        <v>139</v>
      </c>
      <c r="R660" t="s">
        <v>50</v>
      </c>
      <c r="S660">
        <v>15.99</v>
      </c>
    </row>
    <row r="661" spans="1:19" x14ac:dyDescent="0.3">
      <c r="A661">
        <f>'Raw Data'!D661-'Raw Data'!C661</f>
        <v>606</v>
      </c>
      <c r="B661" s="2" t="str">
        <f>_xlfn.IFS('Raw Data'!E661&gt;10,"Premium",'Raw Data'!E661&lt;10,"Basic")</f>
        <v>Basic</v>
      </c>
      <c r="C661">
        <v>7.99</v>
      </c>
      <c r="D661">
        <v>1337</v>
      </c>
      <c r="E661" t="s">
        <v>79</v>
      </c>
      <c r="F661" t="s">
        <v>52</v>
      </c>
      <c r="G661">
        <v>103</v>
      </c>
      <c r="H661" t="s">
        <v>28</v>
      </c>
      <c r="I661">
        <v>4537</v>
      </c>
      <c r="J661">
        <v>1337</v>
      </c>
      <c r="K661" t="s">
        <v>63</v>
      </c>
      <c r="L661" t="s">
        <v>26</v>
      </c>
      <c r="M661">
        <v>474</v>
      </c>
      <c r="N661">
        <v>2</v>
      </c>
      <c r="O661" t="s">
        <v>52</v>
      </c>
      <c r="P661" t="s">
        <v>63</v>
      </c>
      <c r="Q661">
        <v>103</v>
      </c>
      <c r="R661" t="s">
        <v>34</v>
      </c>
      <c r="S661">
        <v>7.99</v>
      </c>
    </row>
    <row r="662" spans="1:19" x14ac:dyDescent="0.3">
      <c r="A662">
        <f>'Raw Data'!D662-'Raw Data'!C662</f>
        <v>622</v>
      </c>
      <c r="B662" s="2" t="str">
        <f>_xlfn.IFS('Raw Data'!E662&gt;10,"Premium",'Raw Data'!E662&lt;10,"Basic")</f>
        <v>Basic</v>
      </c>
      <c r="C662">
        <v>7.99</v>
      </c>
      <c r="D662">
        <v>5901</v>
      </c>
      <c r="E662" t="s">
        <v>55</v>
      </c>
      <c r="F662" t="s">
        <v>68</v>
      </c>
      <c r="G662">
        <v>207</v>
      </c>
      <c r="H662" t="s">
        <v>28</v>
      </c>
      <c r="I662">
        <v>4815</v>
      </c>
      <c r="J662">
        <v>5901</v>
      </c>
      <c r="K662" t="s">
        <v>74</v>
      </c>
      <c r="L662" t="s">
        <v>64</v>
      </c>
      <c r="M662">
        <v>946</v>
      </c>
      <c r="N662">
        <v>166</v>
      </c>
      <c r="O662" t="s">
        <v>68</v>
      </c>
      <c r="P662" t="s">
        <v>74</v>
      </c>
      <c r="Q662">
        <v>207</v>
      </c>
      <c r="R662" t="s">
        <v>27</v>
      </c>
      <c r="S662">
        <v>7.99</v>
      </c>
    </row>
    <row r="663" spans="1:19" x14ac:dyDescent="0.3">
      <c r="A663">
        <f>'Raw Data'!D663-'Raw Data'!C663</f>
        <v>185</v>
      </c>
      <c r="B663" s="2" t="str">
        <f>_xlfn.IFS('Raw Data'!E663&gt;10,"Premium",'Raw Data'!E663&lt;10,"Basic")</f>
        <v>Premium</v>
      </c>
      <c r="C663">
        <v>15.99</v>
      </c>
      <c r="D663">
        <v>2731</v>
      </c>
      <c r="E663" t="s">
        <v>79</v>
      </c>
      <c r="F663" t="s">
        <v>60</v>
      </c>
      <c r="G663">
        <v>267</v>
      </c>
      <c r="H663" t="s">
        <v>28</v>
      </c>
      <c r="I663">
        <v>3510</v>
      </c>
      <c r="J663">
        <v>2731</v>
      </c>
      <c r="K663" t="s">
        <v>44</v>
      </c>
      <c r="L663" t="s">
        <v>26</v>
      </c>
      <c r="M663">
        <v>890</v>
      </c>
      <c r="N663">
        <v>187</v>
      </c>
      <c r="O663" t="s">
        <v>60</v>
      </c>
      <c r="P663" t="s">
        <v>44</v>
      </c>
      <c r="Q663">
        <v>267</v>
      </c>
      <c r="R663" t="s">
        <v>67</v>
      </c>
      <c r="S663">
        <v>15.99</v>
      </c>
    </row>
    <row r="664" spans="1:19" x14ac:dyDescent="0.3">
      <c r="A664">
        <f>'Raw Data'!D664-'Raw Data'!C664</f>
        <v>337</v>
      </c>
      <c r="B664" s="2" t="str">
        <f>_xlfn.IFS('Raw Data'!E664&gt;10,"Premium",'Raw Data'!E664&lt;10,"Basic")</f>
        <v>Basic</v>
      </c>
      <c r="C664">
        <v>7.99</v>
      </c>
      <c r="D664">
        <v>8307</v>
      </c>
      <c r="E664" t="s">
        <v>55</v>
      </c>
      <c r="F664" t="s">
        <v>30</v>
      </c>
      <c r="G664">
        <v>266</v>
      </c>
      <c r="H664" t="s">
        <v>28</v>
      </c>
      <c r="I664">
        <v>4789</v>
      </c>
      <c r="J664">
        <v>8307</v>
      </c>
      <c r="K664" t="s">
        <v>39</v>
      </c>
      <c r="L664" t="s">
        <v>40</v>
      </c>
      <c r="M664">
        <v>583</v>
      </c>
      <c r="N664">
        <v>131</v>
      </c>
      <c r="O664" t="s">
        <v>30</v>
      </c>
      <c r="P664" t="s">
        <v>39</v>
      </c>
      <c r="Q664">
        <v>266</v>
      </c>
      <c r="R664" t="s">
        <v>41</v>
      </c>
      <c r="S664">
        <v>7.99</v>
      </c>
    </row>
    <row r="665" spans="1:19" x14ac:dyDescent="0.3">
      <c r="A665">
        <f>'Raw Data'!D665-'Raw Data'!C665</f>
        <v>639</v>
      </c>
      <c r="B665" s="2" t="str">
        <f>_xlfn.IFS('Raw Data'!E665&gt;10,"Premium",'Raw Data'!E665&lt;10,"Basic")</f>
        <v>Premium</v>
      </c>
      <c r="C665">
        <v>11.99</v>
      </c>
      <c r="D665">
        <v>8019</v>
      </c>
      <c r="E665" t="s">
        <v>62</v>
      </c>
      <c r="F665" t="s">
        <v>52</v>
      </c>
      <c r="G665">
        <v>240</v>
      </c>
      <c r="H665" t="s">
        <v>28</v>
      </c>
      <c r="I665">
        <v>863</v>
      </c>
      <c r="J665">
        <v>8019</v>
      </c>
      <c r="K665" t="s">
        <v>39</v>
      </c>
      <c r="L665" t="s">
        <v>26</v>
      </c>
      <c r="M665">
        <v>304</v>
      </c>
      <c r="N665">
        <v>25</v>
      </c>
      <c r="O665" t="s">
        <v>52</v>
      </c>
      <c r="P665" t="s">
        <v>39</v>
      </c>
      <c r="Q665">
        <v>240</v>
      </c>
      <c r="R665" t="s">
        <v>34</v>
      </c>
      <c r="S665">
        <v>11.99</v>
      </c>
    </row>
    <row r="666" spans="1:19" x14ac:dyDescent="0.3">
      <c r="A666">
        <f>'Raw Data'!D666-'Raw Data'!C666</f>
        <v>-1</v>
      </c>
      <c r="B666" s="2" t="str">
        <f>_xlfn.IFS('Raw Data'!E666&gt;10,"Premium",'Raw Data'!E666&lt;10,"Basic")</f>
        <v>Premium</v>
      </c>
      <c r="C666">
        <v>15.99</v>
      </c>
      <c r="D666">
        <v>4847</v>
      </c>
      <c r="E666" t="s">
        <v>55</v>
      </c>
      <c r="F666" t="s">
        <v>68</v>
      </c>
      <c r="G666">
        <v>315</v>
      </c>
      <c r="H666" t="s">
        <v>28</v>
      </c>
      <c r="I666">
        <v>1584</v>
      </c>
      <c r="J666">
        <v>4847</v>
      </c>
      <c r="K666" t="s">
        <v>48</v>
      </c>
      <c r="L666" t="s">
        <v>26</v>
      </c>
      <c r="M666">
        <v>205</v>
      </c>
      <c r="N666">
        <v>92</v>
      </c>
      <c r="O666" t="s">
        <v>68</v>
      </c>
      <c r="P666" t="s">
        <v>48</v>
      </c>
      <c r="Q666">
        <v>315</v>
      </c>
      <c r="R666" t="s">
        <v>56</v>
      </c>
      <c r="S666">
        <v>15.99</v>
      </c>
    </row>
    <row r="667" spans="1:19" x14ac:dyDescent="0.3">
      <c r="A667">
        <f>'Raw Data'!D667-'Raw Data'!C667</f>
        <v>539</v>
      </c>
      <c r="B667" s="2" t="str">
        <f>_xlfn.IFS('Raw Data'!E667&gt;10,"Premium",'Raw Data'!E667&lt;10,"Basic")</f>
        <v>Basic</v>
      </c>
      <c r="C667">
        <v>7.99</v>
      </c>
      <c r="D667">
        <v>9822</v>
      </c>
      <c r="E667" t="s">
        <v>62</v>
      </c>
      <c r="F667" t="s">
        <v>68</v>
      </c>
      <c r="G667">
        <v>276</v>
      </c>
      <c r="H667" t="s">
        <v>28</v>
      </c>
      <c r="I667">
        <v>3178</v>
      </c>
      <c r="J667">
        <v>9822</v>
      </c>
      <c r="K667" t="s">
        <v>48</v>
      </c>
      <c r="L667" t="s">
        <v>64</v>
      </c>
      <c r="M667">
        <v>348</v>
      </c>
      <c r="N667">
        <v>13</v>
      </c>
      <c r="O667" t="s">
        <v>68</v>
      </c>
      <c r="P667" t="s">
        <v>48</v>
      </c>
      <c r="Q667">
        <v>276</v>
      </c>
      <c r="R667" t="s">
        <v>34</v>
      </c>
      <c r="S667">
        <v>7.99</v>
      </c>
    </row>
    <row r="668" spans="1:19" x14ac:dyDescent="0.3">
      <c r="A668">
        <f>'Raw Data'!D668-'Raw Data'!C668</f>
        <v>392</v>
      </c>
      <c r="B668" s="2" t="str">
        <f>_xlfn.IFS('Raw Data'!E668&gt;10,"Premium",'Raw Data'!E668&lt;10,"Basic")</f>
        <v>Basic</v>
      </c>
      <c r="C668">
        <v>7.99</v>
      </c>
      <c r="D668">
        <v>9141</v>
      </c>
      <c r="E668" t="s">
        <v>33</v>
      </c>
      <c r="F668" t="s">
        <v>52</v>
      </c>
      <c r="G668">
        <v>308</v>
      </c>
      <c r="H668" t="s">
        <v>28</v>
      </c>
      <c r="I668">
        <v>4108</v>
      </c>
      <c r="J668">
        <v>9141</v>
      </c>
      <c r="K668" t="s">
        <v>39</v>
      </c>
      <c r="L668" t="s">
        <v>64</v>
      </c>
      <c r="M668">
        <v>107</v>
      </c>
      <c r="N668">
        <v>87</v>
      </c>
      <c r="O668" t="s">
        <v>52</v>
      </c>
      <c r="P668" t="s">
        <v>39</v>
      </c>
      <c r="Q668">
        <v>308</v>
      </c>
      <c r="R668" t="s">
        <v>67</v>
      </c>
      <c r="S668">
        <v>7.99</v>
      </c>
    </row>
    <row r="669" spans="1:19" x14ac:dyDescent="0.3">
      <c r="A669">
        <f>'Raw Data'!D669-'Raw Data'!C669</f>
        <v>464</v>
      </c>
      <c r="B669" s="2" t="str">
        <f>_xlfn.IFS('Raw Data'!E669&gt;10,"Premium",'Raw Data'!E669&lt;10,"Basic")</f>
        <v>Basic</v>
      </c>
      <c r="C669">
        <v>7.99</v>
      </c>
      <c r="D669">
        <v>7539</v>
      </c>
      <c r="E669" t="s">
        <v>55</v>
      </c>
      <c r="F669" t="s">
        <v>36</v>
      </c>
      <c r="G669">
        <v>297</v>
      </c>
      <c r="H669" t="s">
        <v>28</v>
      </c>
      <c r="I669">
        <v>2562</v>
      </c>
      <c r="J669">
        <v>7539</v>
      </c>
      <c r="K669" t="s">
        <v>63</v>
      </c>
      <c r="L669" t="s">
        <v>64</v>
      </c>
      <c r="M669">
        <v>959</v>
      </c>
      <c r="N669">
        <v>71</v>
      </c>
      <c r="O669" t="s">
        <v>36</v>
      </c>
      <c r="P669" t="s">
        <v>63</v>
      </c>
      <c r="Q669">
        <v>297</v>
      </c>
      <c r="R669" t="s">
        <v>67</v>
      </c>
      <c r="S669">
        <v>7.99</v>
      </c>
    </row>
    <row r="670" spans="1:19" x14ac:dyDescent="0.3">
      <c r="A670">
        <f>'Raw Data'!D670-'Raw Data'!C670</f>
        <v>124</v>
      </c>
      <c r="B670" s="2" t="str">
        <f>_xlfn.IFS('Raw Data'!E670&gt;10,"Premium",'Raw Data'!E670&lt;10,"Basic")</f>
        <v>Premium</v>
      </c>
      <c r="C670">
        <v>11.99</v>
      </c>
      <c r="D670">
        <v>1390</v>
      </c>
      <c r="E670" t="s">
        <v>55</v>
      </c>
      <c r="F670" t="s">
        <v>36</v>
      </c>
      <c r="G670">
        <v>326</v>
      </c>
      <c r="H670" t="s">
        <v>28</v>
      </c>
      <c r="I670">
        <v>3499</v>
      </c>
      <c r="J670">
        <v>1390</v>
      </c>
      <c r="K670" t="s">
        <v>74</v>
      </c>
      <c r="L670" t="s">
        <v>40</v>
      </c>
      <c r="M670">
        <v>439</v>
      </c>
      <c r="N670">
        <v>88</v>
      </c>
      <c r="O670" t="s">
        <v>36</v>
      </c>
      <c r="P670" t="s">
        <v>74</v>
      </c>
      <c r="Q670">
        <v>326</v>
      </c>
      <c r="R670" t="s">
        <v>56</v>
      </c>
      <c r="S670">
        <v>11.99</v>
      </c>
    </row>
    <row r="671" spans="1:19" x14ac:dyDescent="0.3">
      <c r="A671">
        <f>'Raw Data'!D671-'Raw Data'!C671</f>
        <v>161</v>
      </c>
      <c r="B671" s="2" t="str">
        <f>_xlfn.IFS('Raw Data'!E671&gt;10,"Premium",'Raw Data'!E671&lt;10,"Basic")</f>
        <v>Premium</v>
      </c>
      <c r="C671">
        <v>15.99</v>
      </c>
      <c r="D671">
        <v>9505</v>
      </c>
      <c r="E671" t="s">
        <v>62</v>
      </c>
      <c r="F671" t="s">
        <v>30</v>
      </c>
      <c r="G671">
        <v>352</v>
      </c>
      <c r="H671" t="s">
        <v>28</v>
      </c>
      <c r="I671">
        <v>3645</v>
      </c>
      <c r="J671">
        <v>9505</v>
      </c>
      <c r="K671" t="s">
        <v>74</v>
      </c>
      <c r="L671" t="s">
        <v>40</v>
      </c>
      <c r="M671">
        <v>757</v>
      </c>
      <c r="N671">
        <v>13</v>
      </c>
      <c r="O671" t="s">
        <v>30</v>
      </c>
      <c r="P671" t="s">
        <v>74</v>
      </c>
      <c r="Q671">
        <v>352</v>
      </c>
      <c r="R671" t="s">
        <v>27</v>
      </c>
      <c r="S671">
        <v>15.99</v>
      </c>
    </row>
    <row r="672" spans="1:19" x14ac:dyDescent="0.3">
      <c r="A672">
        <f>'Raw Data'!D672-'Raw Data'!C672</f>
        <v>389</v>
      </c>
      <c r="B672" s="2" t="str">
        <f>_xlfn.IFS('Raw Data'!E672&gt;10,"Premium",'Raw Data'!E672&lt;10,"Basic")</f>
        <v>Basic</v>
      </c>
      <c r="C672">
        <v>7.99</v>
      </c>
      <c r="D672">
        <v>6741</v>
      </c>
      <c r="E672" t="s">
        <v>43</v>
      </c>
      <c r="F672" t="s">
        <v>68</v>
      </c>
      <c r="G672">
        <v>180</v>
      </c>
      <c r="H672" t="s">
        <v>28</v>
      </c>
      <c r="I672">
        <v>2989</v>
      </c>
      <c r="J672">
        <v>6741</v>
      </c>
      <c r="K672" t="s">
        <v>39</v>
      </c>
      <c r="L672" t="s">
        <v>64</v>
      </c>
      <c r="M672">
        <v>647</v>
      </c>
      <c r="N672">
        <v>2</v>
      </c>
      <c r="O672" t="s">
        <v>68</v>
      </c>
      <c r="P672" t="s">
        <v>39</v>
      </c>
      <c r="Q672">
        <v>180</v>
      </c>
      <c r="R672" t="s">
        <v>67</v>
      </c>
      <c r="S672">
        <v>7.99</v>
      </c>
    </row>
    <row r="673" spans="1:19" x14ac:dyDescent="0.3">
      <c r="A673">
        <f>'Raw Data'!D673-'Raw Data'!C673</f>
        <v>265</v>
      </c>
      <c r="B673" s="2" t="str">
        <f>_xlfn.IFS('Raw Data'!E673&gt;10,"Premium",'Raw Data'!E673&lt;10,"Basic")</f>
        <v>Premium</v>
      </c>
      <c r="C673">
        <v>11.99</v>
      </c>
      <c r="D673">
        <v>1790</v>
      </c>
      <c r="E673" t="s">
        <v>43</v>
      </c>
      <c r="F673" t="s">
        <v>52</v>
      </c>
      <c r="G673">
        <v>362</v>
      </c>
      <c r="H673" t="s">
        <v>28</v>
      </c>
      <c r="I673">
        <v>55</v>
      </c>
      <c r="J673">
        <v>1790</v>
      </c>
      <c r="K673" t="s">
        <v>63</v>
      </c>
      <c r="L673" t="s">
        <v>40</v>
      </c>
      <c r="M673">
        <v>535</v>
      </c>
      <c r="N673">
        <v>200</v>
      </c>
      <c r="O673" t="s">
        <v>52</v>
      </c>
      <c r="P673" t="s">
        <v>63</v>
      </c>
      <c r="Q673">
        <v>362</v>
      </c>
      <c r="R673" t="s">
        <v>27</v>
      </c>
      <c r="S673">
        <v>11.99</v>
      </c>
    </row>
    <row r="674" spans="1:19" x14ac:dyDescent="0.3">
      <c r="A674">
        <f>'Raw Data'!D674-'Raw Data'!C674</f>
        <v>683</v>
      </c>
      <c r="B674" s="2" t="str">
        <f>_xlfn.IFS('Raw Data'!E674&gt;10,"Premium",'Raw Data'!E674&lt;10,"Basic")</f>
        <v>Basic</v>
      </c>
      <c r="C674">
        <v>7.99</v>
      </c>
      <c r="D674">
        <v>6491</v>
      </c>
      <c r="E674" t="s">
        <v>24</v>
      </c>
      <c r="F674" t="s">
        <v>68</v>
      </c>
      <c r="G674">
        <v>154</v>
      </c>
      <c r="H674" t="s">
        <v>28</v>
      </c>
      <c r="I674">
        <v>1850</v>
      </c>
      <c r="J674">
        <v>6491</v>
      </c>
      <c r="K674" t="s">
        <v>63</v>
      </c>
      <c r="L674" t="s">
        <v>49</v>
      </c>
      <c r="M674">
        <v>340</v>
      </c>
      <c r="N674">
        <v>53</v>
      </c>
      <c r="O674" t="s">
        <v>68</v>
      </c>
      <c r="P674" t="s">
        <v>63</v>
      </c>
      <c r="Q674">
        <v>154</v>
      </c>
      <c r="R674" t="s">
        <v>56</v>
      </c>
      <c r="S674">
        <v>7.99</v>
      </c>
    </row>
    <row r="675" spans="1:19" x14ac:dyDescent="0.3">
      <c r="A675">
        <f>'Raw Data'!D675-'Raw Data'!C675</f>
        <v>85</v>
      </c>
      <c r="B675" s="2" t="str">
        <f>_xlfn.IFS('Raw Data'!E675&gt;10,"Premium",'Raw Data'!E675&lt;10,"Basic")</f>
        <v>Basic</v>
      </c>
      <c r="C675">
        <v>7.99</v>
      </c>
      <c r="D675">
        <v>3102</v>
      </c>
      <c r="E675" t="s">
        <v>33</v>
      </c>
      <c r="F675" t="s">
        <v>52</v>
      </c>
      <c r="G675">
        <v>287</v>
      </c>
      <c r="H675" t="s">
        <v>28</v>
      </c>
      <c r="I675">
        <v>4672</v>
      </c>
      <c r="J675">
        <v>3102</v>
      </c>
      <c r="K675" t="s">
        <v>25</v>
      </c>
      <c r="L675" t="s">
        <v>40</v>
      </c>
      <c r="M675">
        <v>670</v>
      </c>
      <c r="N675">
        <v>147</v>
      </c>
      <c r="O675" t="s">
        <v>52</v>
      </c>
      <c r="P675" t="s">
        <v>25</v>
      </c>
      <c r="Q675">
        <v>287</v>
      </c>
      <c r="R675" t="s">
        <v>27</v>
      </c>
      <c r="S675">
        <v>7.99</v>
      </c>
    </row>
    <row r="676" spans="1:19" x14ac:dyDescent="0.3">
      <c r="A676">
        <f>'Raw Data'!D676-'Raw Data'!C676</f>
        <v>538</v>
      </c>
      <c r="B676" s="2" t="str">
        <f>_xlfn.IFS('Raw Data'!E676&gt;10,"Premium",'Raw Data'!E676&lt;10,"Basic")</f>
        <v>Premium</v>
      </c>
      <c r="C676">
        <v>11.99</v>
      </c>
      <c r="D676">
        <v>1300</v>
      </c>
      <c r="E676" t="s">
        <v>79</v>
      </c>
      <c r="F676" t="s">
        <v>30</v>
      </c>
      <c r="G676">
        <v>303</v>
      </c>
      <c r="H676" t="s">
        <v>28</v>
      </c>
      <c r="I676">
        <v>2615</v>
      </c>
      <c r="J676">
        <v>1300</v>
      </c>
      <c r="K676" t="s">
        <v>74</v>
      </c>
      <c r="L676" t="s">
        <v>40</v>
      </c>
      <c r="M676">
        <v>780</v>
      </c>
      <c r="N676">
        <v>128</v>
      </c>
      <c r="O676" t="s">
        <v>30</v>
      </c>
      <c r="P676" t="s">
        <v>74</v>
      </c>
      <c r="Q676">
        <v>303</v>
      </c>
      <c r="R676" t="s">
        <v>56</v>
      </c>
      <c r="S676">
        <v>11.99</v>
      </c>
    </row>
    <row r="677" spans="1:19" x14ac:dyDescent="0.3">
      <c r="A677">
        <f>'Raw Data'!D677-'Raw Data'!C677</f>
        <v>514</v>
      </c>
      <c r="B677" s="2" t="str">
        <f>_xlfn.IFS('Raw Data'!E677&gt;10,"Premium",'Raw Data'!E677&lt;10,"Basic")</f>
        <v>Premium</v>
      </c>
      <c r="C677">
        <v>15.99</v>
      </c>
      <c r="D677">
        <v>5410</v>
      </c>
      <c r="E677" t="s">
        <v>55</v>
      </c>
      <c r="F677" t="s">
        <v>60</v>
      </c>
      <c r="G677">
        <v>447</v>
      </c>
      <c r="H677" t="s">
        <v>28</v>
      </c>
      <c r="I677">
        <v>4927</v>
      </c>
      <c r="J677">
        <v>5410</v>
      </c>
      <c r="K677" t="s">
        <v>59</v>
      </c>
      <c r="L677" t="s">
        <v>64</v>
      </c>
      <c r="M677">
        <v>615</v>
      </c>
      <c r="N677">
        <v>132</v>
      </c>
      <c r="O677" t="s">
        <v>60</v>
      </c>
      <c r="P677" t="s">
        <v>59</v>
      </c>
      <c r="Q677">
        <v>447</v>
      </c>
      <c r="R677" t="s">
        <v>41</v>
      </c>
      <c r="S677">
        <v>15.99</v>
      </c>
    </row>
    <row r="678" spans="1:19" x14ac:dyDescent="0.3">
      <c r="A678">
        <f>'Raw Data'!D678-'Raw Data'!C678</f>
        <v>-11</v>
      </c>
      <c r="B678" s="2" t="str">
        <f>_xlfn.IFS('Raw Data'!E678&gt;10,"Premium",'Raw Data'!E678&lt;10,"Basic")</f>
        <v>Premium</v>
      </c>
      <c r="C678">
        <v>11.99</v>
      </c>
      <c r="D678">
        <v>2714</v>
      </c>
      <c r="E678" t="s">
        <v>43</v>
      </c>
      <c r="F678" t="s">
        <v>30</v>
      </c>
      <c r="G678">
        <v>480</v>
      </c>
      <c r="H678" t="s">
        <v>28</v>
      </c>
      <c r="I678">
        <v>3069</v>
      </c>
      <c r="J678">
        <v>2714</v>
      </c>
      <c r="K678" t="s">
        <v>63</v>
      </c>
      <c r="L678" t="s">
        <v>49</v>
      </c>
      <c r="M678">
        <v>277</v>
      </c>
      <c r="N678">
        <v>25</v>
      </c>
      <c r="O678" t="s">
        <v>30</v>
      </c>
      <c r="P678" t="s">
        <v>63</v>
      </c>
      <c r="Q678">
        <v>480</v>
      </c>
      <c r="R678" t="s">
        <v>67</v>
      </c>
      <c r="S678">
        <v>11.99</v>
      </c>
    </row>
    <row r="679" spans="1:19" x14ac:dyDescent="0.3">
      <c r="A679">
        <f>'Raw Data'!D679-'Raw Data'!C679</f>
        <v>18</v>
      </c>
      <c r="B679" s="2" t="str">
        <f>_xlfn.IFS('Raw Data'!E679&gt;10,"Premium",'Raw Data'!E679&lt;10,"Basic")</f>
        <v>Basic</v>
      </c>
      <c r="C679">
        <v>7.99</v>
      </c>
      <c r="D679">
        <v>4700</v>
      </c>
      <c r="E679" t="s">
        <v>24</v>
      </c>
      <c r="F679" t="s">
        <v>68</v>
      </c>
      <c r="G679">
        <v>438</v>
      </c>
      <c r="H679" t="s">
        <v>28</v>
      </c>
      <c r="I679">
        <v>1906</v>
      </c>
      <c r="J679">
        <v>4700</v>
      </c>
      <c r="K679" t="s">
        <v>44</v>
      </c>
      <c r="L679" t="s">
        <v>64</v>
      </c>
      <c r="M679">
        <v>546</v>
      </c>
      <c r="N679">
        <v>88</v>
      </c>
      <c r="O679" t="s">
        <v>68</v>
      </c>
      <c r="P679" t="s">
        <v>44</v>
      </c>
      <c r="Q679">
        <v>438</v>
      </c>
      <c r="R679" t="s">
        <v>67</v>
      </c>
      <c r="S679">
        <v>7.99</v>
      </c>
    </row>
    <row r="680" spans="1:19" x14ac:dyDescent="0.3">
      <c r="A680">
        <f>'Raw Data'!D680-'Raw Data'!C680</f>
        <v>483</v>
      </c>
      <c r="B680" s="2" t="str">
        <f>_xlfn.IFS('Raw Data'!E680&gt;10,"Premium",'Raw Data'!E680&lt;10,"Basic")</f>
        <v>Premium</v>
      </c>
      <c r="C680">
        <v>15.99</v>
      </c>
      <c r="D680">
        <v>7589</v>
      </c>
      <c r="E680" t="s">
        <v>55</v>
      </c>
      <c r="F680" t="s">
        <v>60</v>
      </c>
      <c r="G680">
        <v>295</v>
      </c>
      <c r="H680" t="s">
        <v>28</v>
      </c>
      <c r="I680">
        <v>105</v>
      </c>
      <c r="J680">
        <v>7589</v>
      </c>
      <c r="K680" t="s">
        <v>63</v>
      </c>
      <c r="L680" t="s">
        <v>26</v>
      </c>
      <c r="M680">
        <v>514</v>
      </c>
      <c r="N680">
        <v>102</v>
      </c>
      <c r="O680" t="s">
        <v>60</v>
      </c>
      <c r="P680" t="s">
        <v>63</v>
      </c>
      <c r="Q680">
        <v>295</v>
      </c>
      <c r="R680" t="s">
        <v>34</v>
      </c>
      <c r="S680">
        <v>15.99</v>
      </c>
    </row>
    <row r="681" spans="1:19" x14ac:dyDescent="0.3">
      <c r="A681">
        <f>'Raw Data'!D681-'Raw Data'!C681</f>
        <v>190</v>
      </c>
      <c r="B681" s="2" t="str">
        <f>_xlfn.IFS('Raw Data'!E681&gt;10,"Premium",'Raw Data'!E681&lt;10,"Basic")</f>
        <v>Premium</v>
      </c>
      <c r="C681">
        <v>11.99</v>
      </c>
      <c r="D681">
        <v>6866</v>
      </c>
      <c r="E681" t="s">
        <v>55</v>
      </c>
      <c r="F681" t="s">
        <v>68</v>
      </c>
      <c r="G681">
        <v>479</v>
      </c>
      <c r="H681" t="s">
        <v>28</v>
      </c>
      <c r="I681">
        <v>4</v>
      </c>
      <c r="J681">
        <v>6866</v>
      </c>
      <c r="K681" t="s">
        <v>25</v>
      </c>
      <c r="L681" t="s">
        <v>49</v>
      </c>
      <c r="M681">
        <v>952</v>
      </c>
      <c r="N681">
        <v>48</v>
      </c>
      <c r="O681" t="s">
        <v>68</v>
      </c>
      <c r="P681" t="s">
        <v>25</v>
      </c>
      <c r="Q681">
        <v>479</v>
      </c>
      <c r="R681" t="s">
        <v>56</v>
      </c>
      <c r="S681">
        <v>11.99</v>
      </c>
    </row>
    <row r="682" spans="1:19" x14ac:dyDescent="0.3">
      <c r="A682">
        <f>'Raw Data'!D682-'Raw Data'!C682</f>
        <v>380</v>
      </c>
      <c r="B682" s="2" t="str">
        <f>_xlfn.IFS('Raw Data'!E682&gt;10,"Premium",'Raw Data'!E682&lt;10,"Basic")</f>
        <v>Premium</v>
      </c>
      <c r="C682">
        <v>15.99</v>
      </c>
      <c r="D682">
        <v>6960</v>
      </c>
      <c r="E682" t="s">
        <v>46</v>
      </c>
      <c r="F682" t="s">
        <v>68</v>
      </c>
      <c r="G682">
        <v>214</v>
      </c>
      <c r="H682" t="s">
        <v>28</v>
      </c>
      <c r="I682">
        <v>1651</v>
      </c>
      <c r="J682">
        <v>6960</v>
      </c>
      <c r="K682" t="s">
        <v>74</v>
      </c>
      <c r="L682" t="s">
        <v>26</v>
      </c>
      <c r="M682">
        <v>780</v>
      </c>
      <c r="N682">
        <v>16</v>
      </c>
      <c r="O682" t="s">
        <v>68</v>
      </c>
      <c r="P682" t="s">
        <v>74</v>
      </c>
      <c r="Q682">
        <v>214</v>
      </c>
      <c r="R682" t="s">
        <v>67</v>
      </c>
      <c r="S682">
        <v>15.99</v>
      </c>
    </row>
    <row r="683" spans="1:19" x14ac:dyDescent="0.3">
      <c r="A683">
        <f>'Raw Data'!D683-'Raw Data'!C683</f>
        <v>242</v>
      </c>
      <c r="B683" s="2" t="str">
        <f>_xlfn.IFS('Raw Data'!E683&gt;10,"Premium",'Raw Data'!E683&lt;10,"Basic")</f>
        <v>Premium</v>
      </c>
      <c r="C683">
        <v>15.99</v>
      </c>
      <c r="D683">
        <v>5808</v>
      </c>
      <c r="E683" t="s">
        <v>24</v>
      </c>
      <c r="F683" t="s">
        <v>60</v>
      </c>
      <c r="G683">
        <v>69</v>
      </c>
      <c r="H683" t="s">
        <v>28</v>
      </c>
      <c r="I683">
        <v>1828</v>
      </c>
      <c r="J683">
        <v>5808</v>
      </c>
      <c r="K683" t="s">
        <v>25</v>
      </c>
      <c r="L683" t="s">
        <v>64</v>
      </c>
      <c r="M683">
        <v>976</v>
      </c>
      <c r="N683">
        <v>105</v>
      </c>
      <c r="O683" t="s">
        <v>60</v>
      </c>
      <c r="P683" t="s">
        <v>25</v>
      </c>
      <c r="Q683">
        <v>69</v>
      </c>
      <c r="R683" t="s">
        <v>41</v>
      </c>
      <c r="S683">
        <v>15.99</v>
      </c>
    </row>
    <row r="684" spans="1:19" x14ac:dyDescent="0.3">
      <c r="A684">
        <f>'Raw Data'!D684-'Raw Data'!C684</f>
        <v>428</v>
      </c>
      <c r="B684" s="2" t="str">
        <f>_xlfn.IFS('Raw Data'!E684&gt;10,"Premium",'Raw Data'!E684&lt;10,"Basic")</f>
        <v>Premium</v>
      </c>
      <c r="C684">
        <v>15.99</v>
      </c>
      <c r="D684">
        <v>5525</v>
      </c>
      <c r="E684" t="s">
        <v>24</v>
      </c>
      <c r="F684" t="s">
        <v>30</v>
      </c>
      <c r="G684">
        <v>344</v>
      </c>
      <c r="H684" t="s">
        <v>28</v>
      </c>
      <c r="I684">
        <v>396</v>
      </c>
      <c r="J684">
        <v>5525</v>
      </c>
      <c r="K684" t="s">
        <v>63</v>
      </c>
      <c r="L684" t="s">
        <v>64</v>
      </c>
      <c r="M684">
        <v>91</v>
      </c>
      <c r="N684">
        <v>137</v>
      </c>
      <c r="O684" t="s">
        <v>30</v>
      </c>
      <c r="P684" t="s">
        <v>63</v>
      </c>
      <c r="Q684">
        <v>344</v>
      </c>
      <c r="R684" t="s">
        <v>34</v>
      </c>
      <c r="S684">
        <v>15.99</v>
      </c>
    </row>
    <row r="685" spans="1:19" x14ac:dyDescent="0.3">
      <c r="A685">
        <f>'Raw Data'!D685-'Raw Data'!C685</f>
        <v>126</v>
      </c>
      <c r="B685" s="2" t="str">
        <f>_xlfn.IFS('Raw Data'!E685&gt;10,"Premium",'Raw Data'!E685&lt;10,"Basic")</f>
        <v>Premium</v>
      </c>
      <c r="C685">
        <v>15.99</v>
      </c>
      <c r="D685">
        <v>1272</v>
      </c>
      <c r="E685" t="s">
        <v>62</v>
      </c>
      <c r="F685" t="s">
        <v>68</v>
      </c>
      <c r="G685">
        <v>163</v>
      </c>
      <c r="H685" t="s">
        <v>28</v>
      </c>
      <c r="I685">
        <v>809</v>
      </c>
      <c r="J685">
        <v>1272</v>
      </c>
      <c r="K685" t="s">
        <v>44</v>
      </c>
      <c r="L685" t="s">
        <v>64</v>
      </c>
      <c r="M685">
        <v>683</v>
      </c>
      <c r="N685">
        <v>108</v>
      </c>
      <c r="O685" t="s">
        <v>68</v>
      </c>
      <c r="P685" t="s">
        <v>44</v>
      </c>
      <c r="Q685">
        <v>163</v>
      </c>
      <c r="R685" t="s">
        <v>41</v>
      </c>
      <c r="S685">
        <v>15.99</v>
      </c>
    </row>
    <row r="686" spans="1:19" x14ac:dyDescent="0.3">
      <c r="A686">
        <f>'Raw Data'!D686-'Raw Data'!C686</f>
        <v>534</v>
      </c>
      <c r="B686" s="2" t="str">
        <f>_xlfn.IFS('Raw Data'!E686&gt;10,"Premium",'Raw Data'!E686&lt;10,"Basic")</f>
        <v>Basic</v>
      </c>
      <c r="C686">
        <v>7.99</v>
      </c>
      <c r="D686">
        <v>8063</v>
      </c>
      <c r="E686" t="s">
        <v>62</v>
      </c>
      <c r="F686" t="s">
        <v>68</v>
      </c>
      <c r="G686">
        <v>217</v>
      </c>
      <c r="H686" t="s">
        <v>28</v>
      </c>
      <c r="I686">
        <v>1431</v>
      </c>
      <c r="J686">
        <v>8063</v>
      </c>
      <c r="K686" t="s">
        <v>39</v>
      </c>
      <c r="L686" t="s">
        <v>26</v>
      </c>
      <c r="M686">
        <v>53</v>
      </c>
      <c r="N686">
        <v>153</v>
      </c>
      <c r="O686" t="s">
        <v>68</v>
      </c>
      <c r="P686" t="s">
        <v>39</v>
      </c>
      <c r="Q686">
        <v>217</v>
      </c>
      <c r="R686" t="s">
        <v>50</v>
      </c>
      <c r="S686">
        <v>7.99</v>
      </c>
    </row>
    <row r="687" spans="1:19" x14ac:dyDescent="0.3">
      <c r="A687">
        <f>'Raw Data'!D687-'Raw Data'!C687</f>
        <v>445</v>
      </c>
      <c r="B687" s="2" t="str">
        <f>_xlfn.IFS('Raw Data'!E687&gt;10,"Premium",'Raw Data'!E687&lt;10,"Basic")</f>
        <v>Premium</v>
      </c>
      <c r="C687">
        <v>15.99</v>
      </c>
      <c r="D687">
        <v>1856</v>
      </c>
      <c r="E687" t="s">
        <v>55</v>
      </c>
      <c r="F687" t="s">
        <v>52</v>
      </c>
      <c r="G687">
        <v>177</v>
      </c>
      <c r="H687" t="s">
        <v>28</v>
      </c>
      <c r="I687">
        <v>2394</v>
      </c>
      <c r="J687">
        <v>1856</v>
      </c>
      <c r="K687" t="s">
        <v>63</v>
      </c>
      <c r="L687" t="s">
        <v>40</v>
      </c>
      <c r="M687">
        <v>246</v>
      </c>
      <c r="N687">
        <v>182</v>
      </c>
      <c r="O687" t="s">
        <v>52</v>
      </c>
      <c r="P687" t="s">
        <v>63</v>
      </c>
      <c r="Q687">
        <v>177</v>
      </c>
      <c r="R687" t="s">
        <v>50</v>
      </c>
      <c r="S687">
        <v>15.99</v>
      </c>
    </row>
    <row r="688" spans="1:19" x14ac:dyDescent="0.3">
      <c r="A688">
        <f>'Raw Data'!D688-'Raw Data'!C688</f>
        <v>585</v>
      </c>
      <c r="B688" s="2" t="str">
        <f>_xlfn.IFS('Raw Data'!E688&gt;10,"Premium",'Raw Data'!E688&lt;10,"Basic")</f>
        <v>Premium</v>
      </c>
      <c r="C688">
        <v>11.99</v>
      </c>
      <c r="D688">
        <v>2830</v>
      </c>
      <c r="E688" t="s">
        <v>62</v>
      </c>
      <c r="F688" t="s">
        <v>68</v>
      </c>
      <c r="G688">
        <v>304</v>
      </c>
      <c r="H688" t="s">
        <v>28</v>
      </c>
      <c r="I688">
        <v>4685</v>
      </c>
      <c r="J688">
        <v>2830</v>
      </c>
      <c r="K688" t="s">
        <v>48</v>
      </c>
      <c r="L688" t="s">
        <v>64</v>
      </c>
      <c r="M688">
        <v>389</v>
      </c>
      <c r="N688">
        <v>137</v>
      </c>
      <c r="O688" t="s">
        <v>68</v>
      </c>
      <c r="P688" t="s">
        <v>48</v>
      </c>
      <c r="Q688">
        <v>304</v>
      </c>
      <c r="R688" t="s">
        <v>67</v>
      </c>
      <c r="S688">
        <v>11.99</v>
      </c>
    </row>
    <row r="689" spans="1:19" x14ac:dyDescent="0.3">
      <c r="A689">
        <f>'Raw Data'!D689-'Raw Data'!C689</f>
        <v>337</v>
      </c>
      <c r="B689" s="2" t="str">
        <f>_xlfn.IFS('Raw Data'!E689&gt;10,"Premium",'Raw Data'!E689&lt;10,"Basic")</f>
        <v>Premium</v>
      </c>
      <c r="C689">
        <v>15.99</v>
      </c>
      <c r="D689">
        <v>3287</v>
      </c>
      <c r="E689" t="s">
        <v>55</v>
      </c>
      <c r="F689" t="s">
        <v>68</v>
      </c>
      <c r="G689">
        <v>90</v>
      </c>
      <c r="H689" t="s">
        <v>28</v>
      </c>
      <c r="I689">
        <v>4332</v>
      </c>
      <c r="J689">
        <v>3287</v>
      </c>
      <c r="K689" t="s">
        <v>74</v>
      </c>
      <c r="L689" t="s">
        <v>26</v>
      </c>
      <c r="M689">
        <v>399</v>
      </c>
      <c r="N689">
        <v>9</v>
      </c>
      <c r="O689" t="s">
        <v>68</v>
      </c>
      <c r="P689" t="s">
        <v>74</v>
      </c>
      <c r="Q689">
        <v>90</v>
      </c>
      <c r="R689" t="s">
        <v>41</v>
      </c>
      <c r="S689">
        <v>15.99</v>
      </c>
    </row>
    <row r="690" spans="1:19" x14ac:dyDescent="0.3">
      <c r="A690">
        <f>'Raw Data'!D690-'Raw Data'!C690</f>
        <v>402</v>
      </c>
      <c r="B690" s="2" t="str">
        <f>_xlfn.IFS('Raw Data'!E690&gt;10,"Premium",'Raw Data'!E690&lt;10,"Basic")</f>
        <v>Premium</v>
      </c>
      <c r="C690">
        <v>15.99</v>
      </c>
      <c r="D690">
        <v>5679</v>
      </c>
      <c r="E690" t="s">
        <v>24</v>
      </c>
      <c r="F690" t="s">
        <v>60</v>
      </c>
      <c r="G690">
        <v>108</v>
      </c>
      <c r="H690" t="s">
        <v>28</v>
      </c>
      <c r="I690">
        <v>851</v>
      </c>
      <c r="J690">
        <v>5679</v>
      </c>
      <c r="K690" t="s">
        <v>44</v>
      </c>
      <c r="L690" t="s">
        <v>64</v>
      </c>
      <c r="M690">
        <v>694</v>
      </c>
      <c r="N690">
        <v>199</v>
      </c>
      <c r="O690" t="s">
        <v>60</v>
      </c>
      <c r="P690" t="s">
        <v>44</v>
      </c>
      <c r="Q690">
        <v>108</v>
      </c>
      <c r="R690" t="s">
        <v>41</v>
      </c>
      <c r="S690">
        <v>15.99</v>
      </c>
    </row>
    <row r="691" spans="1:19" x14ac:dyDescent="0.3">
      <c r="A691">
        <f>'Raw Data'!D691-'Raw Data'!C691</f>
        <v>704</v>
      </c>
      <c r="B691" s="2" t="str">
        <f>_xlfn.IFS('Raw Data'!E691&gt;10,"Premium",'Raw Data'!E691&lt;10,"Basic")</f>
        <v>Premium</v>
      </c>
      <c r="C691">
        <v>11.99</v>
      </c>
      <c r="D691">
        <v>6399</v>
      </c>
      <c r="E691" t="s">
        <v>46</v>
      </c>
      <c r="F691" t="s">
        <v>52</v>
      </c>
      <c r="G691">
        <v>96</v>
      </c>
      <c r="H691" t="s">
        <v>28</v>
      </c>
      <c r="I691">
        <v>2261</v>
      </c>
      <c r="J691">
        <v>6399</v>
      </c>
      <c r="K691" t="s">
        <v>25</v>
      </c>
      <c r="L691" t="s">
        <v>49</v>
      </c>
      <c r="M691">
        <v>434</v>
      </c>
      <c r="N691">
        <v>11</v>
      </c>
      <c r="O691" t="s">
        <v>52</v>
      </c>
      <c r="P691" t="s">
        <v>25</v>
      </c>
      <c r="Q691">
        <v>96</v>
      </c>
      <c r="R691" t="s">
        <v>67</v>
      </c>
      <c r="S691">
        <v>11.99</v>
      </c>
    </row>
    <row r="692" spans="1:19" x14ac:dyDescent="0.3">
      <c r="A692">
        <f>'Raw Data'!D692-'Raw Data'!C692</f>
        <v>287</v>
      </c>
      <c r="B692" s="2" t="str">
        <f>_xlfn.IFS('Raw Data'!E692&gt;10,"Premium",'Raw Data'!E692&lt;10,"Basic")</f>
        <v>Premium</v>
      </c>
      <c r="C692">
        <v>11.99</v>
      </c>
      <c r="D692">
        <v>8753</v>
      </c>
      <c r="E692" t="s">
        <v>24</v>
      </c>
      <c r="F692" t="s">
        <v>68</v>
      </c>
      <c r="G692">
        <v>247</v>
      </c>
      <c r="H692" t="s">
        <v>28</v>
      </c>
      <c r="I692">
        <v>1500</v>
      </c>
      <c r="J692">
        <v>8753</v>
      </c>
      <c r="K692" t="s">
        <v>63</v>
      </c>
      <c r="L692" t="s">
        <v>40</v>
      </c>
      <c r="M692">
        <v>696</v>
      </c>
      <c r="N692">
        <v>28</v>
      </c>
      <c r="O692" t="s">
        <v>68</v>
      </c>
      <c r="P692" t="s">
        <v>63</v>
      </c>
      <c r="Q692">
        <v>247</v>
      </c>
      <c r="R692" t="s">
        <v>67</v>
      </c>
      <c r="S692">
        <v>11.99</v>
      </c>
    </row>
    <row r="693" spans="1:19" x14ac:dyDescent="0.3">
      <c r="A693">
        <f>'Raw Data'!D693-'Raw Data'!C693</f>
        <v>201</v>
      </c>
      <c r="B693" s="2" t="str">
        <f>_xlfn.IFS('Raw Data'!E693&gt;10,"Premium",'Raw Data'!E693&lt;10,"Basic")</f>
        <v>Premium</v>
      </c>
      <c r="C693">
        <v>15.99</v>
      </c>
      <c r="D693">
        <v>9267</v>
      </c>
      <c r="E693" t="s">
        <v>79</v>
      </c>
      <c r="F693" t="s">
        <v>36</v>
      </c>
      <c r="G693">
        <v>245</v>
      </c>
      <c r="H693" t="s">
        <v>28</v>
      </c>
      <c r="I693">
        <v>2130</v>
      </c>
      <c r="J693">
        <v>9267</v>
      </c>
      <c r="K693" t="s">
        <v>48</v>
      </c>
      <c r="L693" t="s">
        <v>40</v>
      </c>
      <c r="M693">
        <v>862</v>
      </c>
      <c r="N693">
        <v>129</v>
      </c>
      <c r="O693" t="s">
        <v>36</v>
      </c>
      <c r="P693" t="s">
        <v>48</v>
      </c>
      <c r="Q693">
        <v>245</v>
      </c>
      <c r="R693" t="s">
        <v>41</v>
      </c>
      <c r="S693">
        <v>15.99</v>
      </c>
    </row>
    <row r="694" spans="1:19" x14ac:dyDescent="0.3">
      <c r="A694">
        <f>'Raw Data'!D694-'Raw Data'!C694</f>
        <v>669</v>
      </c>
      <c r="B694" s="2" t="str">
        <f>_xlfn.IFS('Raw Data'!E694&gt;10,"Premium",'Raw Data'!E694&lt;10,"Basic")</f>
        <v>Basic</v>
      </c>
      <c r="C694">
        <v>7.99</v>
      </c>
      <c r="D694">
        <v>9846</v>
      </c>
      <c r="E694" t="s">
        <v>33</v>
      </c>
      <c r="F694" t="s">
        <v>30</v>
      </c>
      <c r="G694">
        <v>366</v>
      </c>
      <c r="H694" t="s">
        <v>28</v>
      </c>
      <c r="I694">
        <v>4308</v>
      </c>
      <c r="J694">
        <v>9846</v>
      </c>
      <c r="K694" t="s">
        <v>74</v>
      </c>
      <c r="L694" t="s">
        <v>26</v>
      </c>
      <c r="M694">
        <v>631</v>
      </c>
      <c r="N694">
        <v>56</v>
      </c>
      <c r="O694" t="s">
        <v>30</v>
      </c>
      <c r="P694" t="s">
        <v>74</v>
      </c>
      <c r="Q694">
        <v>366</v>
      </c>
      <c r="R694" t="s">
        <v>50</v>
      </c>
      <c r="S694">
        <v>7.99</v>
      </c>
    </row>
    <row r="695" spans="1:19" x14ac:dyDescent="0.3">
      <c r="A695">
        <f>'Raw Data'!D695-'Raw Data'!C695</f>
        <v>182</v>
      </c>
      <c r="B695" s="2" t="str">
        <f>_xlfn.IFS('Raw Data'!E695&gt;10,"Premium",'Raw Data'!E695&lt;10,"Basic")</f>
        <v>Premium</v>
      </c>
      <c r="C695">
        <v>15.99</v>
      </c>
      <c r="D695">
        <v>2382</v>
      </c>
      <c r="E695" t="s">
        <v>43</v>
      </c>
      <c r="F695" t="s">
        <v>36</v>
      </c>
      <c r="G695">
        <v>170</v>
      </c>
      <c r="H695" t="s">
        <v>28</v>
      </c>
      <c r="I695">
        <v>421</v>
      </c>
      <c r="J695">
        <v>2382</v>
      </c>
      <c r="K695" t="s">
        <v>48</v>
      </c>
      <c r="L695" t="s">
        <v>64</v>
      </c>
      <c r="M695">
        <v>144</v>
      </c>
      <c r="N695">
        <v>142</v>
      </c>
      <c r="O695" t="s">
        <v>36</v>
      </c>
      <c r="P695" t="s">
        <v>48</v>
      </c>
      <c r="Q695">
        <v>170</v>
      </c>
      <c r="R695" t="s">
        <v>27</v>
      </c>
      <c r="S695">
        <v>15.99</v>
      </c>
    </row>
    <row r="696" spans="1:19" x14ac:dyDescent="0.3">
      <c r="A696">
        <f>'Raw Data'!D696-'Raw Data'!C696</f>
        <v>435</v>
      </c>
      <c r="B696" s="2" t="str">
        <f>_xlfn.IFS('Raw Data'!E696&gt;10,"Premium",'Raw Data'!E696&lt;10,"Basic")</f>
        <v>Basic</v>
      </c>
      <c r="C696">
        <v>7.99</v>
      </c>
      <c r="D696">
        <v>3593</v>
      </c>
      <c r="E696" t="s">
        <v>46</v>
      </c>
      <c r="F696" t="s">
        <v>30</v>
      </c>
      <c r="G696">
        <v>447</v>
      </c>
      <c r="H696" t="s">
        <v>28</v>
      </c>
      <c r="I696">
        <v>2163</v>
      </c>
      <c r="J696">
        <v>3593</v>
      </c>
      <c r="K696" t="s">
        <v>48</v>
      </c>
      <c r="L696" t="s">
        <v>64</v>
      </c>
      <c r="M696">
        <v>466</v>
      </c>
      <c r="N696">
        <v>198</v>
      </c>
      <c r="O696" t="s">
        <v>30</v>
      </c>
      <c r="P696" t="s">
        <v>48</v>
      </c>
      <c r="Q696">
        <v>447</v>
      </c>
      <c r="R696" t="s">
        <v>27</v>
      </c>
      <c r="S696">
        <v>7.99</v>
      </c>
    </row>
    <row r="697" spans="1:19" x14ac:dyDescent="0.3">
      <c r="A697">
        <f>'Raw Data'!D697-'Raw Data'!C697</f>
        <v>609</v>
      </c>
      <c r="B697" s="2" t="str">
        <f>_xlfn.IFS('Raw Data'!E697&gt;10,"Premium",'Raw Data'!E697&lt;10,"Basic")</f>
        <v>Basic</v>
      </c>
      <c r="C697">
        <v>7.99</v>
      </c>
      <c r="D697">
        <v>4097</v>
      </c>
      <c r="E697" t="s">
        <v>55</v>
      </c>
      <c r="F697" t="s">
        <v>52</v>
      </c>
      <c r="G697">
        <v>369</v>
      </c>
      <c r="H697" t="s">
        <v>28</v>
      </c>
      <c r="I697">
        <v>3354</v>
      </c>
      <c r="J697">
        <v>4097</v>
      </c>
      <c r="K697" t="s">
        <v>59</v>
      </c>
      <c r="L697" t="s">
        <v>26</v>
      </c>
      <c r="M697">
        <v>759</v>
      </c>
      <c r="N697">
        <v>56</v>
      </c>
      <c r="O697" t="s">
        <v>52</v>
      </c>
      <c r="P697" t="s">
        <v>59</v>
      </c>
      <c r="Q697">
        <v>369</v>
      </c>
      <c r="R697" t="s">
        <v>27</v>
      </c>
      <c r="S697">
        <v>7.99</v>
      </c>
    </row>
    <row r="698" spans="1:19" x14ac:dyDescent="0.3">
      <c r="A698">
        <f>'Raw Data'!D698-'Raw Data'!C698</f>
        <v>521</v>
      </c>
      <c r="B698" s="2" t="str">
        <f>_xlfn.IFS('Raw Data'!E698&gt;10,"Premium",'Raw Data'!E698&lt;10,"Basic")</f>
        <v>Premium</v>
      </c>
      <c r="C698">
        <v>15.99</v>
      </c>
      <c r="D698">
        <v>2886</v>
      </c>
      <c r="E698" t="s">
        <v>62</v>
      </c>
      <c r="F698" t="s">
        <v>68</v>
      </c>
      <c r="G698">
        <v>62</v>
      </c>
      <c r="H698" t="s">
        <v>28</v>
      </c>
      <c r="I698">
        <v>3702</v>
      </c>
      <c r="J698">
        <v>2886</v>
      </c>
      <c r="K698" t="s">
        <v>63</v>
      </c>
      <c r="L698" t="s">
        <v>64</v>
      </c>
      <c r="M698">
        <v>811</v>
      </c>
      <c r="N698">
        <v>109</v>
      </c>
      <c r="O698" t="s">
        <v>68</v>
      </c>
      <c r="P698" t="s">
        <v>63</v>
      </c>
      <c r="Q698">
        <v>62</v>
      </c>
      <c r="R698" t="s">
        <v>34</v>
      </c>
      <c r="S698">
        <v>15.99</v>
      </c>
    </row>
    <row r="699" spans="1:19" x14ac:dyDescent="0.3">
      <c r="A699">
        <f>'Raw Data'!D699-'Raw Data'!C699</f>
        <v>326</v>
      </c>
      <c r="B699" s="2" t="str">
        <f>_xlfn.IFS('Raw Data'!E699&gt;10,"Premium",'Raw Data'!E699&lt;10,"Basic")</f>
        <v>Basic</v>
      </c>
      <c r="C699">
        <v>7.99</v>
      </c>
      <c r="D699">
        <v>3255</v>
      </c>
      <c r="E699" t="s">
        <v>55</v>
      </c>
      <c r="F699" t="s">
        <v>30</v>
      </c>
      <c r="G699">
        <v>294</v>
      </c>
      <c r="H699" t="s">
        <v>28</v>
      </c>
      <c r="I699">
        <v>3758</v>
      </c>
      <c r="J699">
        <v>3255</v>
      </c>
      <c r="K699" t="s">
        <v>74</v>
      </c>
      <c r="L699" t="s">
        <v>40</v>
      </c>
      <c r="M699">
        <v>936</v>
      </c>
      <c r="N699">
        <v>120</v>
      </c>
      <c r="O699" t="s">
        <v>30</v>
      </c>
      <c r="P699" t="s">
        <v>74</v>
      </c>
      <c r="Q699">
        <v>294</v>
      </c>
      <c r="R699" t="s">
        <v>50</v>
      </c>
      <c r="S699">
        <v>7.99</v>
      </c>
    </row>
    <row r="700" spans="1:19" x14ac:dyDescent="0.3">
      <c r="A700">
        <f>'Raw Data'!D700-'Raw Data'!C700</f>
        <v>229</v>
      </c>
      <c r="B700" s="2" t="str">
        <f>_xlfn.IFS('Raw Data'!E700&gt;10,"Premium",'Raw Data'!E700&lt;10,"Basic")</f>
        <v>Premium</v>
      </c>
      <c r="C700">
        <v>11.99</v>
      </c>
      <c r="D700">
        <v>6752</v>
      </c>
      <c r="E700" t="s">
        <v>46</v>
      </c>
      <c r="F700" t="s">
        <v>30</v>
      </c>
      <c r="G700">
        <v>10</v>
      </c>
      <c r="H700" t="s">
        <v>28</v>
      </c>
      <c r="I700">
        <v>3942</v>
      </c>
      <c r="J700">
        <v>6752</v>
      </c>
      <c r="K700" t="s">
        <v>59</v>
      </c>
      <c r="L700" t="s">
        <v>49</v>
      </c>
      <c r="M700">
        <v>146</v>
      </c>
      <c r="N700">
        <v>95</v>
      </c>
      <c r="O700" t="s">
        <v>30</v>
      </c>
      <c r="P700" t="s">
        <v>59</v>
      </c>
      <c r="Q700">
        <v>10</v>
      </c>
      <c r="R700" t="s">
        <v>50</v>
      </c>
      <c r="S700">
        <v>11.99</v>
      </c>
    </row>
    <row r="701" spans="1:19" x14ac:dyDescent="0.3">
      <c r="A701">
        <f>'Raw Data'!D701-'Raw Data'!C701</f>
        <v>594</v>
      </c>
      <c r="B701" s="2" t="str">
        <f>_xlfn.IFS('Raw Data'!E701&gt;10,"Premium",'Raw Data'!E701&lt;10,"Basic")</f>
        <v>Premium</v>
      </c>
      <c r="C701">
        <v>11.99</v>
      </c>
      <c r="D701">
        <v>7945</v>
      </c>
      <c r="E701" t="s">
        <v>55</v>
      </c>
      <c r="F701" t="s">
        <v>68</v>
      </c>
      <c r="G701">
        <v>389</v>
      </c>
      <c r="H701" t="s">
        <v>28</v>
      </c>
      <c r="I701">
        <v>2242</v>
      </c>
      <c r="J701">
        <v>7945</v>
      </c>
      <c r="K701" t="s">
        <v>59</v>
      </c>
      <c r="L701" t="s">
        <v>40</v>
      </c>
      <c r="M701">
        <v>631</v>
      </c>
      <c r="N701">
        <v>85</v>
      </c>
      <c r="O701" t="s">
        <v>68</v>
      </c>
      <c r="P701" t="s">
        <v>59</v>
      </c>
      <c r="Q701">
        <v>389</v>
      </c>
      <c r="R701" t="s">
        <v>50</v>
      </c>
      <c r="S701">
        <v>11.99</v>
      </c>
    </row>
    <row r="702" spans="1:19" x14ac:dyDescent="0.3">
      <c r="A702">
        <f>'Raw Data'!D702-'Raw Data'!C702</f>
        <v>248</v>
      </c>
      <c r="B702" s="2" t="str">
        <f>_xlfn.IFS('Raw Data'!E702&gt;10,"Premium",'Raw Data'!E702&lt;10,"Basic")</f>
        <v>Basic</v>
      </c>
      <c r="C702">
        <v>7.99</v>
      </c>
      <c r="D702">
        <v>6658</v>
      </c>
      <c r="E702" t="s">
        <v>43</v>
      </c>
      <c r="F702" t="s">
        <v>60</v>
      </c>
      <c r="G702">
        <v>55</v>
      </c>
      <c r="H702" t="s">
        <v>28</v>
      </c>
      <c r="I702">
        <v>2561</v>
      </c>
      <c r="J702">
        <v>6658</v>
      </c>
      <c r="K702" t="s">
        <v>25</v>
      </c>
      <c r="L702" t="s">
        <v>40</v>
      </c>
      <c r="M702">
        <v>682</v>
      </c>
      <c r="N702">
        <v>141</v>
      </c>
      <c r="O702" t="s">
        <v>60</v>
      </c>
      <c r="P702" t="s">
        <v>25</v>
      </c>
      <c r="Q702">
        <v>55</v>
      </c>
      <c r="R702" t="s">
        <v>27</v>
      </c>
      <c r="S702">
        <v>7.99</v>
      </c>
    </row>
    <row r="703" spans="1:19" x14ac:dyDescent="0.3">
      <c r="A703">
        <f>'Raw Data'!D703-'Raw Data'!C703</f>
        <v>232</v>
      </c>
      <c r="B703" s="2" t="str">
        <f>_xlfn.IFS('Raw Data'!E703&gt;10,"Premium",'Raw Data'!E703&lt;10,"Basic")</f>
        <v>Premium</v>
      </c>
      <c r="C703">
        <v>11.99</v>
      </c>
      <c r="D703">
        <v>5468</v>
      </c>
      <c r="E703" t="s">
        <v>79</v>
      </c>
      <c r="F703" t="s">
        <v>30</v>
      </c>
      <c r="G703">
        <v>208</v>
      </c>
      <c r="H703" t="s">
        <v>28</v>
      </c>
      <c r="I703">
        <v>2465</v>
      </c>
      <c r="J703">
        <v>5468</v>
      </c>
      <c r="K703" t="s">
        <v>25</v>
      </c>
      <c r="L703" t="s">
        <v>26</v>
      </c>
      <c r="M703">
        <v>135</v>
      </c>
      <c r="N703">
        <v>9</v>
      </c>
      <c r="O703" t="s">
        <v>30</v>
      </c>
      <c r="P703" t="s">
        <v>25</v>
      </c>
      <c r="Q703">
        <v>208</v>
      </c>
      <c r="R703" t="s">
        <v>27</v>
      </c>
      <c r="S703">
        <v>11.99</v>
      </c>
    </row>
    <row r="704" spans="1:19" x14ac:dyDescent="0.3">
      <c r="A704">
        <f>'Raw Data'!D704-'Raw Data'!C704</f>
        <v>138</v>
      </c>
      <c r="B704" s="2" t="str">
        <f>_xlfn.IFS('Raw Data'!E704&gt;10,"Premium",'Raw Data'!E704&lt;10,"Basic")</f>
        <v>Premium</v>
      </c>
      <c r="C704">
        <v>15.99</v>
      </c>
      <c r="D704">
        <v>7451</v>
      </c>
      <c r="E704" t="s">
        <v>43</v>
      </c>
      <c r="F704" t="s">
        <v>52</v>
      </c>
      <c r="G704">
        <v>198</v>
      </c>
      <c r="H704" t="s">
        <v>28</v>
      </c>
      <c r="I704">
        <v>4435</v>
      </c>
      <c r="J704">
        <v>7451</v>
      </c>
      <c r="K704" t="s">
        <v>39</v>
      </c>
      <c r="L704" t="s">
        <v>40</v>
      </c>
      <c r="M704">
        <v>255</v>
      </c>
      <c r="N704">
        <v>183</v>
      </c>
      <c r="O704" t="s">
        <v>52</v>
      </c>
      <c r="P704" t="s">
        <v>39</v>
      </c>
      <c r="Q704">
        <v>198</v>
      </c>
      <c r="R704" t="s">
        <v>67</v>
      </c>
      <c r="S704">
        <v>15.99</v>
      </c>
    </row>
    <row r="705" spans="1:19" x14ac:dyDescent="0.3">
      <c r="A705">
        <f>'Raw Data'!D705-'Raw Data'!C705</f>
        <v>149</v>
      </c>
      <c r="B705" s="2" t="str">
        <f>_xlfn.IFS('Raw Data'!E705&gt;10,"Premium",'Raw Data'!E705&lt;10,"Basic")</f>
        <v>Premium</v>
      </c>
      <c r="C705">
        <v>11.99</v>
      </c>
      <c r="D705">
        <v>1253</v>
      </c>
      <c r="E705" t="s">
        <v>55</v>
      </c>
      <c r="F705" t="s">
        <v>60</v>
      </c>
      <c r="G705">
        <v>280</v>
      </c>
      <c r="H705" t="s">
        <v>28</v>
      </c>
      <c r="I705">
        <v>4116</v>
      </c>
      <c r="J705">
        <v>1253</v>
      </c>
      <c r="K705" t="s">
        <v>74</v>
      </c>
      <c r="L705" t="s">
        <v>26</v>
      </c>
      <c r="M705">
        <v>702</v>
      </c>
      <c r="N705">
        <v>58</v>
      </c>
      <c r="O705" t="s">
        <v>60</v>
      </c>
      <c r="P705" t="s">
        <v>74</v>
      </c>
      <c r="Q705">
        <v>280</v>
      </c>
      <c r="R705" t="s">
        <v>67</v>
      </c>
      <c r="S705">
        <v>11.99</v>
      </c>
    </row>
    <row r="706" spans="1:19" x14ac:dyDescent="0.3">
      <c r="A706">
        <f>'Raw Data'!D706-'Raw Data'!C706</f>
        <v>26</v>
      </c>
      <c r="B706" s="2" t="str">
        <f>_xlfn.IFS('Raw Data'!E706&gt;10,"Premium",'Raw Data'!E706&lt;10,"Basic")</f>
        <v>Basic</v>
      </c>
      <c r="C706">
        <v>7.99</v>
      </c>
      <c r="D706">
        <v>6746</v>
      </c>
      <c r="E706" t="s">
        <v>62</v>
      </c>
      <c r="F706" t="s">
        <v>30</v>
      </c>
      <c r="G706">
        <v>161</v>
      </c>
      <c r="H706" t="s">
        <v>28</v>
      </c>
      <c r="I706">
        <v>944</v>
      </c>
      <c r="J706">
        <v>6746</v>
      </c>
      <c r="K706" t="s">
        <v>44</v>
      </c>
      <c r="L706" t="s">
        <v>64</v>
      </c>
      <c r="M706">
        <v>151</v>
      </c>
      <c r="N706">
        <v>109</v>
      </c>
      <c r="O706" t="s">
        <v>30</v>
      </c>
      <c r="P706" t="s">
        <v>44</v>
      </c>
      <c r="Q706">
        <v>161</v>
      </c>
      <c r="R706" t="s">
        <v>56</v>
      </c>
      <c r="S706">
        <v>7.99</v>
      </c>
    </row>
    <row r="707" spans="1:19" x14ac:dyDescent="0.3">
      <c r="A707">
        <f>'Raw Data'!D707-'Raw Data'!C707</f>
        <v>172</v>
      </c>
      <c r="B707" s="2" t="str">
        <f>_xlfn.IFS('Raw Data'!E707&gt;10,"Premium",'Raw Data'!E707&lt;10,"Basic")</f>
        <v>Basic</v>
      </c>
      <c r="C707">
        <v>7.99</v>
      </c>
      <c r="D707">
        <v>8089</v>
      </c>
      <c r="E707" t="s">
        <v>24</v>
      </c>
      <c r="F707" t="s">
        <v>30</v>
      </c>
      <c r="G707">
        <v>439</v>
      </c>
      <c r="H707" t="s">
        <v>28</v>
      </c>
      <c r="I707">
        <v>4219</v>
      </c>
      <c r="J707">
        <v>8089</v>
      </c>
      <c r="K707" t="s">
        <v>48</v>
      </c>
      <c r="L707" t="s">
        <v>40</v>
      </c>
      <c r="M707">
        <v>421</v>
      </c>
      <c r="N707">
        <v>138</v>
      </c>
      <c r="O707" t="s">
        <v>30</v>
      </c>
      <c r="P707" t="s">
        <v>48</v>
      </c>
      <c r="Q707">
        <v>439</v>
      </c>
      <c r="R707" t="s">
        <v>50</v>
      </c>
      <c r="S707">
        <v>7.99</v>
      </c>
    </row>
    <row r="708" spans="1:19" x14ac:dyDescent="0.3">
      <c r="A708">
        <f>'Raw Data'!D708-'Raw Data'!C708</f>
        <v>395</v>
      </c>
      <c r="B708" s="2" t="str">
        <f>_xlfn.IFS('Raw Data'!E708&gt;10,"Premium",'Raw Data'!E708&lt;10,"Basic")</f>
        <v>Basic</v>
      </c>
      <c r="C708">
        <v>7.99</v>
      </c>
      <c r="D708">
        <v>8045</v>
      </c>
      <c r="E708" t="s">
        <v>79</v>
      </c>
      <c r="F708" t="s">
        <v>60</v>
      </c>
      <c r="G708">
        <v>339</v>
      </c>
      <c r="H708" t="s">
        <v>28</v>
      </c>
      <c r="I708">
        <v>4311</v>
      </c>
      <c r="J708">
        <v>8045</v>
      </c>
      <c r="K708" t="s">
        <v>74</v>
      </c>
      <c r="L708" t="s">
        <v>64</v>
      </c>
      <c r="M708">
        <v>354</v>
      </c>
      <c r="N708">
        <v>129</v>
      </c>
      <c r="O708" t="s">
        <v>60</v>
      </c>
      <c r="P708" t="s">
        <v>74</v>
      </c>
      <c r="Q708">
        <v>339</v>
      </c>
      <c r="R708" t="s">
        <v>67</v>
      </c>
      <c r="S708">
        <v>7.99</v>
      </c>
    </row>
    <row r="709" spans="1:19" x14ac:dyDescent="0.3">
      <c r="A709">
        <f>'Raw Data'!D709-'Raw Data'!C709</f>
        <v>44</v>
      </c>
      <c r="B709" s="2" t="str">
        <f>_xlfn.IFS('Raw Data'!E709&gt;10,"Premium",'Raw Data'!E709&lt;10,"Basic")</f>
        <v>Premium</v>
      </c>
      <c r="C709">
        <v>11.99</v>
      </c>
      <c r="D709">
        <v>9417</v>
      </c>
      <c r="E709" t="s">
        <v>24</v>
      </c>
      <c r="F709" t="s">
        <v>36</v>
      </c>
      <c r="G709">
        <v>52</v>
      </c>
      <c r="H709" t="s">
        <v>28</v>
      </c>
      <c r="I709">
        <v>1972</v>
      </c>
      <c r="J709">
        <v>9417</v>
      </c>
      <c r="K709" t="s">
        <v>44</v>
      </c>
      <c r="L709" t="s">
        <v>49</v>
      </c>
      <c r="M709">
        <v>377</v>
      </c>
      <c r="N709">
        <v>135</v>
      </c>
      <c r="O709" t="s">
        <v>36</v>
      </c>
      <c r="P709" t="s">
        <v>44</v>
      </c>
      <c r="Q709">
        <v>52</v>
      </c>
      <c r="R709" t="s">
        <v>50</v>
      </c>
      <c r="S709">
        <v>11.99</v>
      </c>
    </row>
    <row r="710" spans="1:19" x14ac:dyDescent="0.3">
      <c r="A710">
        <f>'Raw Data'!D710-'Raw Data'!C710</f>
        <v>222</v>
      </c>
      <c r="B710" s="2" t="str">
        <f>_xlfn.IFS('Raw Data'!E710&gt;10,"Premium",'Raw Data'!E710&lt;10,"Basic")</f>
        <v>Premium</v>
      </c>
      <c r="C710">
        <v>15.99</v>
      </c>
      <c r="D710">
        <v>3217</v>
      </c>
      <c r="E710" t="s">
        <v>62</v>
      </c>
      <c r="F710" t="s">
        <v>68</v>
      </c>
      <c r="G710">
        <v>297</v>
      </c>
      <c r="H710" t="s">
        <v>28</v>
      </c>
      <c r="I710">
        <v>2132</v>
      </c>
      <c r="J710">
        <v>3217</v>
      </c>
      <c r="K710" t="s">
        <v>74</v>
      </c>
      <c r="L710" t="s">
        <v>64</v>
      </c>
      <c r="M710">
        <v>796</v>
      </c>
      <c r="N710">
        <v>200</v>
      </c>
      <c r="O710" t="s">
        <v>68</v>
      </c>
      <c r="P710" t="s">
        <v>74</v>
      </c>
      <c r="Q710">
        <v>297</v>
      </c>
      <c r="R710" t="s">
        <v>67</v>
      </c>
      <c r="S710">
        <v>15.99</v>
      </c>
    </row>
    <row r="711" spans="1:19" x14ac:dyDescent="0.3">
      <c r="A711">
        <f>'Raw Data'!D711-'Raw Data'!C711</f>
        <v>681</v>
      </c>
      <c r="B711" s="2" t="str">
        <f>_xlfn.IFS('Raw Data'!E711&gt;10,"Premium",'Raw Data'!E711&lt;10,"Basic")</f>
        <v>Premium</v>
      </c>
      <c r="C711">
        <v>15.99</v>
      </c>
      <c r="D711">
        <v>4234</v>
      </c>
      <c r="E711" t="s">
        <v>46</v>
      </c>
      <c r="F711" t="s">
        <v>68</v>
      </c>
      <c r="G711">
        <v>40</v>
      </c>
      <c r="H711" t="s">
        <v>28</v>
      </c>
      <c r="I711">
        <v>2370</v>
      </c>
      <c r="J711">
        <v>4234</v>
      </c>
      <c r="K711" t="s">
        <v>59</v>
      </c>
      <c r="L711" t="s">
        <v>26</v>
      </c>
      <c r="M711">
        <v>841</v>
      </c>
      <c r="N711">
        <v>179</v>
      </c>
      <c r="O711" t="s">
        <v>68</v>
      </c>
      <c r="P711" t="s">
        <v>59</v>
      </c>
      <c r="Q711">
        <v>40</v>
      </c>
      <c r="R711" t="s">
        <v>34</v>
      </c>
      <c r="S711">
        <v>15.99</v>
      </c>
    </row>
    <row r="712" spans="1:19" x14ac:dyDescent="0.3">
      <c r="A712">
        <f>'Raw Data'!D712-'Raw Data'!C712</f>
        <v>308</v>
      </c>
      <c r="B712" s="2" t="str">
        <f>_xlfn.IFS('Raw Data'!E712&gt;10,"Premium",'Raw Data'!E712&lt;10,"Basic")</f>
        <v>Premium</v>
      </c>
      <c r="C712">
        <v>15.99</v>
      </c>
      <c r="D712">
        <v>1118</v>
      </c>
      <c r="E712" t="s">
        <v>24</v>
      </c>
      <c r="F712" t="s">
        <v>68</v>
      </c>
      <c r="G712">
        <v>379</v>
      </c>
      <c r="H712" t="s">
        <v>28</v>
      </c>
      <c r="I712">
        <v>1312</v>
      </c>
      <c r="J712">
        <v>1118</v>
      </c>
      <c r="K712" t="s">
        <v>44</v>
      </c>
      <c r="L712" t="s">
        <v>40</v>
      </c>
      <c r="M712">
        <v>885</v>
      </c>
      <c r="N712">
        <v>110</v>
      </c>
      <c r="O712" t="s">
        <v>68</v>
      </c>
      <c r="P712" t="s">
        <v>44</v>
      </c>
      <c r="Q712">
        <v>379</v>
      </c>
      <c r="R712" t="s">
        <v>50</v>
      </c>
      <c r="S712">
        <v>15.99</v>
      </c>
    </row>
    <row r="713" spans="1:19" x14ac:dyDescent="0.3">
      <c r="A713">
        <f>'Raw Data'!D713-'Raw Data'!C713</f>
        <v>225</v>
      </c>
      <c r="B713" s="2" t="str">
        <f>_xlfn.IFS('Raw Data'!E713&gt;10,"Premium",'Raw Data'!E713&lt;10,"Basic")</f>
        <v>Premium</v>
      </c>
      <c r="C713">
        <v>15.99</v>
      </c>
      <c r="D713">
        <v>4027</v>
      </c>
      <c r="E713" t="s">
        <v>55</v>
      </c>
      <c r="F713" t="s">
        <v>30</v>
      </c>
      <c r="G713">
        <v>82</v>
      </c>
      <c r="H713" t="s">
        <v>28</v>
      </c>
      <c r="I713">
        <v>4920</v>
      </c>
      <c r="J713">
        <v>4027</v>
      </c>
      <c r="K713" t="s">
        <v>74</v>
      </c>
      <c r="L713" t="s">
        <v>26</v>
      </c>
      <c r="M713">
        <v>999</v>
      </c>
      <c r="N713">
        <v>190</v>
      </c>
      <c r="O713" t="s">
        <v>30</v>
      </c>
      <c r="P713" t="s">
        <v>74</v>
      </c>
      <c r="Q713">
        <v>82</v>
      </c>
      <c r="R713" t="s">
        <v>50</v>
      </c>
      <c r="S713">
        <v>15.99</v>
      </c>
    </row>
    <row r="714" spans="1:19" x14ac:dyDescent="0.3">
      <c r="A714">
        <f>'Raw Data'!D714-'Raw Data'!C714</f>
        <v>632</v>
      </c>
      <c r="B714" s="2" t="str">
        <f>_xlfn.IFS('Raw Data'!E714&gt;10,"Premium",'Raw Data'!E714&lt;10,"Basic")</f>
        <v>Premium</v>
      </c>
      <c r="C714">
        <v>11.99</v>
      </c>
      <c r="D714">
        <v>8451</v>
      </c>
      <c r="E714" t="s">
        <v>24</v>
      </c>
      <c r="F714" t="s">
        <v>60</v>
      </c>
      <c r="G714">
        <v>192</v>
      </c>
      <c r="H714" t="s">
        <v>28</v>
      </c>
      <c r="I714">
        <v>2897</v>
      </c>
      <c r="J714">
        <v>8451</v>
      </c>
      <c r="K714" t="s">
        <v>63</v>
      </c>
      <c r="L714" t="s">
        <v>64</v>
      </c>
      <c r="M714">
        <v>585</v>
      </c>
      <c r="N714">
        <v>82</v>
      </c>
      <c r="O714" t="s">
        <v>60</v>
      </c>
      <c r="P714" t="s">
        <v>63</v>
      </c>
      <c r="Q714">
        <v>192</v>
      </c>
      <c r="R714" t="s">
        <v>27</v>
      </c>
      <c r="S714">
        <v>11.99</v>
      </c>
    </row>
    <row r="715" spans="1:19" x14ac:dyDescent="0.3">
      <c r="A715">
        <f>'Raw Data'!D715-'Raw Data'!C715</f>
        <v>41</v>
      </c>
      <c r="B715" s="2" t="str">
        <f>_xlfn.IFS('Raw Data'!E715&gt;10,"Premium",'Raw Data'!E715&lt;10,"Basic")</f>
        <v>Premium</v>
      </c>
      <c r="C715">
        <v>15.99</v>
      </c>
      <c r="D715">
        <v>6647</v>
      </c>
      <c r="E715" t="s">
        <v>33</v>
      </c>
      <c r="F715" t="s">
        <v>60</v>
      </c>
      <c r="G715">
        <v>286</v>
      </c>
      <c r="H715" t="s">
        <v>28</v>
      </c>
      <c r="I715">
        <v>1275</v>
      </c>
      <c r="J715">
        <v>6647</v>
      </c>
      <c r="K715" t="s">
        <v>39</v>
      </c>
      <c r="L715" t="s">
        <v>26</v>
      </c>
      <c r="M715">
        <v>617</v>
      </c>
      <c r="N715">
        <v>89</v>
      </c>
      <c r="O715" t="s">
        <v>60</v>
      </c>
      <c r="P715" t="s">
        <v>39</v>
      </c>
      <c r="Q715">
        <v>286</v>
      </c>
      <c r="R715" t="s">
        <v>34</v>
      </c>
      <c r="S715">
        <v>15.99</v>
      </c>
    </row>
    <row r="716" spans="1:19" x14ac:dyDescent="0.3">
      <c r="A716">
        <f>'Raw Data'!D716-'Raw Data'!C716</f>
        <v>248</v>
      </c>
      <c r="B716" s="2" t="str">
        <f>_xlfn.IFS('Raw Data'!E716&gt;10,"Premium",'Raw Data'!E716&lt;10,"Basic")</f>
        <v>Premium</v>
      </c>
      <c r="C716">
        <v>11.99</v>
      </c>
      <c r="D716">
        <v>4002</v>
      </c>
      <c r="E716" t="s">
        <v>55</v>
      </c>
      <c r="F716" t="s">
        <v>52</v>
      </c>
      <c r="G716">
        <v>452</v>
      </c>
      <c r="H716" t="s">
        <v>28</v>
      </c>
      <c r="I716">
        <v>340</v>
      </c>
      <c r="J716">
        <v>4002</v>
      </c>
      <c r="K716" t="s">
        <v>74</v>
      </c>
      <c r="L716" t="s">
        <v>64</v>
      </c>
      <c r="M716">
        <v>196</v>
      </c>
      <c r="N716">
        <v>132</v>
      </c>
      <c r="O716" t="s">
        <v>52</v>
      </c>
      <c r="P716" t="s">
        <v>74</v>
      </c>
      <c r="Q716">
        <v>452</v>
      </c>
      <c r="R716" t="s">
        <v>50</v>
      </c>
      <c r="S716">
        <v>11.99</v>
      </c>
    </row>
    <row r="717" spans="1:19" x14ac:dyDescent="0.3">
      <c r="A717">
        <f>'Raw Data'!D717-'Raw Data'!C717</f>
        <v>635</v>
      </c>
      <c r="B717" s="2" t="str">
        <f>_xlfn.IFS('Raw Data'!E717&gt;10,"Premium",'Raw Data'!E717&lt;10,"Basic")</f>
        <v>Basic</v>
      </c>
      <c r="C717">
        <v>7.99</v>
      </c>
      <c r="D717">
        <v>6910</v>
      </c>
      <c r="E717" t="s">
        <v>55</v>
      </c>
      <c r="F717" t="s">
        <v>36</v>
      </c>
      <c r="G717">
        <v>417</v>
      </c>
      <c r="H717" t="s">
        <v>28</v>
      </c>
      <c r="I717">
        <v>444</v>
      </c>
      <c r="J717">
        <v>6910</v>
      </c>
      <c r="K717" t="s">
        <v>74</v>
      </c>
      <c r="L717" t="s">
        <v>64</v>
      </c>
      <c r="M717">
        <v>792</v>
      </c>
      <c r="N717">
        <v>187</v>
      </c>
      <c r="O717" t="s">
        <v>36</v>
      </c>
      <c r="P717" t="s">
        <v>74</v>
      </c>
      <c r="Q717">
        <v>417</v>
      </c>
      <c r="R717" t="s">
        <v>56</v>
      </c>
      <c r="S717">
        <v>7.99</v>
      </c>
    </row>
    <row r="718" spans="1:19" x14ac:dyDescent="0.3">
      <c r="A718">
        <f>'Raw Data'!D718-'Raw Data'!C718</f>
        <v>448</v>
      </c>
      <c r="B718" s="2" t="str">
        <f>_xlfn.IFS('Raw Data'!E718&gt;10,"Premium",'Raw Data'!E718&lt;10,"Basic")</f>
        <v>Premium</v>
      </c>
      <c r="C718">
        <v>15.99</v>
      </c>
      <c r="D718">
        <v>3164</v>
      </c>
      <c r="E718" t="s">
        <v>62</v>
      </c>
      <c r="F718" t="s">
        <v>36</v>
      </c>
      <c r="G718">
        <v>371</v>
      </c>
      <c r="H718" t="s">
        <v>28</v>
      </c>
      <c r="I718">
        <v>292</v>
      </c>
      <c r="J718">
        <v>3164</v>
      </c>
      <c r="K718" t="s">
        <v>39</v>
      </c>
      <c r="L718" t="s">
        <v>64</v>
      </c>
      <c r="M718">
        <v>466</v>
      </c>
      <c r="N718">
        <v>176</v>
      </c>
      <c r="O718" t="s">
        <v>36</v>
      </c>
      <c r="P718" t="s">
        <v>39</v>
      </c>
      <c r="Q718">
        <v>371</v>
      </c>
      <c r="R718" t="s">
        <v>27</v>
      </c>
      <c r="S718">
        <v>15.99</v>
      </c>
    </row>
    <row r="719" spans="1:19" x14ac:dyDescent="0.3">
      <c r="A719">
        <f>'Raw Data'!D719-'Raw Data'!C719</f>
        <v>399</v>
      </c>
      <c r="B719" s="2" t="str">
        <f>_xlfn.IFS('Raw Data'!E719&gt;10,"Premium",'Raw Data'!E719&lt;10,"Basic")</f>
        <v>Premium</v>
      </c>
      <c r="C719">
        <v>15.99</v>
      </c>
      <c r="D719">
        <v>2400</v>
      </c>
      <c r="E719" t="s">
        <v>55</v>
      </c>
      <c r="F719" t="s">
        <v>36</v>
      </c>
      <c r="G719">
        <v>110</v>
      </c>
      <c r="H719" t="s">
        <v>28</v>
      </c>
      <c r="I719">
        <v>53</v>
      </c>
      <c r="J719">
        <v>2400</v>
      </c>
      <c r="K719" t="s">
        <v>44</v>
      </c>
      <c r="L719" t="s">
        <v>26</v>
      </c>
      <c r="M719">
        <v>684</v>
      </c>
      <c r="N719">
        <v>32</v>
      </c>
      <c r="O719" t="s">
        <v>36</v>
      </c>
      <c r="P719" t="s">
        <v>44</v>
      </c>
      <c r="Q719">
        <v>110</v>
      </c>
      <c r="R719" t="s">
        <v>67</v>
      </c>
      <c r="S719">
        <v>15.99</v>
      </c>
    </row>
    <row r="720" spans="1:19" x14ac:dyDescent="0.3">
      <c r="A720">
        <f>'Raw Data'!D720-'Raw Data'!C720</f>
        <v>527</v>
      </c>
      <c r="B720" s="2" t="str">
        <f>_xlfn.IFS('Raw Data'!E720&gt;10,"Premium",'Raw Data'!E720&lt;10,"Basic")</f>
        <v>Premium</v>
      </c>
      <c r="C720">
        <v>15.99</v>
      </c>
      <c r="D720">
        <v>5499</v>
      </c>
      <c r="E720" t="s">
        <v>55</v>
      </c>
      <c r="F720" t="s">
        <v>30</v>
      </c>
      <c r="G720">
        <v>274</v>
      </c>
      <c r="H720" t="s">
        <v>28</v>
      </c>
      <c r="I720">
        <v>1638</v>
      </c>
      <c r="J720">
        <v>5499</v>
      </c>
      <c r="K720" t="s">
        <v>44</v>
      </c>
      <c r="L720" t="s">
        <v>40</v>
      </c>
      <c r="M720">
        <v>155</v>
      </c>
      <c r="N720">
        <v>94</v>
      </c>
      <c r="O720" t="s">
        <v>30</v>
      </c>
      <c r="P720" t="s">
        <v>44</v>
      </c>
      <c r="Q720">
        <v>274</v>
      </c>
      <c r="R720" t="s">
        <v>34</v>
      </c>
      <c r="S720">
        <v>15.99</v>
      </c>
    </row>
    <row r="721" spans="1:19" x14ac:dyDescent="0.3">
      <c r="A721">
        <f>'Raw Data'!D721-'Raw Data'!C721</f>
        <v>255</v>
      </c>
      <c r="B721" s="2" t="str">
        <f>_xlfn.IFS('Raw Data'!E721&gt;10,"Premium",'Raw Data'!E721&lt;10,"Basic")</f>
        <v>Premium</v>
      </c>
      <c r="C721">
        <v>15.99</v>
      </c>
      <c r="D721">
        <v>7221</v>
      </c>
      <c r="E721" t="s">
        <v>43</v>
      </c>
      <c r="F721" t="s">
        <v>36</v>
      </c>
      <c r="G721">
        <v>412</v>
      </c>
      <c r="H721" t="s">
        <v>28</v>
      </c>
      <c r="I721">
        <v>3542</v>
      </c>
      <c r="J721">
        <v>7221</v>
      </c>
      <c r="K721" t="s">
        <v>59</v>
      </c>
      <c r="L721" t="s">
        <v>40</v>
      </c>
      <c r="M721">
        <v>450</v>
      </c>
      <c r="N721">
        <v>147</v>
      </c>
      <c r="O721" t="s">
        <v>36</v>
      </c>
      <c r="P721" t="s">
        <v>59</v>
      </c>
      <c r="Q721">
        <v>412</v>
      </c>
      <c r="R721" t="s">
        <v>27</v>
      </c>
      <c r="S721">
        <v>15.99</v>
      </c>
    </row>
    <row r="722" spans="1:19" x14ac:dyDescent="0.3">
      <c r="A722">
        <f>'Raw Data'!D722-'Raw Data'!C722</f>
        <v>658</v>
      </c>
      <c r="B722" s="2" t="str">
        <f>_xlfn.IFS('Raw Data'!E722&gt;10,"Premium",'Raw Data'!E722&lt;10,"Basic")</f>
        <v>Premium</v>
      </c>
      <c r="C722">
        <v>11.99</v>
      </c>
      <c r="D722">
        <v>4556</v>
      </c>
      <c r="E722" t="s">
        <v>79</v>
      </c>
      <c r="F722" t="s">
        <v>30</v>
      </c>
      <c r="G722">
        <v>341</v>
      </c>
      <c r="H722" t="s">
        <v>28</v>
      </c>
      <c r="I722">
        <v>4935</v>
      </c>
      <c r="J722">
        <v>4556</v>
      </c>
      <c r="K722" t="s">
        <v>59</v>
      </c>
      <c r="L722" t="s">
        <v>26</v>
      </c>
      <c r="M722">
        <v>744</v>
      </c>
      <c r="N722">
        <v>146</v>
      </c>
      <c r="O722" t="s">
        <v>30</v>
      </c>
      <c r="P722" t="s">
        <v>59</v>
      </c>
      <c r="Q722">
        <v>341</v>
      </c>
      <c r="R722" t="s">
        <v>56</v>
      </c>
      <c r="S722">
        <v>11.99</v>
      </c>
    </row>
    <row r="723" spans="1:19" x14ac:dyDescent="0.3">
      <c r="A723">
        <f>'Raw Data'!D723-'Raw Data'!C723</f>
        <v>32</v>
      </c>
      <c r="B723" s="2" t="str">
        <f>_xlfn.IFS('Raw Data'!E723&gt;10,"Premium",'Raw Data'!E723&lt;10,"Basic")</f>
        <v>Premium</v>
      </c>
      <c r="C723">
        <v>11.99</v>
      </c>
      <c r="D723">
        <v>7175</v>
      </c>
      <c r="E723" t="s">
        <v>79</v>
      </c>
      <c r="F723" t="s">
        <v>68</v>
      </c>
      <c r="G723">
        <v>388</v>
      </c>
      <c r="H723" t="s">
        <v>28</v>
      </c>
      <c r="I723">
        <v>1216</v>
      </c>
      <c r="J723">
        <v>7175</v>
      </c>
      <c r="K723" t="s">
        <v>39</v>
      </c>
      <c r="L723" t="s">
        <v>40</v>
      </c>
      <c r="M723">
        <v>51</v>
      </c>
      <c r="N723">
        <v>27</v>
      </c>
      <c r="O723" t="s">
        <v>68</v>
      </c>
      <c r="P723" t="s">
        <v>39</v>
      </c>
      <c r="Q723">
        <v>388</v>
      </c>
      <c r="R723" t="s">
        <v>34</v>
      </c>
      <c r="S723">
        <v>11.99</v>
      </c>
    </row>
    <row r="724" spans="1:19" x14ac:dyDescent="0.3">
      <c r="A724">
        <f>'Raw Data'!D724-'Raw Data'!C724</f>
        <v>651</v>
      </c>
      <c r="B724" s="2" t="str">
        <f>_xlfn.IFS('Raw Data'!E724&gt;10,"Premium",'Raw Data'!E724&lt;10,"Basic")</f>
        <v>Premium</v>
      </c>
      <c r="C724">
        <v>15.99</v>
      </c>
      <c r="D724">
        <v>7072</v>
      </c>
      <c r="E724" t="s">
        <v>43</v>
      </c>
      <c r="F724" t="s">
        <v>36</v>
      </c>
      <c r="G724">
        <v>446</v>
      </c>
      <c r="H724" t="s">
        <v>28</v>
      </c>
      <c r="I724">
        <v>4409</v>
      </c>
      <c r="J724">
        <v>7072</v>
      </c>
      <c r="K724" t="s">
        <v>63</v>
      </c>
      <c r="L724" t="s">
        <v>26</v>
      </c>
      <c r="M724">
        <v>897</v>
      </c>
      <c r="N724">
        <v>19</v>
      </c>
      <c r="O724" t="s">
        <v>36</v>
      </c>
      <c r="P724" t="s">
        <v>63</v>
      </c>
      <c r="Q724">
        <v>446</v>
      </c>
      <c r="R724" t="s">
        <v>56</v>
      </c>
      <c r="S724">
        <v>15.99</v>
      </c>
    </row>
    <row r="725" spans="1:19" x14ac:dyDescent="0.3">
      <c r="A725">
        <f>'Raw Data'!D725-'Raw Data'!C725</f>
        <v>351</v>
      </c>
      <c r="B725" s="2" t="str">
        <f>_xlfn.IFS('Raw Data'!E725&gt;10,"Premium",'Raw Data'!E725&lt;10,"Basic")</f>
        <v>Premium</v>
      </c>
      <c r="C725">
        <v>15.99</v>
      </c>
      <c r="D725">
        <v>4320</v>
      </c>
      <c r="E725" t="s">
        <v>24</v>
      </c>
      <c r="F725" t="s">
        <v>60</v>
      </c>
      <c r="G725">
        <v>223</v>
      </c>
      <c r="H725" t="s">
        <v>28</v>
      </c>
      <c r="I725">
        <v>2853</v>
      </c>
      <c r="J725">
        <v>4320</v>
      </c>
      <c r="K725" t="s">
        <v>39</v>
      </c>
      <c r="L725" t="s">
        <v>26</v>
      </c>
      <c r="M725">
        <v>499</v>
      </c>
      <c r="N725">
        <v>124</v>
      </c>
      <c r="O725" t="s">
        <v>60</v>
      </c>
      <c r="P725" t="s">
        <v>39</v>
      </c>
      <c r="Q725">
        <v>223</v>
      </c>
      <c r="R725" t="s">
        <v>34</v>
      </c>
      <c r="S725">
        <v>15.99</v>
      </c>
    </row>
    <row r="726" spans="1:19" x14ac:dyDescent="0.3">
      <c r="A726">
        <f>'Raw Data'!D726-'Raw Data'!C726</f>
        <v>350</v>
      </c>
      <c r="B726" s="2" t="str">
        <f>_xlfn.IFS('Raw Data'!E726&gt;10,"Premium",'Raw Data'!E726&lt;10,"Basic")</f>
        <v>Premium</v>
      </c>
      <c r="C726">
        <v>15.99</v>
      </c>
      <c r="D726">
        <v>3558</v>
      </c>
      <c r="E726" t="s">
        <v>43</v>
      </c>
      <c r="F726" t="s">
        <v>30</v>
      </c>
      <c r="G726">
        <v>417</v>
      </c>
      <c r="H726" t="s">
        <v>28</v>
      </c>
      <c r="I726">
        <v>1252</v>
      </c>
      <c r="J726">
        <v>3558</v>
      </c>
      <c r="K726" t="s">
        <v>39</v>
      </c>
      <c r="L726" t="s">
        <v>49</v>
      </c>
      <c r="M726">
        <v>179</v>
      </c>
      <c r="N726">
        <v>29</v>
      </c>
      <c r="O726" t="s">
        <v>30</v>
      </c>
      <c r="P726" t="s">
        <v>39</v>
      </c>
      <c r="Q726">
        <v>417</v>
      </c>
      <c r="R726" t="s">
        <v>41</v>
      </c>
      <c r="S726">
        <v>15.99</v>
      </c>
    </row>
    <row r="727" spans="1:19" x14ac:dyDescent="0.3">
      <c r="A727">
        <f>'Raw Data'!D727-'Raw Data'!C727</f>
        <v>340</v>
      </c>
      <c r="B727" s="2" t="str">
        <f>_xlfn.IFS('Raw Data'!E727&gt;10,"Premium",'Raw Data'!E727&lt;10,"Basic")</f>
        <v>Premium</v>
      </c>
      <c r="C727">
        <v>11.99</v>
      </c>
      <c r="D727">
        <v>8581</v>
      </c>
      <c r="E727" t="s">
        <v>79</v>
      </c>
      <c r="F727" t="s">
        <v>68</v>
      </c>
      <c r="G727">
        <v>390</v>
      </c>
      <c r="H727" t="s">
        <v>28</v>
      </c>
      <c r="I727">
        <v>3027</v>
      </c>
      <c r="J727">
        <v>8581</v>
      </c>
      <c r="K727" t="s">
        <v>25</v>
      </c>
      <c r="L727" t="s">
        <v>26</v>
      </c>
      <c r="M727">
        <v>889</v>
      </c>
      <c r="N727">
        <v>145</v>
      </c>
      <c r="O727" t="s">
        <v>68</v>
      </c>
      <c r="P727" t="s">
        <v>25</v>
      </c>
      <c r="Q727">
        <v>390</v>
      </c>
      <c r="R727" t="s">
        <v>27</v>
      </c>
      <c r="S727">
        <v>11.99</v>
      </c>
    </row>
    <row r="728" spans="1:19" x14ac:dyDescent="0.3">
      <c r="A728">
        <f>'Raw Data'!D728-'Raw Data'!C728</f>
        <v>621</v>
      </c>
      <c r="B728" s="2" t="str">
        <f>_xlfn.IFS('Raw Data'!E728&gt;10,"Premium",'Raw Data'!E728&lt;10,"Basic")</f>
        <v>Premium</v>
      </c>
      <c r="C728">
        <v>15.99</v>
      </c>
      <c r="D728">
        <v>5827</v>
      </c>
      <c r="E728" t="s">
        <v>62</v>
      </c>
      <c r="F728" t="s">
        <v>60</v>
      </c>
      <c r="G728">
        <v>33</v>
      </c>
      <c r="H728" t="s">
        <v>28</v>
      </c>
      <c r="I728">
        <v>1228</v>
      </c>
      <c r="J728">
        <v>5827</v>
      </c>
      <c r="K728" t="s">
        <v>44</v>
      </c>
      <c r="L728" t="s">
        <v>49</v>
      </c>
      <c r="M728">
        <v>191</v>
      </c>
      <c r="N728">
        <v>25</v>
      </c>
      <c r="O728" t="s">
        <v>60</v>
      </c>
      <c r="P728" t="s">
        <v>44</v>
      </c>
      <c r="Q728">
        <v>33</v>
      </c>
      <c r="R728" t="s">
        <v>34</v>
      </c>
      <c r="S728">
        <v>15.99</v>
      </c>
    </row>
    <row r="729" spans="1:19" x14ac:dyDescent="0.3">
      <c r="A729">
        <f>'Raw Data'!D729-'Raw Data'!C729</f>
        <v>37</v>
      </c>
      <c r="B729" s="2" t="str">
        <f>_xlfn.IFS('Raw Data'!E729&gt;10,"Premium",'Raw Data'!E729&lt;10,"Basic")</f>
        <v>Premium</v>
      </c>
      <c r="C729">
        <v>11.99</v>
      </c>
      <c r="D729">
        <v>6929</v>
      </c>
      <c r="E729" t="s">
        <v>24</v>
      </c>
      <c r="F729" t="s">
        <v>52</v>
      </c>
      <c r="G729">
        <v>302</v>
      </c>
      <c r="H729" t="s">
        <v>28</v>
      </c>
      <c r="I729">
        <v>3616</v>
      </c>
      <c r="J729">
        <v>6929</v>
      </c>
      <c r="K729" t="s">
        <v>48</v>
      </c>
      <c r="L729" t="s">
        <v>49</v>
      </c>
      <c r="M729">
        <v>42</v>
      </c>
      <c r="N729">
        <v>196</v>
      </c>
      <c r="O729" t="s">
        <v>52</v>
      </c>
      <c r="P729" t="s">
        <v>48</v>
      </c>
      <c r="Q729">
        <v>302</v>
      </c>
      <c r="R729" t="s">
        <v>27</v>
      </c>
      <c r="S729">
        <v>11.99</v>
      </c>
    </row>
    <row r="730" spans="1:19" x14ac:dyDescent="0.3">
      <c r="A730">
        <f>'Raw Data'!D730-'Raw Data'!C730</f>
        <v>-14</v>
      </c>
      <c r="B730" s="2" t="str">
        <f>_xlfn.IFS('Raw Data'!E730&gt;10,"Premium",'Raw Data'!E730&lt;10,"Basic")</f>
        <v>Premium</v>
      </c>
      <c r="C730">
        <v>15.99</v>
      </c>
      <c r="D730">
        <v>9179</v>
      </c>
      <c r="E730" t="s">
        <v>55</v>
      </c>
      <c r="F730" t="s">
        <v>30</v>
      </c>
      <c r="G730">
        <v>121</v>
      </c>
      <c r="H730" t="s">
        <v>28</v>
      </c>
      <c r="I730">
        <v>3913</v>
      </c>
      <c r="J730">
        <v>9179</v>
      </c>
      <c r="K730" t="s">
        <v>59</v>
      </c>
      <c r="L730" t="s">
        <v>26</v>
      </c>
      <c r="M730">
        <v>53</v>
      </c>
      <c r="N730">
        <v>77</v>
      </c>
      <c r="O730" t="s">
        <v>30</v>
      </c>
      <c r="P730" t="s">
        <v>59</v>
      </c>
      <c r="Q730">
        <v>121</v>
      </c>
      <c r="R730" t="s">
        <v>27</v>
      </c>
      <c r="S730">
        <v>15.99</v>
      </c>
    </row>
    <row r="731" spans="1:19" x14ac:dyDescent="0.3">
      <c r="A731">
        <f>'Raw Data'!D731-'Raw Data'!C731</f>
        <v>652</v>
      </c>
      <c r="B731" s="2" t="str">
        <f>_xlfn.IFS('Raw Data'!E731&gt;10,"Premium",'Raw Data'!E731&lt;10,"Basic")</f>
        <v>Basic</v>
      </c>
      <c r="C731">
        <v>7.99</v>
      </c>
      <c r="D731">
        <v>7580</v>
      </c>
      <c r="E731" t="s">
        <v>55</v>
      </c>
      <c r="F731" t="s">
        <v>52</v>
      </c>
      <c r="G731">
        <v>112</v>
      </c>
      <c r="H731" t="s">
        <v>28</v>
      </c>
      <c r="I731">
        <v>775</v>
      </c>
      <c r="J731">
        <v>7580</v>
      </c>
      <c r="K731" t="s">
        <v>44</v>
      </c>
      <c r="L731" t="s">
        <v>64</v>
      </c>
      <c r="M731">
        <v>535</v>
      </c>
      <c r="N731">
        <v>43</v>
      </c>
      <c r="O731" t="s">
        <v>52</v>
      </c>
      <c r="P731" t="s">
        <v>44</v>
      </c>
      <c r="Q731">
        <v>112</v>
      </c>
      <c r="R731" t="s">
        <v>56</v>
      </c>
      <c r="S731">
        <v>7.99</v>
      </c>
    </row>
    <row r="732" spans="1:19" x14ac:dyDescent="0.3">
      <c r="A732">
        <f>'Raw Data'!D732-'Raw Data'!C732</f>
        <v>524</v>
      </c>
      <c r="B732" s="2" t="str">
        <f>_xlfn.IFS('Raw Data'!E732&gt;10,"Premium",'Raw Data'!E732&lt;10,"Basic")</f>
        <v>Premium</v>
      </c>
      <c r="C732">
        <v>15.99</v>
      </c>
      <c r="D732">
        <v>3858</v>
      </c>
      <c r="E732" t="s">
        <v>79</v>
      </c>
      <c r="F732" t="s">
        <v>68</v>
      </c>
      <c r="G732">
        <v>375</v>
      </c>
      <c r="H732" t="s">
        <v>28</v>
      </c>
      <c r="I732">
        <v>2536</v>
      </c>
      <c r="J732">
        <v>3858</v>
      </c>
      <c r="K732" t="s">
        <v>74</v>
      </c>
      <c r="L732" t="s">
        <v>26</v>
      </c>
      <c r="M732">
        <v>416</v>
      </c>
      <c r="N732">
        <v>79</v>
      </c>
      <c r="O732" t="s">
        <v>68</v>
      </c>
      <c r="P732" t="s">
        <v>74</v>
      </c>
      <c r="Q732">
        <v>375</v>
      </c>
      <c r="R732" t="s">
        <v>27</v>
      </c>
      <c r="S732">
        <v>15.99</v>
      </c>
    </row>
    <row r="733" spans="1:19" x14ac:dyDescent="0.3">
      <c r="A733">
        <f>'Raw Data'!D733-'Raw Data'!C733</f>
        <v>75</v>
      </c>
      <c r="B733" s="2" t="str">
        <f>_xlfn.IFS('Raw Data'!E733&gt;10,"Premium",'Raw Data'!E733&lt;10,"Basic")</f>
        <v>Premium</v>
      </c>
      <c r="C733">
        <v>11.99</v>
      </c>
      <c r="D733">
        <v>8627</v>
      </c>
      <c r="E733" t="s">
        <v>62</v>
      </c>
      <c r="F733" t="s">
        <v>36</v>
      </c>
      <c r="G733">
        <v>97</v>
      </c>
      <c r="H733" t="s">
        <v>28</v>
      </c>
      <c r="I733">
        <v>2331</v>
      </c>
      <c r="J733">
        <v>8627</v>
      </c>
      <c r="K733" t="s">
        <v>74</v>
      </c>
      <c r="L733" t="s">
        <v>26</v>
      </c>
      <c r="M733">
        <v>287</v>
      </c>
      <c r="N733">
        <v>39</v>
      </c>
      <c r="O733" t="s">
        <v>36</v>
      </c>
      <c r="P733" t="s">
        <v>74</v>
      </c>
      <c r="Q733">
        <v>97</v>
      </c>
      <c r="R733" t="s">
        <v>56</v>
      </c>
      <c r="S733">
        <v>11.99</v>
      </c>
    </row>
    <row r="734" spans="1:19" x14ac:dyDescent="0.3">
      <c r="A734">
        <f>'Raw Data'!D734-'Raw Data'!C734</f>
        <v>179</v>
      </c>
      <c r="B734" s="2" t="str">
        <f>_xlfn.IFS('Raw Data'!E734&gt;10,"Premium",'Raw Data'!E734&lt;10,"Basic")</f>
        <v>Premium</v>
      </c>
      <c r="C734">
        <v>15.99</v>
      </c>
      <c r="D734">
        <v>7552</v>
      </c>
      <c r="E734" t="s">
        <v>46</v>
      </c>
      <c r="F734" t="s">
        <v>68</v>
      </c>
      <c r="G734">
        <v>306</v>
      </c>
      <c r="H734" t="s">
        <v>28</v>
      </c>
      <c r="I734">
        <v>2953</v>
      </c>
      <c r="J734">
        <v>7552</v>
      </c>
      <c r="K734" t="s">
        <v>63</v>
      </c>
      <c r="L734" t="s">
        <v>64</v>
      </c>
      <c r="M734">
        <v>651</v>
      </c>
      <c r="N734">
        <v>60</v>
      </c>
      <c r="O734" t="s">
        <v>68</v>
      </c>
      <c r="P734" t="s">
        <v>63</v>
      </c>
      <c r="Q734">
        <v>306</v>
      </c>
      <c r="R734" t="s">
        <v>41</v>
      </c>
      <c r="S734">
        <v>15.99</v>
      </c>
    </row>
    <row r="735" spans="1:19" x14ac:dyDescent="0.3">
      <c r="A735">
        <f>'Raw Data'!D735-'Raw Data'!C735</f>
        <v>119</v>
      </c>
      <c r="B735" s="2" t="str">
        <f>_xlfn.IFS('Raw Data'!E735&gt;10,"Premium",'Raw Data'!E735&lt;10,"Basic")</f>
        <v>Premium</v>
      </c>
      <c r="C735">
        <v>11.99</v>
      </c>
      <c r="D735">
        <v>6020</v>
      </c>
      <c r="E735" t="s">
        <v>55</v>
      </c>
      <c r="F735" t="s">
        <v>60</v>
      </c>
      <c r="G735">
        <v>136</v>
      </c>
      <c r="H735" t="s">
        <v>28</v>
      </c>
      <c r="I735">
        <v>868</v>
      </c>
      <c r="J735">
        <v>6020</v>
      </c>
      <c r="K735" t="s">
        <v>74</v>
      </c>
      <c r="L735" t="s">
        <v>49</v>
      </c>
      <c r="M735">
        <v>821</v>
      </c>
      <c r="N735">
        <v>174</v>
      </c>
      <c r="O735" t="s">
        <v>60</v>
      </c>
      <c r="P735" t="s">
        <v>74</v>
      </c>
      <c r="Q735">
        <v>136</v>
      </c>
      <c r="R735" t="s">
        <v>34</v>
      </c>
      <c r="S735">
        <v>11.99</v>
      </c>
    </row>
    <row r="736" spans="1:19" x14ac:dyDescent="0.3">
      <c r="A736">
        <f>'Raw Data'!D736-'Raw Data'!C736</f>
        <v>564</v>
      </c>
      <c r="B736" s="2" t="str">
        <f>_xlfn.IFS('Raw Data'!E736&gt;10,"Premium",'Raw Data'!E736&lt;10,"Basic")</f>
        <v>Basic</v>
      </c>
      <c r="C736">
        <v>7.99</v>
      </c>
      <c r="D736">
        <v>9408</v>
      </c>
      <c r="E736" t="s">
        <v>62</v>
      </c>
      <c r="F736" t="s">
        <v>60</v>
      </c>
      <c r="G736">
        <v>12</v>
      </c>
      <c r="H736" t="s">
        <v>28</v>
      </c>
      <c r="I736">
        <v>4808</v>
      </c>
      <c r="J736">
        <v>9408</v>
      </c>
      <c r="K736" t="s">
        <v>59</v>
      </c>
      <c r="L736" t="s">
        <v>64</v>
      </c>
      <c r="M736">
        <v>396</v>
      </c>
      <c r="N736">
        <v>22</v>
      </c>
      <c r="O736" t="s">
        <v>60</v>
      </c>
      <c r="P736" t="s">
        <v>59</v>
      </c>
      <c r="Q736">
        <v>12</v>
      </c>
      <c r="R736" t="s">
        <v>27</v>
      </c>
      <c r="S736">
        <v>7.99</v>
      </c>
    </row>
    <row r="737" spans="1:19" x14ac:dyDescent="0.3">
      <c r="A737">
        <f>'Raw Data'!D737-'Raw Data'!C737</f>
        <v>315</v>
      </c>
      <c r="B737" s="2" t="str">
        <f>_xlfn.IFS('Raw Data'!E737&gt;10,"Premium",'Raw Data'!E737&lt;10,"Basic")</f>
        <v>Premium</v>
      </c>
      <c r="C737">
        <v>15.99</v>
      </c>
      <c r="D737">
        <v>9990</v>
      </c>
      <c r="E737" t="s">
        <v>46</v>
      </c>
      <c r="F737" t="s">
        <v>52</v>
      </c>
      <c r="G737">
        <v>379</v>
      </c>
      <c r="H737" t="s">
        <v>28</v>
      </c>
      <c r="I737">
        <v>4177</v>
      </c>
      <c r="J737">
        <v>9990</v>
      </c>
      <c r="K737" t="s">
        <v>63</v>
      </c>
      <c r="L737" t="s">
        <v>26</v>
      </c>
      <c r="M737">
        <v>726</v>
      </c>
      <c r="N737">
        <v>103</v>
      </c>
      <c r="O737" t="s">
        <v>52</v>
      </c>
      <c r="P737" t="s">
        <v>63</v>
      </c>
      <c r="Q737">
        <v>379</v>
      </c>
      <c r="R737" t="s">
        <v>41</v>
      </c>
      <c r="S737">
        <v>15.99</v>
      </c>
    </row>
    <row r="738" spans="1:19" x14ac:dyDescent="0.3">
      <c r="A738">
        <f>'Raw Data'!D738-'Raw Data'!C738</f>
        <v>410</v>
      </c>
      <c r="B738" s="2" t="str">
        <f>_xlfn.IFS('Raw Data'!E738&gt;10,"Premium",'Raw Data'!E738&lt;10,"Basic")</f>
        <v>Premium</v>
      </c>
      <c r="C738">
        <v>15.99</v>
      </c>
      <c r="D738">
        <v>3687</v>
      </c>
      <c r="E738" t="s">
        <v>55</v>
      </c>
      <c r="F738" t="s">
        <v>60</v>
      </c>
      <c r="G738">
        <v>205</v>
      </c>
      <c r="H738" t="s">
        <v>28</v>
      </c>
      <c r="I738">
        <v>564</v>
      </c>
      <c r="J738">
        <v>3687</v>
      </c>
      <c r="K738" t="s">
        <v>74</v>
      </c>
      <c r="L738" t="s">
        <v>40</v>
      </c>
      <c r="M738">
        <v>420</v>
      </c>
      <c r="N738">
        <v>24</v>
      </c>
      <c r="O738" t="s">
        <v>60</v>
      </c>
      <c r="P738" t="s">
        <v>74</v>
      </c>
      <c r="Q738">
        <v>205</v>
      </c>
      <c r="R738" t="s">
        <v>50</v>
      </c>
      <c r="S738">
        <v>15.99</v>
      </c>
    </row>
    <row r="739" spans="1:19" x14ac:dyDescent="0.3">
      <c r="A739">
        <f>'Raw Data'!D739-'Raw Data'!C739</f>
        <v>445</v>
      </c>
      <c r="B739" s="2" t="str">
        <f>_xlfn.IFS('Raw Data'!E739&gt;10,"Premium",'Raw Data'!E739&lt;10,"Basic")</f>
        <v>Premium</v>
      </c>
      <c r="C739">
        <v>15.99</v>
      </c>
      <c r="D739">
        <v>4540</v>
      </c>
      <c r="E739" t="s">
        <v>24</v>
      </c>
      <c r="F739" t="s">
        <v>52</v>
      </c>
      <c r="G739">
        <v>335</v>
      </c>
      <c r="H739" t="s">
        <v>28</v>
      </c>
      <c r="I739">
        <v>1702</v>
      </c>
      <c r="J739">
        <v>4540</v>
      </c>
      <c r="K739" t="s">
        <v>44</v>
      </c>
      <c r="L739" t="s">
        <v>26</v>
      </c>
      <c r="M739">
        <v>75</v>
      </c>
      <c r="N739">
        <v>177</v>
      </c>
      <c r="O739" t="s">
        <v>52</v>
      </c>
      <c r="P739" t="s">
        <v>44</v>
      </c>
      <c r="Q739">
        <v>335</v>
      </c>
      <c r="R739" t="s">
        <v>27</v>
      </c>
      <c r="S739">
        <v>15.99</v>
      </c>
    </row>
    <row r="740" spans="1:19" x14ac:dyDescent="0.3">
      <c r="A740">
        <f>'Raw Data'!D740-'Raw Data'!C740</f>
        <v>181</v>
      </c>
      <c r="B740" s="2" t="str">
        <f>_xlfn.IFS('Raw Data'!E740&gt;10,"Premium",'Raw Data'!E740&lt;10,"Basic")</f>
        <v>Premium</v>
      </c>
      <c r="C740">
        <v>15.99</v>
      </c>
      <c r="D740">
        <v>8264</v>
      </c>
      <c r="E740" t="s">
        <v>55</v>
      </c>
      <c r="F740" t="s">
        <v>36</v>
      </c>
      <c r="G740">
        <v>449</v>
      </c>
      <c r="H740" t="s">
        <v>28</v>
      </c>
      <c r="I740">
        <v>249</v>
      </c>
      <c r="J740">
        <v>8264</v>
      </c>
      <c r="K740" t="s">
        <v>63</v>
      </c>
      <c r="L740" t="s">
        <v>40</v>
      </c>
      <c r="M740">
        <v>683</v>
      </c>
      <c r="N740">
        <v>85</v>
      </c>
      <c r="O740" t="s">
        <v>36</v>
      </c>
      <c r="P740" t="s">
        <v>63</v>
      </c>
      <c r="Q740">
        <v>449</v>
      </c>
      <c r="R740" t="s">
        <v>41</v>
      </c>
      <c r="S740">
        <v>15.99</v>
      </c>
    </row>
    <row r="741" spans="1:19" x14ac:dyDescent="0.3">
      <c r="A741">
        <f>'Raw Data'!D741-'Raw Data'!C741</f>
        <v>607</v>
      </c>
      <c r="B741" s="2" t="str">
        <f>_xlfn.IFS('Raw Data'!E741&gt;10,"Premium",'Raw Data'!E741&lt;10,"Basic")</f>
        <v>Basic</v>
      </c>
      <c r="C741">
        <v>7.99</v>
      </c>
      <c r="D741">
        <v>7448</v>
      </c>
      <c r="E741" t="s">
        <v>46</v>
      </c>
      <c r="F741" t="s">
        <v>52</v>
      </c>
      <c r="G741">
        <v>453</v>
      </c>
      <c r="H741" t="s">
        <v>28</v>
      </c>
      <c r="I741">
        <v>30</v>
      </c>
      <c r="J741">
        <v>7448</v>
      </c>
      <c r="K741" t="s">
        <v>48</v>
      </c>
      <c r="L741" t="s">
        <v>64</v>
      </c>
      <c r="M741">
        <v>487</v>
      </c>
      <c r="N741">
        <v>128</v>
      </c>
      <c r="O741" t="s">
        <v>52</v>
      </c>
      <c r="P741" t="s">
        <v>48</v>
      </c>
      <c r="Q741">
        <v>453</v>
      </c>
      <c r="R741" t="s">
        <v>41</v>
      </c>
      <c r="S741">
        <v>7.99</v>
      </c>
    </row>
    <row r="742" spans="1:19" x14ac:dyDescent="0.3">
      <c r="A742">
        <f>'Raw Data'!D742-'Raw Data'!C742</f>
        <v>27</v>
      </c>
      <c r="B742" s="2" t="str">
        <f>_xlfn.IFS('Raw Data'!E742&gt;10,"Premium",'Raw Data'!E742&lt;10,"Basic")</f>
        <v>Basic</v>
      </c>
      <c r="C742">
        <v>7.99</v>
      </c>
      <c r="D742">
        <v>1123</v>
      </c>
      <c r="E742" t="s">
        <v>24</v>
      </c>
      <c r="F742" t="s">
        <v>52</v>
      </c>
      <c r="G742">
        <v>252</v>
      </c>
      <c r="H742" t="s">
        <v>28</v>
      </c>
      <c r="I742">
        <v>3842</v>
      </c>
      <c r="J742">
        <v>1123</v>
      </c>
      <c r="K742" t="s">
        <v>48</v>
      </c>
      <c r="L742" t="s">
        <v>40</v>
      </c>
      <c r="M742">
        <v>968</v>
      </c>
      <c r="N742">
        <v>197</v>
      </c>
      <c r="O742" t="s">
        <v>52</v>
      </c>
      <c r="P742" t="s">
        <v>48</v>
      </c>
      <c r="Q742">
        <v>252</v>
      </c>
      <c r="R742" t="s">
        <v>27</v>
      </c>
      <c r="S742">
        <v>7.99</v>
      </c>
    </row>
    <row r="743" spans="1:19" x14ac:dyDescent="0.3">
      <c r="A743">
        <f>'Raw Data'!D743-'Raw Data'!C743</f>
        <v>26</v>
      </c>
      <c r="B743" s="2" t="str">
        <f>_xlfn.IFS('Raw Data'!E743&gt;10,"Premium",'Raw Data'!E743&lt;10,"Basic")</f>
        <v>Premium</v>
      </c>
      <c r="C743">
        <v>11.99</v>
      </c>
      <c r="D743">
        <v>4103</v>
      </c>
      <c r="E743" t="s">
        <v>55</v>
      </c>
      <c r="F743" t="s">
        <v>36</v>
      </c>
      <c r="G743">
        <v>379</v>
      </c>
      <c r="H743" t="s">
        <v>28</v>
      </c>
      <c r="I743">
        <v>1299</v>
      </c>
      <c r="J743">
        <v>4103</v>
      </c>
      <c r="K743" t="s">
        <v>25</v>
      </c>
      <c r="L743" t="s">
        <v>49</v>
      </c>
      <c r="M743">
        <v>632</v>
      </c>
      <c r="N743">
        <v>82</v>
      </c>
      <c r="O743" t="s">
        <v>36</v>
      </c>
      <c r="P743" t="s">
        <v>25</v>
      </c>
      <c r="Q743">
        <v>379</v>
      </c>
      <c r="R743" t="s">
        <v>50</v>
      </c>
      <c r="S743">
        <v>11.99</v>
      </c>
    </row>
    <row r="744" spans="1:19" x14ac:dyDescent="0.3">
      <c r="A744">
        <f>'Raw Data'!D744-'Raw Data'!C744</f>
        <v>288</v>
      </c>
      <c r="B744" s="2" t="str">
        <f>_xlfn.IFS('Raw Data'!E744&gt;10,"Premium",'Raw Data'!E744&lt;10,"Basic")</f>
        <v>Basic</v>
      </c>
      <c r="C744">
        <v>7.99</v>
      </c>
      <c r="D744">
        <v>2904</v>
      </c>
      <c r="E744" t="s">
        <v>79</v>
      </c>
      <c r="F744" t="s">
        <v>68</v>
      </c>
      <c r="G744">
        <v>280</v>
      </c>
      <c r="H744" t="s">
        <v>28</v>
      </c>
      <c r="I744">
        <v>2346</v>
      </c>
      <c r="J744">
        <v>2904</v>
      </c>
      <c r="K744" t="s">
        <v>63</v>
      </c>
      <c r="L744" t="s">
        <v>64</v>
      </c>
      <c r="M744">
        <v>188</v>
      </c>
      <c r="N744">
        <v>103</v>
      </c>
      <c r="O744" t="s">
        <v>68</v>
      </c>
      <c r="P744" t="s">
        <v>63</v>
      </c>
      <c r="Q744">
        <v>280</v>
      </c>
      <c r="R744" t="s">
        <v>56</v>
      </c>
      <c r="S744">
        <v>7.99</v>
      </c>
    </row>
    <row r="745" spans="1:19" x14ac:dyDescent="0.3">
      <c r="A745">
        <f>'Raw Data'!D745-'Raw Data'!C745</f>
        <v>232</v>
      </c>
      <c r="B745" s="2" t="str">
        <f>_xlfn.IFS('Raw Data'!E745&gt;10,"Premium",'Raw Data'!E745&lt;10,"Basic")</f>
        <v>Basic</v>
      </c>
      <c r="C745">
        <v>7.99</v>
      </c>
      <c r="D745">
        <v>5634</v>
      </c>
      <c r="E745" t="s">
        <v>55</v>
      </c>
      <c r="F745" t="s">
        <v>68</v>
      </c>
      <c r="G745">
        <v>187</v>
      </c>
      <c r="H745" t="s">
        <v>28</v>
      </c>
      <c r="I745">
        <v>215</v>
      </c>
      <c r="J745">
        <v>5634</v>
      </c>
      <c r="K745" t="s">
        <v>59</v>
      </c>
      <c r="L745" t="s">
        <v>26</v>
      </c>
      <c r="M745">
        <v>987</v>
      </c>
      <c r="N745">
        <v>166</v>
      </c>
      <c r="O745" t="s">
        <v>68</v>
      </c>
      <c r="P745" t="s">
        <v>59</v>
      </c>
      <c r="Q745">
        <v>187</v>
      </c>
      <c r="R745" t="s">
        <v>50</v>
      </c>
      <c r="S745">
        <v>7.99</v>
      </c>
    </row>
    <row r="746" spans="1:19" x14ac:dyDescent="0.3">
      <c r="A746">
        <f>'Raw Data'!D746-'Raw Data'!C746</f>
        <v>436</v>
      </c>
      <c r="B746" s="2" t="str">
        <f>_xlfn.IFS('Raw Data'!E746&gt;10,"Premium",'Raw Data'!E746&lt;10,"Basic")</f>
        <v>Basic</v>
      </c>
      <c r="C746">
        <v>7.99</v>
      </c>
      <c r="D746">
        <v>5360</v>
      </c>
      <c r="E746" t="s">
        <v>24</v>
      </c>
      <c r="F746" t="s">
        <v>30</v>
      </c>
      <c r="G746">
        <v>373</v>
      </c>
      <c r="H746" t="s">
        <v>28</v>
      </c>
      <c r="I746">
        <v>3062</v>
      </c>
      <c r="J746">
        <v>5360</v>
      </c>
      <c r="K746" t="s">
        <v>44</v>
      </c>
      <c r="L746" t="s">
        <v>26</v>
      </c>
      <c r="M746">
        <v>925</v>
      </c>
      <c r="N746">
        <v>12</v>
      </c>
      <c r="O746" t="s">
        <v>30</v>
      </c>
      <c r="P746" t="s">
        <v>44</v>
      </c>
      <c r="Q746">
        <v>373</v>
      </c>
      <c r="R746" t="s">
        <v>27</v>
      </c>
      <c r="S746">
        <v>7.99</v>
      </c>
    </row>
    <row r="747" spans="1:19" x14ac:dyDescent="0.3">
      <c r="A747">
        <f>'Raw Data'!D747-'Raw Data'!C747</f>
        <v>567</v>
      </c>
      <c r="B747" s="2" t="str">
        <f>_xlfn.IFS('Raw Data'!E747&gt;10,"Premium",'Raw Data'!E747&lt;10,"Basic")</f>
        <v>Premium</v>
      </c>
      <c r="C747">
        <v>15.99</v>
      </c>
      <c r="D747">
        <v>8571</v>
      </c>
      <c r="E747" t="s">
        <v>24</v>
      </c>
      <c r="F747" t="s">
        <v>60</v>
      </c>
      <c r="G747">
        <v>482</v>
      </c>
      <c r="H747" t="s">
        <v>28</v>
      </c>
      <c r="I747">
        <v>2978</v>
      </c>
      <c r="J747">
        <v>8571</v>
      </c>
      <c r="K747" t="s">
        <v>39</v>
      </c>
      <c r="L747" t="s">
        <v>40</v>
      </c>
      <c r="M747">
        <v>838</v>
      </c>
      <c r="N747">
        <v>159</v>
      </c>
      <c r="O747" t="s">
        <v>60</v>
      </c>
      <c r="P747" t="s">
        <v>39</v>
      </c>
      <c r="Q747">
        <v>482</v>
      </c>
      <c r="R747" t="s">
        <v>67</v>
      </c>
      <c r="S747">
        <v>15.99</v>
      </c>
    </row>
    <row r="748" spans="1:19" x14ac:dyDescent="0.3">
      <c r="A748">
        <f>'Raw Data'!D748-'Raw Data'!C748</f>
        <v>392</v>
      </c>
      <c r="B748" s="2" t="str">
        <f>_xlfn.IFS('Raw Data'!E748&gt;10,"Premium",'Raw Data'!E748&lt;10,"Basic")</f>
        <v>Premium</v>
      </c>
      <c r="C748">
        <v>11.99</v>
      </c>
      <c r="D748">
        <v>9439</v>
      </c>
      <c r="E748" t="s">
        <v>43</v>
      </c>
      <c r="F748" t="s">
        <v>36</v>
      </c>
      <c r="G748">
        <v>360</v>
      </c>
      <c r="H748" t="s">
        <v>28</v>
      </c>
      <c r="I748">
        <v>1984</v>
      </c>
      <c r="J748">
        <v>9439</v>
      </c>
      <c r="K748" t="s">
        <v>39</v>
      </c>
      <c r="L748" t="s">
        <v>49</v>
      </c>
      <c r="M748">
        <v>295</v>
      </c>
      <c r="N748">
        <v>55</v>
      </c>
      <c r="O748" t="s">
        <v>36</v>
      </c>
      <c r="P748" t="s">
        <v>39</v>
      </c>
      <c r="Q748">
        <v>360</v>
      </c>
      <c r="R748" t="s">
        <v>41</v>
      </c>
      <c r="S748">
        <v>11.99</v>
      </c>
    </row>
    <row r="749" spans="1:19" x14ac:dyDescent="0.3">
      <c r="A749">
        <f>'Raw Data'!D749-'Raw Data'!C749</f>
        <v>698</v>
      </c>
      <c r="B749" s="2" t="str">
        <f>_xlfn.IFS('Raw Data'!E749&gt;10,"Premium",'Raw Data'!E749&lt;10,"Basic")</f>
        <v>Premium</v>
      </c>
      <c r="C749">
        <v>15.99</v>
      </c>
      <c r="D749">
        <v>8356</v>
      </c>
      <c r="E749" t="s">
        <v>62</v>
      </c>
      <c r="F749" t="s">
        <v>68</v>
      </c>
      <c r="G749">
        <v>463</v>
      </c>
      <c r="H749" t="s">
        <v>28</v>
      </c>
      <c r="I749">
        <v>945</v>
      </c>
      <c r="J749">
        <v>8356</v>
      </c>
      <c r="K749" t="s">
        <v>44</v>
      </c>
      <c r="L749" t="s">
        <v>64</v>
      </c>
      <c r="M749">
        <v>844</v>
      </c>
      <c r="N749">
        <v>98</v>
      </c>
      <c r="O749" t="s">
        <v>68</v>
      </c>
      <c r="P749" t="s">
        <v>44</v>
      </c>
      <c r="Q749">
        <v>463</v>
      </c>
      <c r="R749" t="s">
        <v>56</v>
      </c>
      <c r="S749">
        <v>15.99</v>
      </c>
    </row>
    <row r="750" spans="1:19" x14ac:dyDescent="0.3">
      <c r="A750">
        <f>'Raw Data'!D750-'Raw Data'!C750</f>
        <v>700</v>
      </c>
      <c r="B750" s="2" t="str">
        <f>_xlfn.IFS('Raw Data'!E750&gt;10,"Premium",'Raw Data'!E750&lt;10,"Basic")</f>
        <v>Premium</v>
      </c>
      <c r="C750">
        <v>15.99</v>
      </c>
      <c r="D750">
        <v>2039</v>
      </c>
      <c r="E750" t="s">
        <v>79</v>
      </c>
      <c r="F750" t="s">
        <v>36</v>
      </c>
      <c r="G750">
        <v>13</v>
      </c>
      <c r="H750" t="s">
        <v>28</v>
      </c>
      <c r="I750">
        <v>4134</v>
      </c>
      <c r="J750">
        <v>2039</v>
      </c>
      <c r="K750" t="s">
        <v>48</v>
      </c>
      <c r="L750" t="s">
        <v>49</v>
      </c>
      <c r="M750">
        <v>378</v>
      </c>
      <c r="N750">
        <v>123</v>
      </c>
      <c r="O750" t="s">
        <v>36</v>
      </c>
      <c r="P750" t="s">
        <v>48</v>
      </c>
      <c r="Q750">
        <v>13</v>
      </c>
      <c r="R750" t="s">
        <v>34</v>
      </c>
      <c r="S750">
        <v>15.99</v>
      </c>
    </row>
    <row r="751" spans="1:19" x14ac:dyDescent="0.3">
      <c r="A751">
        <f>'Raw Data'!D751-'Raw Data'!C751</f>
        <v>678</v>
      </c>
      <c r="B751" s="2" t="str">
        <f>_xlfn.IFS('Raw Data'!E751&gt;10,"Premium",'Raw Data'!E751&lt;10,"Basic")</f>
        <v>Basic</v>
      </c>
      <c r="C751">
        <v>7.99</v>
      </c>
      <c r="D751">
        <v>2613</v>
      </c>
      <c r="E751" t="s">
        <v>46</v>
      </c>
      <c r="F751" t="s">
        <v>30</v>
      </c>
      <c r="G751">
        <v>129</v>
      </c>
      <c r="H751" t="s">
        <v>28</v>
      </c>
      <c r="I751">
        <v>3741</v>
      </c>
      <c r="J751">
        <v>2613</v>
      </c>
      <c r="K751" t="s">
        <v>44</v>
      </c>
      <c r="L751" t="s">
        <v>49</v>
      </c>
      <c r="M751">
        <v>439</v>
      </c>
      <c r="N751">
        <v>10</v>
      </c>
      <c r="O751" t="s">
        <v>30</v>
      </c>
      <c r="P751" t="s">
        <v>44</v>
      </c>
      <c r="Q751">
        <v>129</v>
      </c>
      <c r="R751" t="s">
        <v>67</v>
      </c>
      <c r="S751">
        <v>7.99</v>
      </c>
    </row>
    <row r="752" spans="1:19" x14ac:dyDescent="0.3">
      <c r="A752">
        <f>'Raw Data'!D752-'Raw Data'!C752</f>
        <v>205</v>
      </c>
      <c r="B752" s="2" t="str">
        <f>_xlfn.IFS('Raw Data'!E752&gt;10,"Premium",'Raw Data'!E752&lt;10,"Basic")</f>
        <v>Basic</v>
      </c>
      <c r="C752">
        <v>7.99</v>
      </c>
      <c r="D752">
        <v>8226</v>
      </c>
      <c r="E752" t="s">
        <v>33</v>
      </c>
      <c r="F752" t="s">
        <v>60</v>
      </c>
      <c r="G752">
        <v>290</v>
      </c>
      <c r="H752" t="s">
        <v>28</v>
      </c>
      <c r="I752">
        <v>1408</v>
      </c>
      <c r="J752">
        <v>8226</v>
      </c>
      <c r="K752" t="s">
        <v>39</v>
      </c>
      <c r="L752" t="s">
        <v>40</v>
      </c>
      <c r="M752">
        <v>84</v>
      </c>
      <c r="N752">
        <v>52</v>
      </c>
      <c r="O752" t="s">
        <v>60</v>
      </c>
      <c r="P752" t="s">
        <v>39</v>
      </c>
      <c r="Q752">
        <v>290</v>
      </c>
      <c r="R752" t="s">
        <v>27</v>
      </c>
      <c r="S752">
        <v>7.99</v>
      </c>
    </row>
    <row r="753" spans="1:19" x14ac:dyDescent="0.3">
      <c r="A753">
        <f>'Raw Data'!D753-'Raw Data'!C753</f>
        <v>84</v>
      </c>
      <c r="B753" s="2" t="str">
        <f>_xlfn.IFS('Raw Data'!E753&gt;10,"Premium",'Raw Data'!E753&lt;10,"Basic")</f>
        <v>Basic</v>
      </c>
      <c r="C753">
        <v>7.99</v>
      </c>
      <c r="D753">
        <v>1425</v>
      </c>
      <c r="E753" t="s">
        <v>24</v>
      </c>
      <c r="F753" t="s">
        <v>68</v>
      </c>
      <c r="G753">
        <v>50</v>
      </c>
      <c r="H753" t="s">
        <v>28</v>
      </c>
      <c r="I753">
        <v>1917</v>
      </c>
      <c r="J753">
        <v>1425</v>
      </c>
      <c r="K753" t="s">
        <v>48</v>
      </c>
      <c r="L753" t="s">
        <v>40</v>
      </c>
      <c r="M753">
        <v>502</v>
      </c>
      <c r="N753">
        <v>5</v>
      </c>
      <c r="O753" t="s">
        <v>68</v>
      </c>
      <c r="P753" t="s">
        <v>48</v>
      </c>
      <c r="Q753">
        <v>50</v>
      </c>
      <c r="R753" t="s">
        <v>27</v>
      </c>
      <c r="S753">
        <v>7.99</v>
      </c>
    </row>
    <row r="754" spans="1:19" x14ac:dyDescent="0.3">
      <c r="A754">
        <f>'Raw Data'!D754-'Raw Data'!C754</f>
        <v>30</v>
      </c>
      <c r="B754" s="2" t="str">
        <f>_xlfn.IFS('Raw Data'!E754&gt;10,"Premium",'Raw Data'!E754&lt;10,"Basic")</f>
        <v>Premium</v>
      </c>
      <c r="C754">
        <v>15.99</v>
      </c>
      <c r="D754">
        <v>4479</v>
      </c>
      <c r="E754" t="s">
        <v>79</v>
      </c>
      <c r="F754" t="s">
        <v>36</v>
      </c>
      <c r="G754">
        <v>241</v>
      </c>
      <c r="H754" t="s">
        <v>28</v>
      </c>
      <c r="I754">
        <v>1986</v>
      </c>
      <c r="J754">
        <v>4479</v>
      </c>
      <c r="K754" t="s">
        <v>48</v>
      </c>
      <c r="L754" t="s">
        <v>40</v>
      </c>
      <c r="M754">
        <v>549</v>
      </c>
      <c r="N754">
        <v>158</v>
      </c>
      <c r="O754" t="s">
        <v>36</v>
      </c>
      <c r="P754" t="s">
        <v>48</v>
      </c>
      <c r="Q754">
        <v>241</v>
      </c>
      <c r="R754" t="s">
        <v>41</v>
      </c>
      <c r="S754">
        <v>15.99</v>
      </c>
    </row>
    <row r="755" spans="1:19" x14ac:dyDescent="0.3">
      <c r="A755">
        <f>'Raw Data'!D755-'Raw Data'!C755</f>
        <v>307</v>
      </c>
      <c r="B755" s="2" t="str">
        <f>_xlfn.IFS('Raw Data'!E755&gt;10,"Premium",'Raw Data'!E755&lt;10,"Basic")</f>
        <v>Basic</v>
      </c>
      <c r="C755">
        <v>7.99</v>
      </c>
      <c r="D755">
        <v>3393</v>
      </c>
      <c r="E755" t="s">
        <v>55</v>
      </c>
      <c r="F755" t="s">
        <v>52</v>
      </c>
      <c r="G755">
        <v>383</v>
      </c>
      <c r="H755" t="s">
        <v>28</v>
      </c>
      <c r="I755">
        <v>3254</v>
      </c>
      <c r="J755">
        <v>3393</v>
      </c>
      <c r="K755" t="s">
        <v>74</v>
      </c>
      <c r="L755" t="s">
        <v>49</v>
      </c>
      <c r="M755">
        <v>699</v>
      </c>
      <c r="N755">
        <v>174</v>
      </c>
      <c r="O755" t="s">
        <v>52</v>
      </c>
      <c r="P755" t="s">
        <v>74</v>
      </c>
      <c r="Q755">
        <v>383</v>
      </c>
      <c r="R755" t="s">
        <v>67</v>
      </c>
      <c r="S755">
        <v>7.99</v>
      </c>
    </row>
    <row r="756" spans="1:19" x14ac:dyDescent="0.3">
      <c r="A756">
        <f>'Raw Data'!D756-'Raw Data'!C756</f>
        <v>13</v>
      </c>
      <c r="B756" s="2" t="str">
        <f>_xlfn.IFS('Raw Data'!E756&gt;10,"Premium",'Raw Data'!E756&lt;10,"Basic")</f>
        <v>Basic</v>
      </c>
      <c r="C756">
        <v>7.99</v>
      </c>
      <c r="D756">
        <v>8528</v>
      </c>
      <c r="E756" t="s">
        <v>43</v>
      </c>
      <c r="F756" t="s">
        <v>60</v>
      </c>
      <c r="G756">
        <v>384</v>
      </c>
      <c r="H756" t="s">
        <v>28</v>
      </c>
      <c r="I756">
        <v>3648</v>
      </c>
      <c r="J756">
        <v>8528</v>
      </c>
      <c r="K756" t="s">
        <v>74</v>
      </c>
      <c r="L756" t="s">
        <v>49</v>
      </c>
      <c r="M756">
        <v>423</v>
      </c>
      <c r="N756">
        <v>110</v>
      </c>
      <c r="O756" t="s">
        <v>60</v>
      </c>
      <c r="P756" t="s">
        <v>74</v>
      </c>
      <c r="Q756">
        <v>384</v>
      </c>
      <c r="R756" t="s">
        <v>41</v>
      </c>
      <c r="S756">
        <v>7.99</v>
      </c>
    </row>
    <row r="757" spans="1:19" x14ac:dyDescent="0.3">
      <c r="A757">
        <f>'Raw Data'!D757-'Raw Data'!C757</f>
        <v>656</v>
      </c>
      <c r="B757" s="2" t="str">
        <f>_xlfn.IFS('Raw Data'!E757&gt;10,"Premium",'Raw Data'!E757&lt;10,"Basic")</f>
        <v>Basic</v>
      </c>
      <c r="C757">
        <v>7.99</v>
      </c>
      <c r="D757">
        <v>9372</v>
      </c>
      <c r="E757" t="s">
        <v>55</v>
      </c>
      <c r="F757" t="s">
        <v>68</v>
      </c>
      <c r="G757">
        <v>302</v>
      </c>
      <c r="H757" t="s">
        <v>28</v>
      </c>
      <c r="I757">
        <v>3552</v>
      </c>
      <c r="J757">
        <v>9372</v>
      </c>
      <c r="K757" t="s">
        <v>74</v>
      </c>
      <c r="L757" t="s">
        <v>64</v>
      </c>
      <c r="M757">
        <v>964</v>
      </c>
      <c r="N757">
        <v>165</v>
      </c>
      <c r="O757" t="s">
        <v>68</v>
      </c>
      <c r="P757" t="s">
        <v>74</v>
      </c>
      <c r="Q757">
        <v>302</v>
      </c>
      <c r="R757" t="s">
        <v>56</v>
      </c>
      <c r="S757">
        <v>7.99</v>
      </c>
    </row>
    <row r="758" spans="1:19" x14ac:dyDescent="0.3">
      <c r="A758">
        <f>'Raw Data'!D758-'Raw Data'!C758</f>
        <v>290</v>
      </c>
      <c r="B758" s="2" t="str">
        <f>_xlfn.IFS('Raw Data'!E758&gt;10,"Premium",'Raw Data'!E758&lt;10,"Basic")</f>
        <v>Premium</v>
      </c>
      <c r="C758">
        <v>15.99</v>
      </c>
      <c r="D758">
        <v>5469</v>
      </c>
      <c r="E758" t="s">
        <v>43</v>
      </c>
      <c r="F758" t="s">
        <v>52</v>
      </c>
      <c r="G758">
        <v>24</v>
      </c>
      <c r="H758" t="s">
        <v>28</v>
      </c>
      <c r="I758">
        <v>150</v>
      </c>
      <c r="J758">
        <v>5469</v>
      </c>
      <c r="K758" t="s">
        <v>25</v>
      </c>
      <c r="L758" t="s">
        <v>49</v>
      </c>
      <c r="M758">
        <v>742</v>
      </c>
      <c r="N758">
        <v>150</v>
      </c>
      <c r="O758" t="s">
        <v>52</v>
      </c>
      <c r="P758" t="s">
        <v>25</v>
      </c>
      <c r="Q758">
        <v>24</v>
      </c>
      <c r="R758" t="s">
        <v>67</v>
      </c>
      <c r="S758">
        <v>15.99</v>
      </c>
    </row>
    <row r="759" spans="1:19" x14ac:dyDescent="0.3">
      <c r="A759">
        <f>'Raw Data'!D759-'Raw Data'!C759</f>
        <v>186</v>
      </c>
      <c r="B759" s="2" t="str">
        <f>_xlfn.IFS('Raw Data'!E759&gt;10,"Premium",'Raw Data'!E759&lt;10,"Basic")</f>
        <v>Premium</v>
      </c>
      <c r="C759">
        <v>11.99</v>
      </c>
      <c r="D759">
        <v>2603</v>
      </c>
      <c r="E759" t="s">
        <v>79</v>
      </c>
      <c r="F759" t="s">
        <v>52</v>
      </c>
      <c r="G759">
        <v>416</v>
      </c>
      <c r="H759" t="s">
        <v>28</v>
      </c>
      <c r="I759">
        <v>786</v>
      </c>
      <c r="J759">
        <v>2603</v>
      </c>
      <c r="K759" t="s">
        <v>25</v>
      </c>
      <c r="L759" t="s">
        <v>49</v>
      </c>
      <c r="M759">
        <v>97</v>
      </c>
      <c r="N759">
        <v>172</v>
      </c>
      <c r="O759" t="s">
        <v>52</v>
      </c>
      <c r="P759" t="s">
        <v>25</v>
      </c>
      <c r="Q759">
        <v>416</v>
      </c>
      <c r="R759" t="s">
        <v>50</v>
      </c>
      <c r="S759">
        <v>11.99</v>
      </c>
    </row>
    <row r="760" spans="1:19" x14ac:dyDescent="0.3">
      <c r="A760">
        <f>'Raw Data'!D760-'Raw Data'!C760</f>
        <v>456</v>
      </c>
      <c r="B760" s="2" t="str">
        <f>_xlfn.IFS('Raw Data'!E760&gt;10,"Premium",'Raw Data'!E760&lt;10,"Basic")</f>
        <v>Premium</v>
      </c>
      <c r="C760">
        <v>15.99</v>
      </c>
      <c r="D760">
        <v>5306</v>
      </c>
      <c r="E760" t="s">
        <v>62</v>
      </c>
      <c r="F760" t="s">
        <v>36</v>
      </c>
      <c r="G760">
        <v>272</v>
      </c>
      <c r="H760" t="s">
        <v>28</v>
      </c>
      <c r="I760">
        <v>1808</v>
      </c>
      <c r="J760">
        <v>5306</v>
      </c>
      <c r="K760" t="s">
        <v>63</v>
      </c>
      <c r="L760" t="s">
        <v>49</v>
      </c>
      <c r="M760">
        <v>735</v>
      </c>
      <c r="N760">
        <v>74</v>
      </c>
      <c r="O760" t="s">
        <v>36</v>
      </c>
      <c r="P760" t="s">
        <v>63</v>
      </c>
      <c r="Q760">
        <v>272</v>
      </c>
      <c r="R760" t="s">
        <v>56</v>
      </c>
      <c r="S760">
        <v>15.99</v>
      </c>
    </row>
    <row r="761" spans="1:19" x14ac:dyDescent="0.3">
      <c r="A761">
        <f>'Raw Data'!D761-'Raw Data'!C761</f>
        <v>192</v>
      </c>
      <c r="B761" s="2" t="str">
        <f>_xlfn.IFS('Raw Data'!E761&gt;10,"Premium",'Raw Data'!E761&lt;10,"Basic")</f>
        <v>Premium</v>
      </c>
      <c r="C761">
        <v>15.99</v>
      </c>
      <c r="D761">
        <v>7869</v>
      </c>
      <c r="E761" t="s">
        <v>33</v>
      </c>
      <c r="F761" t="s">
        <v>60</v>
      </c>
      <c r="G761">
        <v>294</v>
      </c>
      <c r="H761" t="s">
        <v>28</v>
      </c>
      <c r="I761">
        <v>3091</v>
      </c>
      <c r="J761">
        <v>7869</v>
      </c>
      <c r="K761" t="s">
        <v>63</v>
      </c>
      <c r="L761" t="s">
        <v>64</v>
      </c>
      <c r="M761">
        <v>709</v>
      </c>
      <c r="N761">
        <v>181</v>
      </c>
      <c r="O761" t="s">
        <v>60</v>
      </c>
      <c r="P761" t="s">
        <v>63</v>
      </c>
      <c r="Q761">
        <v>294</v>
      </c>
      <c r="R761" t="s">
        <v>50</v>
      </c>
      <c r="S761">
        <v>15.99</v>
      </c>
    </row>
    <row r="762" spans="1:19" x14ac:dyDescent="0.3">
      <c r="A762">
        <f>'Raw Data'!D762-'Raw Data'!C762</f>
        <v>455</v>
      </c>
      <c r="B762" s="2" t="str">
        <f>_xlfn.IFS('Raw Data'!E762&gt;10,"Premium",'Raw Data'!E762&lt;10,"Basic")</f>
        <v>Premium</v>
      </c>
      <c r="C762">
        <v>15.99</v>
      </c>
      <c r="D762">
        <v>1699</v>
      </c>
      <c r="E762" t="s">
        <v>46</v>
      </c>
      <c r="F762" t="s">
        <v>36</v>
      </c>
      <c r="G762">
        <v>18</v>
      </c>
      <c r="H762" t="s">
        <v>28</v>
      </c>
      <c r="I762">
        <v>3697</v>
      </c>
      <c r="J762">
        <v>1699</v>
      </c>
      <c r="K762" t="s">
        <v>74</v>
      </c>
      <c r="L762" t="s">
        <v>49</v>
      </c>
      <c r="M762">
        <v>882</v>
      </c>
      <c r="N762">
        <v>1</v>
      </c>
      <c r="O762" t="s">
        <v>36</v>
      </c>
      <c r="P762" t="s">
        <v>74</v>
      </c>
      <c r="Q762">
        <v>18</v>
      </c>
      <c r="R762" t="s">
        <v>50</v>
      </c>
      <c r="S762">
        <v>15.99</v>
      </c>
    </row>
    <row r="763" spans="1:19" x14ac:dyDescent="0.3">
      <c r="A763">
        <f>'Raw Data'!D763-'Raw Data'!C763</f>
        <v>151</v>
      </c>
      <c r="B763" s="2" t="str">
        <f>_xlfn.IFS('Raw Data'!E763&gt;10,"Premium",'Raw Data'!E763&lt;10,"Basic")</f>
        <v>Premium</v>
      </c>
      <c r="C763">
        <v>15.99</v>
      </c>
      <c r="D763">
        <v>3214</v>
      </c>
      <c r="E763" t="s">
        <v>24</v>
      </c>
      <c r="F763" t="s">
        <v>52</v>
      </c>
      <c r="G763">
        <v>409</v>
      </c>
      <c r="H763" t="s">
        <v>28</v>
      </c>
      <c r="I763">
        <v>4835</v>
      </c>
      <c r="J763">
        <v>3214</v>
      </c>
      <c r="K763" t="s">
        <v>63</v>
      </c>
      <c r="L763" t="s">
        <v>64</v>
      </c>
      <c r="M763">
        <v>131</v>
      </c>
      <c r="N763">
        <v>85</v>
      </c>
      <c r="O763" t="s">
        <v>52</v>
      </c>
      <c r="P763" t="s">
        <v>63</v>
      </c>
      <c r="Q763">
        <v>409</v>
      </c>
      <c r="R763" t="s">
        <v>67</v>
      </c>
      <c r="S763">
        <v>15.99</v>
      </c>
    </row>
    <row r="764" spans="1:19" x14ac:dyDescent="0.3">
      <c r="A764">
        <f>'Raw Data'!D764-'Raw Data'!C764</f>
        <v>230</v>
      </c>
      <c r="B764" s="2" t="str">
        <f>_xlfn.IFS('Raw Data'!E764&gt;10,"Premium",'Raw Data'!E764&lt;10,"Basic")</f>
        <v>Premium</v>
      </c>
      <c r="C764">
        <v>11.99</v>
      </c>
      <c r="D764">
        <v>1050</v>
      </c>
      <c r="E764" t="s">
        <v>79</v>
      </c>
      <c r="F764" t="s">
        <v>60</v>
      </c>
      <c r="G764">
        <v>290</v>
      </c>
      <c r="H764" t="s">
        <v>28</v>
      </c>
      <c r="I764">
        <v>2023</v>
      </c>
      <c r="J764">
        <v>1050</v>
      </c>
      <c r="K764" t="s">
        <v>25</v>
      </c>
      <c r="L764" t="s">
        <v>26</v>
      </c>
      <c r="M764">
        <v>305</v>
      </c>
      <c r="N764">
        <v>112</v>
      </c>
      <c r="O764" t="s">
        <v>60</v>
      </c>
      <c r="P764" t="s">
        <v>25</v>
      </c>
      <c r="Q764">
        <v>290</v>
      </c>
      <c r="R764" t="s">
        <v>50</v>
      </c>
      <c r="S764">
        <v>11.99</v>
      </c>
    </row>
    <row r="765" spans="1:19" x14ac:dyDescent="0.3">
      <c r="A765">
        <f>'Raw Data'!D765-'Raw Data'!C765</f>
        <v>51</v>
      </c>
      <c r="B765" s="2" t="str">
        <f>_xlfn.IFS('Raw Data'!E765&gt;10,"Premium",'Raw Data'!E765&lt;10,"Basic")</f>
        <v>Premium</v>
      </c>
      <c r="C765">
        <v>15.99</v>
      </c>
      <c r="D765">
        <v>3325</v>
      </c>
      <c r="E765" t="s">
        <v>33</v>
      </c>
      <c r="F765" t="s">
        <v>36</v>
      </c>
      <c r="G765">
        <v>102</v>
      </c>
      <c r="H765" t="s">
        <v>28</v>
      </c>
      <c r="I765">
        <v>1005</v>
      </c>
      <c r="J765">
        <v>3325</v>
      </c>
      <c r="K765" t="s">
        <v>63</v>
      </c>
      <c r="L765" t="s">
        <v>40</v>
      </c>
      <c r="M765">
        <v>456</v>
      </c>
      <c r="N765">
        <v>52</v>
      </c>
      <c r="O765" t="s">
        <v>36</v>
      </c>
      <c r="P765" t="s">
        <v>63</v>
      </c>
      <c r="Q765">
        <v>102</v>
      </c>
      <c r="R765" t="s">
        <v>67</v>
      </c>
      <c r="S765">
        <v>15.99</v>
      </c>
    </row>
    <row r="766" spans="1:19" x14ac:dyDescent="0.3">
      <c r="A766">
        <f>'Raw Data'!D766-'Raw Data'!C766</f>
        <v>438</v>
      </c>
      <c r="B766" s="2" t="str">
        <f>_xlfn.IFS('Raw Data'!E766&gt;10,"Premium",'Raw Data'!E766&lt;10,"Basic")</f>
        <v>Premium</v>
      </c>
      <c r="C766">
        <v>15.99</v>
      </c>
      <c r="D766">
        <v>1970</v>
      </c>
      <c r="E766" t="s">
        <v>43</v>
      </c>
      <c r="F766" t="s">
        <v>30</v>
      </c>
      <c r="G766">
        <v>119</v>
      </c>
      <c r="H766" t="s">
        <v>28</v>
      </c>
      <c r="I766">
        <v>876</v>
      </c>
      <c r="J766">
        <v>1970</v>
      </c>
      <c r="K766" t="s">
        <v>59</v>
      </c>
      <c r="L766" t="s">
        <v>64</v>
      </c>
      <c r="M766">
        <v>385</v>
      </c>
      <c r="N766">
        <v>82</v>
      </c>
      <c r="O766" t="s">
        <v>30</v>
      </c>
      <c r="P766" t="s">
        <v>59</v>
      </c>
      <c r="Q766">
        <v>119</v>
      </c>
      <c r="R766" t="s">
        <v>56</v>
      </c>
      <c r="S766">
        <v>15.99</v>
      </c>
    </row>
    <row r="767" spans="1:19" x14ac:dyDescent="0.3">
      <c r="A767">
        <f>'Raw Data'!D767-'Raw Data'!C767</f>
        <v>512</v>
      </c>
      <c r="B767" s="2" t="str">
        <f>_xlfn.IFS('Raw Data'!E767&gt;10,"Premium",'Raw Data'!E767&lt;10,"Basic")</f>
        <v>Premium</v>
      </c>
      <c r="C767">
        <v>11.99</v>
      </c>
      <c r="D767">
        <v>6272</v>
      </c>
      <c r="E767" t="s">
        <v>24</v>
      </c>
      <c r="F767" t="s">
        <v>36</v>
      </c>
      <c r="G767">
        <v>87</v>
      </c>
      <c r="H767" t="s">
        <v>28</v>
      </c>
      <c r="I767">
        <v>2089</v>
      </c>
      <c r="J767">
        <v>6272</v>
      </c>
      <c r="K767" t="s">
        <v>39</v>
      </c>
      <c r="L767" t="s">
        <v>40</v>
      </c>
      <c r="M767">
        <v>213</v>
      </c>
      <c r="N767">
        <v>98</v>
      </c>
      <c r="O767" t="s">
        <v>36</v>
      </c>
      <c r="P767" t="s">
        <v>39</v>
      </c>
      <c r="Q767">
        <v>87</v>
      </c>
      <c r="R767" t="s">
        <v>41</v>
      </c>
      <c r="S767">
        <v>11.99</v>
      </c>
    </row>
    <row r="768" spans="1:19" x14ac:dyDescent="0.3">
      <c r="A768">
        <f>'Raw Data'!D768-'Raw Data'!C768</f>
        <v>516</v>
      </c>
      <c r="B768" s="2" t="str">
        <f>_xlfn.IFS('Raw Data'!E768&gt;10,"Premium",'Raw Data'!E768&lt;10,"Basic")</f>
        <v>Basic</v>
      </c>
      <c r="C768">
        <v>7.99</v>
      </c>
      <c r="D768">
        <v>4745</v>
      </c>
      <c r="E768" t="s">
        <v>33</v>
      </c>
      <c r="F768" t="s">
        <v>68</v>
      </c>
      <c r="G768">
        <v>273</v>
      </c>
      <c r="H768" t="s">
        <v>28</v>
      </c>
      <c r="I768">
        <v>772</v>
      </c>
      <c r="J768">
        <v>4745</v>
      </c>
      <c r="K768" t="s">
        <v>25</v>
      </c>
      <c r="L768" t="s">
        <v>64</v>
      </c>
      <c r="M768">
        <v>830</v>
      </c>
      <c r="N768">
        <v>178</v>
      </c>
      <c r="O768" t="s">
        <v>68</v>
      </c>
      <c r="P768" t="s">
        <v>25</v>
      </c>
      <c r="Q768">
        <v>273</v>
      </c>
      <c r="R768" t="s">
        <v>67</v>
      </c>
      <c r="S768">
        <v>7.99</v>
      </c>
    </row>
    <row r="769" spans="1:19" x14ac:dyDescent="0.3">
      <c r="A769">
        <f>'Raw Data'!D769-'Raw Data'!C769</f>
        <v>537</v>
      </c>
      <c r="B769" s="2" t="str">
        <f>_xlfn.IFS('Raw Data'!E769&gt;10,"Premium",'Raw Data'!E769&lt;10,"Basic")</f>
        <v>Premium</v>
      </c>
      <c r="C769">
        <v>15.99</v>
      </c>
      <c r="D769">
        <v>8867</v>
      </c>
      <c r="E769" t="s">
        <v>62</v>
      </c>
      <c r="F769" t="s">
        <v>60</v>
      </c>
      <c r="G769">
        <v>281</v>
      </c>
      <c r="H769" t="s">
        <v>28</v>
      </c>
      <c r="I769">
        <v>373</v>
      </c>
      <c r="J769">
        <v>8867</v>
      </c>
      <c r="K769" t="s">
        <v>74</v>
      </c>
      <c r="L769" t="s">
        <v>49</v>
      </c>
      <c r="M769">
        <v>601</v>
      </c>
      <c r="N769">
        <v>75</v>
      </c>
      <c r="O769" t="s">
        <v>60</v>
      </c>
      <c r="P769" t="s">
        <v>74</v>
      </c>
      <c r="Q769">
        <v>281</v>
      </c>
      <c r="R769" t="s">
        <v>34</v>
      </c>
      <c r="S769">
        <v>15.99</v>
      </c>
    </row>
    <row r="770" spans="1:19" x14ac:dyDescent="0.3">
      <c r="A770">
        <f>'Raw Data'!D770-'Raw Data'!C770</f>
        <v>706</v>
      </c>
      <c r="B770" s="2" t="str">
        <f>_xlfn.IFS('Raw Data'!E770&gt;10,"Premium",'Raw Data'!E770&lt;10,"Basic")</f>
        <v>Basic</v>
      </c>
      <c r="C770">
        <v>7.99</v>
      </c>
      <c r="D770">
        <v>4901</v>
      </c>
      <c r="E770" t="s">
        <v>46</v>
      </c>
      <c r="F770" t="s">
        <v>36</v>
      </c>
      <c r="G770">
        <v>115</v>
      </c>
      <c r="H770" t="s">
        <v>28</v>
      </c>
      <c r="I770">
        <v>3425</v>
      </c>
      <c r="J770">
        <v>4901</v>
      </c>
      <c r="K770" t="s">
        <v>74</v>
      </c>
      <c r="L770" t="s">
        <v>26</v>
      </c>
      <c r="M770">
        <v>843</v>
      </c>
      <c r="N770">
        <v>153</v>
      </c>
      <c r="O770" t="s">
        <v>36</v>
      </c>
      <c r="P770" t="s">
        <v>74</v>
      </c>
      <c r="Q770">
        <v>115</v>
      </c>
      <c r="R770" t="s">
        <v>41</v>
      </c>
      <c r="S770">
        <v>7.99</v>
      </c>
    </row>
    <row r="771" spans="1:19" x14ac:dyDescent="0.3">
      <c r="A771">
        <f>'Raw Data'!D771-'Raw Data'!C771</f>
        <v>657</v>
      </c>
      <c r="B771" s="2" t="str">
        <f>_xlfn.IFS('Raw Data'!E771&gt;10,"Premium",'Raw Data'!E771&lt;10,"Basic")</f>
        <v>Premium</v>
      </c>
      <c r="C771">
        <v>11.99</v>
      </c>
      <c r="D771">
        <v>9575</v>
      </c>
      <c r="E771" t="s">
        <v>55</v>
      </c>
      <c r="F771" t="s">
        <v>68</v>
      </c>
      <c r="G771">
        <v>483</v>
      </c>
      <c r="H771" t="s">
        <v>28</v>
      </c>
      <c r="I771">
        <v>4422</v>
      </c>
      <c r="J771">
        <v>9575</v>
      </c>
      <c r="K771" t="s">
        <v>59</v>
      </c>
      <c r="L771" t="s">
        <v>26</v>
      </c>
      <c r="M771">
        <v>386</v>
      </c>
      <c r="N771">
        <v>192</v>
      </c>
      <c r="O771" t="s">
        <v>68</v>
      </c>
      <c r="P771" t="s">
        <v>59</v>
      </c>
      <c r="Q771">
        <v>483</v>
      </c>
      <c r="R771" t="s">
        <v>67</v>
      </c>
      <c r="S771">
        <v>11.99</v>
      </c>
    </row>
    <row r="772" spans="1:19" x14ac:dyDescent="0.3">
      <c r="A772">
        <f>'Raw Data'!D772-'Raw Data'!C772</f>
        <v>255</v>
      </c>
      <c r="B772" s="2" t="str">
        <f>_xlfn.IFS('Raw Data'!E772&gt;10,"Premium",'Raw Data'!E772&lt;10,"Basic")</f>
        <v>Premium</v>
      </c>
      <c r="C772">
        <v>11.99</v>
      </c>
      <c r="D772">
        <v>4471</v>
      </c>
      <c r="E772" t="s">
        <v>33</v>
      </c>
      <c r="F772" t="s">
        <v>36</v>
      </c>
      <c r="G772">
        <v>129</v>
      </c>
      <c r="H772" t="s">
        <v>28</v>
      </c>
      <c r="I772">
        <v>4980</v>
      </c>
      <c r="J772">
        <v>4471</v>
      </c>
      <c r="K772" t="s">
        <v>48</v>
      </c>
      <c r="L772" t="s">
        <v>49</v>
      </c>
      <c r="M772">
        <v>291</v>
      </c>
      <c r="N772">
        <v>37</v>
      </c>
      <c r="O772" t="s">
        <v>36</v>
      </c>
      <c r="P772" t="s">
        <v>48</v>
      </c>
      <c r="Q772">
        <v>129</v>
      </c>
      <c r="R772" t="s">
        <v>41</v>
      </c>
      <c r="S772">
        <v>11.99</v>
      </c>
    </row>
    <row r="773" spans="1:19" x14ac:dyDescent="0.3">
      <c r="A773">
        <f>'Raw Data'!D773-'Raw Data'!C773</f>
        <v>68</v>
      </c>
      <c r="B773" s="2" t="str">
        <f>_xlfn.IFS('Raw Data'!E773&gt;10,"Premium",'Raw Data'!E773&lt;10,"Basic")</f>
        <v>Premium</v>
      </c>
      <c r="C773">
        <v>11.99</v>
      </c>
      <c r="D773">
        <v>1385</v>
      </c>
      <c r="E773" t="s">
        <v>33</v>
      </c>
      <c r="F773" t="s">
        <v>30</v>
      </c>
      <c r="G773">
        <v>292</v>
      </c>
      <c r="H773" t="s">
        <v>28</v>
      </c>
      <c r="I773">
        <v>1367</v>
      </c>
      <c r="J773">
        <v>1385</v>
      </c>
      <c r="K773" t="s">
        <v>39</v>
      </c>
      <c r="L773" t="s">
        <v>49</v>
      </c>
      <c r="M773">
        <v>198</v>
      </c>
      <c r="N773">
        <v>195</v>
      </c>
      <c r="O773" t="s">
        <v>30</v>
      </c>
      <c r="P773" t="s">
        <v>39</v>
      </c>
      <c r="Q773">
        <v>292</v>
      </c>
      <c r="R773" t="s">
        <v>56</v>
      </c>
      <c r="S773">
        <v>11.99</v>
      </c>
    </row>
    <row r="774" spans="1:19" x14ac:dyDescent="0.3">
      <c r="A774">
        <f>'Raw Data'!D774-'Raw Data'!C774</f>
        <v>663</v>
      </c>
      <c r="B774" s="2" t="str">
        <f>_xlfn.IFS('Raw Data'!E774&gt;10,"Premium",'Raw Data'!E774&lt;10,"Basic")</f>
        <v>Premium</v>
      </c>
      <c r="C774">
        <v>11.99</v>
      </c>
      <c r="D774">
        <v>4302</v>
      </c>
      <c r="E774" t="s">
        <v>55</v>
      </c>
      <c r="F774" t="s">
        <v>30</v>
      </c>
      <c r="G774">
        <v>307</v>
      </c>
      <c r="H774" t="s">
        <v>28</v>
      </c>
      <c r="I774">
        <v>2728</v>
      </c>
      <c r="J774">
        <v>4302</v>
      </c>
      <c r="K774" t="s">
        <v>48</v>
      </c>
      <c r="L774" t="s">
        <v>40</v>
      </c>
      <c r="M774">
        <v>919</v>
      </c>
      <c r="N774">
        <v>175</v>
      </c>
      <c r="O774" t="s">
        <v>30</v>
      </c>
      <c r="P774" t="s">
        <v>48</v>
      </c>
      <c r="Q774">
        <v>307</v>
      </c>
      <c r="R774" t="s">
        <v>56</v>
      </c>
      <c r="S774">
        <v>11.99</v>
      </c>
    </row>
    <row r="775" spans="1:19" x14ac:dyDescent="0.3">
      <c r="A775">
        <f>'Raw Data'!D775-'Raw Data'!C775</f>
        <v>395</v>
      </c>
      <c r="B775" s="2" t="str">
        <f>_xlfn.IFS('Raw Data'!E775&gt;10,"Premium",'Raw Data'!E775&lt;10,"Basic")</f>
        <v>Premium</v>
      </c>
      <c r="C775">
        <v>15.99</v>
      </c>
      <c r="D775">
        <v>4738</v>
      </c>
      <c r="E775" t="s">
        <v>33</v>
      </c>
      <c r="F775" t="s">
        <v>30</v>
      </c>
      <c r="G775">
        <v>306</v>
      </c>
      <c r="H775" t="s">
        <v>28</v>
      </c>
      <c r="I775">
        <v>1556</v>
      </c>
      <c r="J775">
        <v>4738</v>
      </c>
      <c r="K775" t="s">
        <v>44</v>
      </c>
      <c r="L775" t="s">
        <v>40</v>
      </c>
      <c r="M775">
        <v>483</v>
      </c>
      <c r="N775">
        <v>5</v>
      </c>
      <c r="O775" t="s">
        <v>30</v>
      </c>
      <c r="P775" t="s">
        <v>44</v>
      </c>
      <c r="Q775">
        <v>306</v>
      </c>
      <c r="R775" t="s">
        <v>27</v>
      </c>
      <c r="S775">
        <v>15.99</v>
      </c>
    </row>
    <row r="776" spans="1:19" x14ac:dyDescent="0.3">
      <c r="A776">
        <f>'Raw Data'!D776-'Raw Data'!C776</f>
        <v>566</v>
      </c>
      <c r="B776" s="2" t="str">
        <f>_xlfn.IFS('Raw Data'!E776&gt;10,"Premium",'Raw Data'!E776&lt;10,"Basic")</f>
        <v>Premium</v>
      </c>
      <c r="C776">
        <v>11.99</v>
      </c>
      <c r="D776">
        <v>2441</v>
      </c>
      <c r="E776" t="s">
        <v>43</v>
      </c>
      <c r="F776" t="s">
        <v>36</v>
      </c>
      <c r="G776">
        <v>71</v>
      </c>
      <c r="H776" t="s">
        <v>28</v>
      </c>
      <c r="I776">
        <v>4566</v>
      </c>
      <c r="J776">
        <v>2441</v>
      </c>
      <c r="K776" t="s">
        <v>59</v>
      </c>
      <c r="L776" t="s">
        <v>26</v>
      </c>
      <c r="M776">
        <v>645</v>
      </c>
      <c r="N776">
        <v>5</v>
      </c>
      <c r="O776" t="s">
        <v>36</v>
      </c>
      <c r="P776" t="s">
        <v>59</v>
      </c>
      <c r="Q776">
        <v>71</v>
      </c>
      <c r="R776" t="s">
        <v>41</v>
      </c>
      <c r="S776">
        <v>11.99</v>
      </c>
    </row>
    <row r="777" spans="1:19" x14ac:dyDescent="0.3">
      <c r="A777">
        <f>'Raw Data'!D777-'Raw Data'!C777</f>
        <v>348</v>
      </c>
      <c r="B777" s="2" t="str">
        <f>_xlfn.IFS('Raw Data'!E777&gt;10,"Premium",'Raw Data'!E777&lt;10,"Basic")</f>
        <v>Premium</v>
      </c>
      <c r="C777">
        <v>15.99</v>
      </c>
      <c r="D777">
        <v>6546</v>
      </c>
      <c r="E777" t="s">
        <v>43</v>
      </c>
      <c r="F777" t="s">
        <v>30</v>
      </c>
      <c r="G777">
        <v>253</v>
      </c>
      <c r="H777" t="s">
        <v>28</v>
      </c>
      <c r="I777">
        <v>2969</v>
      </c>
      <c r="J777">
        <v>6546</v>
      </c>
      <c r="K777" t="s">
        <v>25</v>
      </c>
      <c r="L777" t="s">
        <v>26</v>
      </c>
      <c r="M777">
        <v>653</v>
      </c>
      <c r="N777">
        <v>53</v>
      </c>
      <c r="O777" t="s">
        <v>30</v>
      </c>
      <c r="P777" t="s">
        <v>25</v>
      </c>
      <c r="Q777">
        <v>253</v>
      </c>
      <c r="R777" t="s">
        <v>27</v>
      </c>
      <c r="S777">
        <v>15.99</v>
      </c>
    </row>
    <row r="778" spans="1:19" x14ac:dyDescent="0.3">
      <c r="A778">
        <f>'Raw Data'!D778-'Raw Data'!C778</f>
        <v>244</v>
      </c>
      <c r="B778" s="2" t="str">
        <f>_xlfn.IFS('Raw Data'!E778&gt;10,"Premium",'Raw Data'!E778&lt;10,"Basic")</f>
        <v>Premium</v>
      </c>
      <c r="C778">
        <v>15.99</v>
      </c>
      <c r="D778">
        <v>5459</v>
      </c>
      <c r="E778" t="s">
        <v>55</v>
      </c>
      <c r="F778" t="s">
        <v>60</v>
      </c>
      <c r="G778">
        <v>68</v>
      </c>
      <c r="H778" t="s">
        <v>28</v>
      </c>
      <c r="I778">
        <v>3421</v>
      </c>
      <c r="J778">
        <v>5459</v>
      </c>
      <c r="K778" t="s">
        <v>63</v>
      </c>
      <c r="L778" t="s">
        <v>64</v>
      </c>
      <c r="M778">
        <v>727</v>
      </c>
      <c r="N778">
        <v>5</v>
      </c>
      <c r="O778" t="s">
        <v>60</v>
      </c>
      <c r="P778" t="s">
        <v>63</v>
      </c>
      <c r="Q778">
        <v>68</v>
      </c>
      <c r="R778" t="s">
        <v>67</v>
      </c>
      <c r="S778">
        <v>15.99</v>
      </c>
    </row>
    <row r="779" spans="1:19" x14ac:dyDescent="0.3">
      <c r="A779">
        <f>'Raw Data'!D779-'Raw Data'!C779</f>
        <v>582</v>
      </c>
      <c r="B779" s="2" t="str">
        <f>_xlfn.IFS('Raw Data'!E779&gt;10,"Premium",'Raw Data'!E779&lt;10,"Basic")</f>
        <v>Basic</v>
      </c>
      <c r="C779">
        <v>7.99</v>
      </c>
      <c r="D779">
        <v>7051</v>
      </c>
      <c r="E779" t="s">
        <v>33</v>
      </c>
      <c r="F779" t="s">
        <v>36</v>
      </c>
      <c r="G779">
        <v>366</v>
      </c>
      <c r="H779" t="s">
        <v>28</v>
      </c>
      <c r="I779">
        <v>2535</v>
      </c>
      <c r="J779">
        <v>7051</v>
      </c>
      <c r="K779" t="s">
        <v>63</v>
      </c>
      <c r="L779" t="s">
        <v>40</v>
      </c>
      <c r="M779">
        <v>257</v>
      </c>
      <c r="N779">
        <v>46</v>
      </c>
      <c r="O779" t="s">
        <v>36</v>
      </c>
      <c r="P779" t="s">
        <v>63</v>
      </c>
      <c r="Q779">
        <v>366</v>
      </c>
      <c r="R779" t="s">
        <v>67</v>
      </c>
      <c r="S779">
        <v>7.99</v>
      </c>
    </row>
    <row r="780" spans="1:19" x14ac:dyDescent="0.3">
      <c r="A780">
        <f>'Raw Data'!D780-'Raw Data'!C780</f>
        <v>294</v>
      </c>
      <c r="B780" s="2" t="str">
        <f>_xlfn.IFS('Raw Data'!E780&gt;10,"Premium",'Raw Data'!E780&lt;10,"Basic")</f>
        <v>Premium</v>
      </c>
      <c r="C780">
        <v>15.99</v>
      </c>
      <c r="D780">
        <v>6671</v>
      </c>
      <c r="E780" t="s">
        <v>79</v>
      </c>
      <c r="F780" t="s">
        <v>30</v>
      </c>
      <c r="G780">
        <v>166</v>
      </c>
      <c r="H780" t="s">
        <v>28</v>
      </c>
      <c r="I780">
        <v>290</v>
      </c>
      <c r="J780">
        <v>6671</v>
      </c>
      <c r="K780" t="s">
        <v>63</v>
      </c>
      <c r="L780" t="s">
        <v>26</v>
      </c>
      <c r="M780">
        <v>208</v>
      </c>
      <c r="N780">
        <v>39</v>
      </c>
      <c r="O780" t="s">
        <v>30</v>
      </c>
      <c r="P780" t="s">
        <v>63</v>
      </c>
      <c r="Q780">
        <v>166</v>
      </c>
      <c r="R780" t="s">
        <v>50</v>
      </c>
      <c r="S780">
        <v>15.99</v>
      </c>
    </row>
    <row r="781" spans="1:19" x14ac:dyDescent="0.3">
      <c r="A781">
        <f>'Raw Data'!D781-'Raw Data'!C781</f>
        <v>102</v>
      </c>
      <c r="B781" s="2" t="str">
        <f>_xlfn.IFS('Raw Data'!E781&gt;10,"Premium",'Raw Data'!E781&lt;10,"Basic")</f>
        <v>Premium</v>
      </c>
      <c r="C781">
        <v>15.99</v>
      </c>
      <c r="D781">
        <v>6013</v>
      </c>
      <c r="E781" t="s">
        <v>62</v>
      </c>
      <c r="F781" t="s">
        <v>36</v>
      </c>
      <c r="G781">
        <v>136</v>
      </c>
      <c r="H781" t="s">
        <v>28</v>
      </c>
      <c r="I781">
        <v>756</v>
      </c>
      <c r="J781">
        <v>6013</v>
      </c>
      <c r="K781" t="s">
        <v>39</v>
      </c>
      <c r="L781" t="s">
        <v>40</v>
      </c>
      <c r="M781">
        <v>471</v>
      </c>
      <c r="N781">
        <v>91</v>
      </c>
      <c r="O781" t="s">
        <v>36</v>
      </c>
      <c r="P781" t="s">
        <v>39</v>
      </c>
      <c r="Q781">
        <v>136</v>
      </c>
      <c r="R781" t="s">
        <v>41</v>
      </c>
      <c r="S781">
        <v>15.99</v>
      </c>
    </row>
    <row r="782" spans="1:19" x14ac:dyDescent="0.3">
      <c r="A782">
        <f>'Raw Data'!D782-'Raw Data'!C782</f>
        <v>141</v>
      </c>
      <c r="B782" s="2" t="str">
        <f>_xlfn.IFS('Raw Data'!E782&gt;10,"Premium",'Raw Data'!E782&lt;10,"Basic")</f>
        <v>Basic</v>
      </c>
      <c r="C782">
        <v>7.99</v>
      </c>
      <c r="D782">
        <v>9996</v>
      </c>
      <c r="E782" t="s">
        <v>62</v>
      </c>
      <c r="F782" t="s">
        <v>52</v>
      </c>
      <c r="G782">
        <v>358</v>
      </c>
      <c r="H782" t="s">
        <v>28</v>
      </c>
      <c r="I782">
        <v>947</v>
      </c>
      <c r="J782">
        <v>9996</v>
      </c>
      <c r="K782" t="s">
        <v>44</v>
      </c>
      <c r="L782" t="s">
        <v>49</v>
      </c>
      <c r="M782">
        <v>512</v>
      </c>
      <c r="N782">
        <v>153</v>
      </c>
      <c r="O782" t="s">
        <v>52</v>
      </c>
      <c r="P782" t="s">
        <v>44</v>
      </c>
      <c r="Q782">
        <v>358</v>
      </c>
      <c r="R782" t="s">
        <v>27</v>
      </c>
      <c r="S782">
        <v>7.99</v>
      </c>
    </row>
    <row r="783" spans="1:19" x14ac:dyDescent="0.3">
      <c r="A783">
        <f>'Raw Data'!D783-'Raw Data'!C783</f>
        <v>647</v>
      </c>
      <c r="B783" s="2" t="str">
        <f>_xlfn.IFS('Raw Data'!E783&gt;10,"Premium",'Raw Data'!E783&lt;10,"Basic")</f>
        <v>Premium</v>
      </c>
      <c r="C783">
        <v>15.99</v>
      </c>
      <c r="D783">
        <v>4851</v>
      </c>
      <c r="E783" t="s">
        <v>33</v>
      </c>
      <c r="F783" t="s">
        <v>60</v>
      </c>
      <c r="G783">
        <v>399</v>
      </c>
      <c r="H783" t="s">
        <v>28</v>
      </c>
      <c r="I783">
        <v>2138</v>
      </c>
      <c r="J783">
        <v>4851</v>
      </c>
      <c r="K783" t="s">
        <v>25</v>
      </c>
      <c r="L783" t="s">
        <v>49</v>
      </c>
      <c r="M783">
        <v>355</v>
      </c>
      <c r="N783">
        <v>181</v>
      </c>
      <c r="O783" t="s">
        <v>60</v>
      </c>
      <c r="P783" t="s">
        <v>25</v>
      </c>
      <c r="Q783">
        <v>399</v>
      </c>
      <c r="R783" t="s">
        <v>27</v>
      </c>
      <c r="S783">
        <v>15.99</v>
      </c>
    </row>
    <row r="784" spans="1:19" x14ac:dyDescent="0.3">
      <c r="A784">
        <f>'Raw Data'!D784-'Raw Data'!C784</f>
        <v>422</v>
      </c>
      <c r="B784" s="2" t="str">
        <f>_xlfn.IFS('Raw Data'!E784&gt;10,"Premium",'Raw Data'!E784&lt;10,"Basic")</f>
        <v>Premium</v>
      </c>
      <c r="C784">
        <v>11.99</v>
      </c>
      <c r="D784">
        <v>2498</v>
      </c>
      <c r="E784" t="s">
        <v>79</v>
      </c>
      <c r="F784" t="s">
        <v>60</v>
      </c>
      <c r="G784">
        <v>285</v>
      </c>
      <c r="H784" t="s">
        <v>28</v>
      </c>
      <c r="I784">
        <v>3151</v>
      </c>
      <c r="J784">
        <v>2498</v>
      </c>
      <c r="K784" t="s">
        <v>25</v>
      </c>
      <c r="L784" t="s">
        <v>64</v>
      </c>
      <c r="M784">
        <v>634</v>
      </c>
      <c r="N784">
        <v>168</v>
      </c>
      <c r="O784" t="s">
        <v>60</v>
      </c>
      <c r="P784" t="s">
        <v>25</v>
      </c>
      <c r="Q784">
        <v>285</v>
      </c>
      <c r="R784" t="s">
        <v>34</v>
      </c>
      <c r="S784">
        <v>11.99</v>
      </c>
    </row>
    <row r="785" spans="1:19" x14ac:dyDescent="0.3">
      <c r="A785">
        <f>'Raw Data'!D785-'Raw Data'!C785</f>
        <v>517</v>
      </c>
      <c r="B785" s="2" t="str">
        <f>_xlfn.IFS('Raw Data'!E785&gt;10,"Premium",'Raw Data'!E785&lt;10,"Basic")</f>
        <v>Basic</v>
      </c>
      <c r="C785">
        <v>7.99</v>
      </c>
      <c r="D785">
        <v>6208</v>
      </c>
      <c r="E785" t="s">
        <v>55</v>
      </c>
      <c r="F785" t="s">
        <v>60</v>
      </c>
      <c r="G785">
        <v>424</v>
      </c>
      <c r="H785" t="s">
        <v>28</v>
      </c>
      <c r="I785">
        <v>670</v>
      </c>
      <c r="J785">
        <v>6208</v>
      </c>
      <c r="K785" t="s">
        <v>63</v>
      </c>
      <c r="L785" t="s">
        <v>26</v>
      </c>
      <c r="M785">
        <v>942</v>
      </c>
      <c r="N785">
        <v>127</v>
      </c>
      <c r="O785" t="s">
        <v>60</v>
      </c>
      <c r="P785" t="s">
        <v>63</v>
      </c>
      <c r="Q785">
        <v>424</v>
      </c>
      <c r="R785" t="s">
        <v>56</v>
      </c>
      <c r="S785">
        <v>7.99</v>
      </c>
    </row>
    <row r="786" spans="1:19" x14ac:dyDescent="0.3">
      <c r="A786">
        <f>'Raw Data'!D786-'Raw Data'!C786</f>
        <v>301</v>
      </c>
      <c r="B786" s="2" t="str">
        <f>_xlfn.IFS('Raw Data'!E786&gt;10,"Premium",'Raw Data'!E786&lt;10,"Basic")</f>
        <v>Premium</v>
      </c>
      <c r="C786">
        <v>11.99</v>
      </c>
      <c r="D786">
        <v>7171</v>
      </c>
      <c r="E786" t="s">
        <v>24</v>
      </c>
      <c r="F786" t="s">
        <v>36</v>
      </c>
      <c r="G786">
        <v>467</v>
      </c>
      <c r="H786" t="s">
        <v>28</v>
      </c>
      <c r="I786">
        <v>3037</v>
      </c>
      <c r="J786">
        <v>7171</v>
      </c>
      <c r="K786" t="s">
        <v>63</v>
      </c>
      <c r="L786" t="s">
        <v>40</v>
      </c>
      <c r="M786">
        <v>350</v>
      </c>
      <c r="N786">
        <v>134</v>
      </c>
      <c r="O786" t="s">
        <v>36</v>
      </c>
      <c r="P786" t="s">
        <v>63</v>
      </c>
      <c r="Q786">
        <v>467</v>
      </c>
      <c r="R786" t="s">
        <v>56</v>
      </c>
      <c r="S786">
        <v>11.99</v>
      </c>
    </row>
    <row r="787" spans="1:19" x14ac:dyDescent="0.3">
      <c r="A787">
        <f>'Raw Data'!D787-'Raw Data'!C787</f>
        <v>712</v>
      </c>
      <c r="B787" s="2" t="str">
        <f>_xlfn.IFS('Raw Data'!E787&gt;10,"Premium",'Raw Data'!E787&lt;10,"Basic")</f>
        <v>Premium</v>
      </c>
      <c r="C787">
        <v>15.99</v>
      </c>
      <c r="D787">
        <v>7667</v>
      </c>
      <c r="E787" t="s">
        <v>79</v>
      </c>
      <c r="F787" t="s">
        <v>30</v>
      </c>
      <c r="G787">
        <v>443</v>
      </c>
      <c r="H787" t="s">
        <v>28</v>
      </c>
      <c r="I787">
        <v>3712</v>
      </c>
      <c r="J787">
        <v>7667</v>
      </c>
      <c r="K787" t="s">
        <v>63</v>
      </c>
      <c r="L787" t="s">
        <v>26</v>
      </c>
      <c r="M787">
        <v>326</v>
      </c>
      <c r="N787">
        <v>59</v>
      </c>
      <c r="O787" t="s">
        <v>30</v>
      </c>
      <c r="P787" t="s">
        <v>63</v>
      </c>
      <c r="Q787">
        <v>443</v>
      </c>
      <c r="R787" t="s">
        <v>27</v>
      </c>
      <c r="S787">
        <v>15.99</v>
      </c>
    </row>
    <row r="788" spans="1:19" x14ac:dyDescent="0.3">
      <c r="A788">
        <f>'Raw Data'!D788-'Raw Data'!C788</f>
        <v>424</v>
      </c>
      <c r="B788" s="2" t="str">
        <f>_xlfn.IFS('Raw Data'!E788&gt;10,"Premium",'Raw Data'!E788&lt;10,"Basic")</f>
        <v>Premium</v>
      </c>
      <c r="C788">
        <v>15.99</v>
      </c>
      <c r="D788">
        <v>4912</v>
      </c>
      <c r="E788" t="s">
        <v>43</v>
      </c>
      <c r="F788" t="s">
        <v>60</v>
      </c>
      <c r="G788">
        <v>214</v>
      </c>
      <c r="H788" t="s">
        <v>28</v>
      </c>
      <c r="I788">
        <v>2029</v>
      </c>
      <c r="J788">
        <v>4912</v>
      </c>
      <c r="K788" t="s">
        <v>44</v>
      </c>
      <c r="L788" t="s">
        <v>64</v>
      </c>
      <c r="M788">
        <v>61</v>
      </c>
      <c r="N788">
        <v>148</v>
      </c>
      <c r="O788" t="s">
        <v>60</v>
      </c>
      <c r="P788" t="s">
        <v>44</v>
      </c>
      <c r="Q788">
        <v>214</v>
      </c>
      <c r="R788" t="s">
        <v>34</v>
      </c>
      <c r="S788">
        <v>15.99</v>
      </c>
    </row>
    <row r="789" spans="1:19" x14ac:dyDescent="0.3">
      <c r="A789">
        <f>'Raw Data'!D789-'Raw Data'!C789</f>
        <v>416</v>
      </c>
      <c r="B789" s="2" t="str">
        <f>_xlfn.IFS('Raw Data'!E789&gt;10,"Premium",'Raw Data'!E789&lt;10,"Basic")</f>
        <v>Premium</v>
      </c>
      <c r="C789">
        <v>15.99</v>
      </c>
      <c r="D789">
        <v>7975</v>
      </c>
      <c r="E789" t="s">
        <v>55</v>
      </c>
      <c r="F789" t="s">
        <v>36</v>
      </c>
      <c r="G789">
        <v>437</v>
      </c>
      <c r="H789" t="s">
        <v>28</v>
      </c>
      <c r="I789">
        <v>2406</v>
      </c>
      <c r="J789">
        <v>7975</v>
      </c>
      <c r="K789" t="s">
        <v>74</v>
      </c>
      <c r="L789" t="s">
        <v>40</v>
      </c>
      <c r="M789">
        <v>328</v>
      </c>
      <c r="N789">
        <v>170</v>
      </c>
      <c r="O789" t="s">
        <v>36</v>
      </c>
      <c r="P789" t="s">
        <v>74</v>
      </c>
      <c r="Q789">
        <v>437</v>
      </c>
      <c r="R789" t="s">
        <v>56</v>
      </c>
      <c r="S789">
        <v>15.99</v>
      </c>
    </row>
    <row r="790" spans="1:19" x14ac:dyDescent="0.3">
      <c r="A790">
        <f>'Raw Data'!D790-'Raw Data'!C790</f>
        <v>668</v>
      </c>
      <c r="B790" s="2" t="str">
        <f>_xlfn.IFS('Raw Data'!E790&gt;10,"Premium",'Raw Data'!E790&lt;10,"Basic")</f>
        <v>Premium</v>
      </c>
      <c r="C790">
        <v>15.99</v>
      </c>
      <c r="D790">
        <v>6804</v>
      </c>
      <c r="E790" t="s">
        <v>33</v>
      </c>
      <c r="F790" t="s">
        <v>68</v>
      </c>
      <c r="G790">
        <v>419</v>
      </c>
      <c r="H790" t="s">
        <v>28</v>
      </c>
      <c r="I790">
        <v>3264</v>
      </c>
      <c r="J790">
        <v>6804</v>
      </c>
      <c r="K790" t="s">
        <v>59</v>
      </c>
      <c r="L790" t="s">
        <v>26</v>
      </c>
      <c r="M790">
        <v>591</v>
      </c>
      <c r="N790">
        <v>166</v>
      </c>
      <c r="O790" t="s">
        <v>68</v>
      </c>
      <c r="P790" t="s">
        <v>59</v>
      </c>
      <c r="Q790">
        <v>419</v>
      </c>
      <c r="R790" t="s">
        <v>34</v>
      </c>
      <c r="S790">
        <v>15.99</v>
      </c>
    </row>
    <row r="791" spans="1:19" x14ac:dyDescent="0.3">
      <c r="A791">
        <f>'Raw Data'!D791-'Raw Data'!C791</f>
        <v>132</v>
      </c>
      <c r="B791" s="2" t="str">
        <f>_xlfn.IFS('Raw Data'!E791&gt;10,"Premium",'Raw Data'!E791&lt;10,"Basic")</f>
        <v>Premium</v>
      </c>
      <c r="C791">
        <v>11.99</v>
      </c>
      <c r="D791">
        <v>3877</v>
      </c>
      <c r="E791" t="s">
        <v>24</v>
      </c>
      <c r="F791" t="s">
        <v>36</v>
      </c>
      <c r="G791">
        <v>129</v>
      </c>
      <c r="H791" t="s">
        <v>28</v>
      </c>
      <c r="I791">
        <v>1135</v>
      </c>
      <c r="J791">
        <v>3877</v>
      </c>
      <c r="K791" t="s">
        <v>59</v>
      </c>
      <c r="L791" t="s">
        <v>26</v>
      </c>
      <c r="M791">
        <v>527</v>
      </c>
      <c r="N791">
        <v>153</v>
      </c>
      <c r="O791" t="s">
        <v>36</v>
      </c>
      <c r="P791" t="s">
        <v>59</v>
      </c>
      <c r="Q791">
        <v>129</v>
      </c>
      <c r="R791" t="s">
        <v>34</v>
      </c>
      <c r="S791">
        <v>11.99</v>
      </c>
    </row>
    <row r="792" spans="1:19" x14ac:dyDescent="0.3">
      <c r="A792">
        <f>'Raw Data'!D792-'Raw Data'!C792</f>
        <v>22</v>
      </c>
      <c r="B792" s="2" t="str">
        <f>_xlfn.IFS('Raw Data'!E792&gt;10,"Premium",'Raw Data'!E792&lt;10,"Basic")</f>
        <v>Premium</v>
      </c>
      <c r="C792">
        <v>15.99</v>
      </c>
      <c r="D792">
        <v>8768</v>
      </c>
      <c r="E792" t="s">
        <v>43</v>
      </c>
      <c r="F792" t="s">
        <v>36</v>
      </c>
      <c r="G792">
        <v>75</v>
      </c>
      <c r="H792" t="s">
        <v>28</v>
      </c>
      <c r="I792">
        <v>3761</v>
      </c>
      <c r="J792">
        <v>8768</v>
      </c>
      <c r="K792" t="s">
        <v>59</v>
      </c>
      <c r="L792" t="s">
        <v>40</v>
      </c>
      <c r="M792">
        <v>115</v>
      </c>
      <c r="N792">
        <v>122</v>
      </c>
      <c r="O792" t="s">
        <v>36</v>
      </c>
      <c r="P792" t="s">
        <v>59</v>
      </c>
      <c r="Q792">
        <v>75</v>
      </c>
      <c r="R792" t="s">
        <v>27</v>
      </c>
      <c r="S792">
        <v>15.99</v>
      </c>
    </row>
    <row r="793" spans="1:19" x14ac:dyDescent="0.3">
      <c r="A793">
        <f>'Raw Data'!D793-'Raw Data'!C793</f>
        <v>63</v>
      </c>
      <c r="B793" s="2" t="str">
        <f>_xlfn.IFS('Raw Data'!E793&gt;10,"Premium",'Raw Data'!E793&lt;10,"Basic")</f>
        <v>Basic</v>
      </c>
      <c r="C793">
        <v>7.99</v>
      </c>
      <c r="D793">
        <v>1420</v>
      </c>
      <c r="E793" t="s">
        <v>46</v>
      </c>
      <c r="F793" t="s">
        <v>68</v>
      </c>
      <c r="G793">
        <v>346</v>
      </c>
      <c r="H793" t="s">
        <v>28</v>
      </c>
      <c r="I793">
        <v>3633</v>
      </c>
      <c r="J793">
        <v>1420</v>
      </c>
      <c r="K793" t="s">
        <v>74</v>
      </c>
      <c r="L793" t="s">
        <v>26</v>
      </c>
      <c r="M793">
        <v>732</v>
      </c>
      <c r="N793">
        <v>144</v>
      </c>
      <c r="O793" t="s">
        <v>68</v>
      </c>
      <c r="P793" t="s">
        <v>74</v>
      </c>
      <c r="Q793">
        <v>346</v>
      </c>
      <c r="R793" t="s">
        <v>67</v>
      </c>
      <c r="S793">
        <v>7.99</v>
      </c>
    </row>
    <row r="794" spans="1:19" x14ac:dyDescent="0.3">
      <c r="A794">
        <f>'Raw Data'!D794-'Raw Data'!C794</f>
        <v>570</v>
      </c>
      <c r="B794" s="2" t="str">
        <f>_xlfn.IFS('Raw Data'!E794&gt;10,"Premium",'Raw Data'!E794&lt;10,"Basic")</f>
        <v>Premium</v>
      </c>
      <c r="C794">
        <v>11.99</v>
      </c>
      <c r="D794">
        <v>2306</v>
      </c>
      <c r="E794" t="s">
        <v>55</v>
      </c>
      <c r="F794" t="s">
        <v>36</v>
      </c>
      <c r="G794">
        <v>480</v>
      </c>
      <c r="H794" t="s">
        <v>28</v>
      </c>
      <c r="I794">
        <v>3308</v>
      </c>
      <c r="J794">
        <v>2306</v>
      </c>
      <c r="K794" t="s">
        <v>39</v>
      </c>
      <c r="L794" t="s">
        <v>49</v>
      </c>
      <c r="M794">
        <v>509</v>
      </c>
      <c r="N794">
        <v>12</v>
      </c>
      <c r="O794" t="s">
        <v>36</v>
      </c>
      <c r="P794" t="s">
        <v>39</v>
      </c>
      <c r="Q794">
        <v>480</v>
      </c>
      <c r="R794" t="s">
        <v>56</v>
      </c>
      <c r="S794">
        <v>11.99</v>
      </c>
    </row>
    <row r="795" spans="1:19" x14ac:dyDescent="0.3">
      <c r="A795">
        <f>'Raw Data'!D795-'Raw Data'!C795</f>
        <v>160</v>
      </c>
      <c r="B795" s="2" t="str">
        <f>_xlfn.IFS('Raw Data'!E795&gt;10,"Premium",'Raw Data'!E795&lt;10,"Basic")</f>
        <v>Premium</v>
      </c>
      <c r="C795">
        <v>11.99</v>
      </c>
      <c r="D795">
        <v>2079</v>
      </c>
      <c r="E795" t="s">
        <v>55</v>
      </c>
      <c r="F795" t="s">
        <v>30</v>
      </c>
      <c r="G795">
        <v>188</v>
      </c>
      <c r="H795" t="s">
        <v>28</v>
      </c>
      <c r="I795">
        <v>1311</v>
      </c>
      <c r="J795">
        <v>2079</v>
      </c>
      <c r="K795" t="s">
        <v>25</v>
      </c>
      <c r="L795" t="s">
        <v>26</v>
      </c>
      <c r="M795">
        <v>655</v>
      </c>
      <c r="N795">
        <v>16</v>
      </c>
      <c r="O795" t="s">
        <v>30</v>
      </c>
      <c r="P795" t="s">
        <v>25</v>
      </c>
      <c r="Q795">
        <v>188</v>
      </c>
      <c r="R795" t="s">
        <v>56</v>
      </c>
      <c r="S795">
        <v>11.99</v>
      </c>
    </row>
    <row r="796" spans="1:19" x14ac:dyDescent="0.3">
      <c r="A796">
        <f>'Raw Data'!D796-'Raw Data'!C796</f>
        <v>280</v>
      </c>
      <c r="B796" s="2" t="str">
        <f>_xlfn.IFS('Raw Data'!E796&gt;10,"Premium",'Raw Data'!E796&lt;10,"Basic")</f>
        <v>Basic</v>
      </c>
      <c r="C796">
        <v>7.99</v>
      </c>
      <c r="D796">
        <v>3554</v>
      </c>
      <c r="E796" t="s">
        <v>33</v>
      </c>
      <c r="F796" t="s">
        <v>36</v>
      </c>
      <c r="G796">
        <v>420</v>
      </c>
      <c r="H796" t="s">
        <v>28</v>
      </c>
      <c r="I796">
        <v>4333</v>
      </c>
      <c r="J796">
        <v>3554</v>
      </c>
      <c r="K796" t="s">
        <v>25</v>
      </c>
      <c r="L796" t="s">
        <v>40</v>
      </c>
      <c r="M796">
        <v>399</v>
      </c>
      <c r="N796">
        <v>45</v>
      </c>
      <c r="O796" t="s">
        <v>36</v>
      </c>
      <c r="P796" t="s">
        <v>25</v>
      </c>
      <c r="Q796">
        <v>420</v>
      </c>
      <c r="R796" t="s">
        <v>67</v>
      </c>
      <c r="S796">
        <v>7.99</v>
      </c>
    </row>
    <row r="797" spans="1:19" x14ac:dyDescent="0.3">
      <c r="A797">
        <f>'Raw Data'!D797-'Raw Data'!C797</f>
        <v>550</v>
      </c>
      <c r="B797" s="2" t="str">
        <f>_xlfn.IFS('Raw Data'!E797&gt;10,"Premium",'Raw Data'!E797&lt;10,"Basic")</f>
        <v>Premium</v>
      </c>
      <c r="C797">
        <v>15.99</v>
      </c>
      <c r="D797">
        <v>7616</v>
      </c>
      <c r="E797" t="s">
        <v>55</v>
      </c>
      <c r="F797" t="s">
        <v>30</v>
      </c>
      <c r="G797">
        <v>204</v>
      </c>
      <c r="H797" t="s">
        <v>28</v>
      </c>
      <c r="I797">
        <v>4575</v>
      </c>
      <c r="J797">
        <v>7616</v>
      </c>
      <c r="K797" t="s">
        <v>63</v>
      </c>
      <c r="L797" t="s">
        <v>40</v>
      </c>
      <c r="M797">
        <v>597</v>
      </c>
      <c r="N797">
        <v>118</v>
      </c>
      <c r="O797" t="s">
        <v>30</v>
      </c>
      <c r="P797" t="s">
        <v>63</v>
      </c>
      <c r="Q797">
        <v>204</v>
      </c>
      <c r="R797" t="s">
        <v>56</v>
      </c>
      <c r="S797">
        <v>15.99</v>
      </c>
    </row>
    <row r="798" spans="1:19" x14ac:dyDescent="0.3">
      <c r="A798">
        <f>'Raw Data'!D798-'Raw Data'!C798</f>
        <v>472</v>
      </c>
      <c r="B798" s="2" t="str">
        <f>_xlfn.IFS('Raw Data'!E798&gt;10,"Premium",'Raw Data'!E798&lt;10,"Basic")</f>
        <v>Premium</v>
      </c>
      <c r="C798">
        <v>15.99</v>
      </c>
      <c r="D798">
        <v>5650</v>
      </c>
      <c r="E798" t="s">
        <v>55</v>
      </c>
      <c r="F798" t="s">
        <v>52</v>
      </c>
      <c r="G798">
        <v>355</v>
      </c>
      <c r="H798" t="s">
        <v>28</v>
      </c>
      <c r="I798">
        <v>2448</v>
      </c>
      <c r="J798">
        <v>5650</v>
      </c>
      <c r="K798" t="s">
        <v>39</v>
      </c>
      <c r="L798" t="s">
        <v>64</v>
      </c>
      <c r="M798">
        <v>358</v>
      </c>
      <c r="N798">
        <v>173</v>
      </c>
      <c r="O798" t="s">
        <v>52</v>
      </c>
      <c r="P798" t="s">
        <v>39</v>
      </c>
      <c r="Q798">
        <v>355</v>
      </c>
      <c r="R798" t="s">
        <v>27</v>
      </c>
      <c r="S798">
        <v>15.99</v>
      </c>
    </row>
    <row r="799" spans="1:19" x14ac:dyDescent="0.3">
      <c r="A799">
        <f>'Raw Data'!D799-'Raw Data'!C799</f>
        <v>105</v>
      </c>
      <c r="B799" s="2" t="str">
        <f>_xlfn.IFS('Raw Data'!E799&gt;10,"Premium",'Raw Data'!E799&lt;10,"Basic")</f>
        <v>Basic</v>
      </c>
      <c r="C799">
        <v>7.99</v>
      </c>
      <c r="D799">
        <v>9385</v>
      </c>
      <c r="E799" t="s">
        <v>33</v>
      </c>
      <c r="F799" t="s">
        <v>68</v>
      </c>
      <c r="G799">
        <v>200</v>
      </c>
      <c r="H799" t="s">
        <v>28</v>
      </c>
      <c r="I799">
        <v>1072</v>
      </c>
      <c r="J799">
        <v>9385</v>
      </c>
      <c r="K799" t="s">
        <v>39</v>
      </c>
      <c r="L799" t="s">
        <v>26</v>
      </c>
      <c r="M799">
        <v>453</v>
      </c>
      <c r="N799">
        <v>172</v>
      </c>
      <c r="O799" t="s">
        <v>68</v>
      </c>
      <c r="P799" t="s">
        <v>39</v>
      </c>
      <c r="Q799">
        <v>200</v>
      </c>
      <c r="R799" t="s">
        <v>56</v>
      </c>
      <c r="S799">
        <v>7.99</v>
      </c>
    </row>
    <row r="800" spans="1:19" x14ac:dyDescent="0.3">
      <c r="A800">
        <f>'Raw Data'!D800-'Raw Data'!C800</f>
        <v>614</v>
      </c>
      <c r="B800" s="2" t="str">
        <f>_xlfn.IFS('Raw Data'!E800&gt;10,"Premium",'Raw Data'!E800&lt;10,"Basic")</f>
        <v>Basic</v>
      </c>
      <c r="C800">
        <v>7.99</v>
      </c>
      <c r="D800">
        <v>2482</v>
      </c>
      <c r="E800" t="s">
        <v>24</v>
      </c>
      <c r="F800" t="s">
        <v>60</v>
      </c>
      <c r="G800">
        <v>178</v>
      </c>
      <c r="H800" t="s">
        <v>28</v>
      </c>
      <c r="I800">
        <v>1784</v>
      </c>
      <c r="J800">
        <v>2482</v>
      </c>
      <c r="K800" t="s">
        <v>48</v>
      </c>
      <c r="L800" t="s">
        <v>49</v>
      </c>
      <c r="M800">
        <v>378</v>
      </c>
      <c r="N800">
        <v>117</v>
      </c>
      <c r="O800" t="s">
        <v>60</v>
      </c>
      <c r="P800" t="s">
        <v>48</v>
      </c>
      <c r="Q800">
        <v>178</v>
      </c>
      <c r="R800" t="s">
        <v>27</v>
      </c>
      <c r="S800">
        <v>7.99</v>
      </c>
    </row>
    <row r="801" spans="1:19" x14ac:dyDescent="0.3">
      <c r="A801">
        <f>'Raw Data'!D801-'Raw Data'!C801</f>
        <v>150</v>
      </c>
      <c r="B801" s="2" t="str">
        <f>_xlfn.IFS('Raw Data'!E801&gt;10,"Premium",'Raw Data'!E801&lt;10,"Basic")</f>
        <v>Premium</v>
      </c>
      <c r="C801">
        <v>11.99</v>
      </c>
      <c r="D801">
        <v>9017</v>
      </c>
      <c r="E801" t="s">
        <v>46</v>
      </c>
      <c r="F801" t="s">
        <v>30</v>
      </c>
      <c r="G801">
        <v>337</v>
      </c>
      <c r="H801" t="s">
        <v>28</v>
      </c>
      <c r="I801">
        <v>3787</v>
      </c>
      <c r="J801">
        <v>9017</v>
      </c>
      <c r="K801" t="s">
        <v>48</v>
      </c>
      <c r="L801" t="s">
        <v>49</v>
      </c>
      <c r="M801">
        <v>750</v>
      </c>
      <c r="N801">
        <v>146</v>
      </c>
      <c r="O801" t="s">
        <v>30</v>
      </c>
      <c r="P801" t="s">
        <v>48</v>
      </c>
      <c r="Q801">
        <v>337</v>
      </c>
      <c r="R801" t="s">
        <v>56</v>
      </c>
      <c r="S801">
        <v>11.99</v>
      </c>
    </row>
    <row r="802" spans="1:19" x14ac:dyDescent="0.3">
      <c r="A802">
        <f>'Raw Data'!D802-'Raw Data'!C802</f>
        <v>480</v>
      </c>
      <c r="B802" s="2" t="str">
        <f>_xlfn.IFS('Raw Data'!E802&gt;10,"Premium",'Raw Data'!E802&lt;10,"Basic")</f>
        <v>Premium</v>
      </c>
      <c r="C802">
        <v>11.99</v>
      </c>
      <c r="D802">
        <v>7001</v>
      </c>
      <c r="E802" t="s">
        <v>33</v>
      </c>
      <c r="F802" t="s">
        <v>52</v>
      </c>
      <c r="G802">
        <v>24</v>
      </c>
      <c r="H802" t="s">
        <v>28</v>
      </c>
      <c r="I802">
        <v>4477</v>
      </c>
      <c r="J802">
        <v>7001</v>
      </c>
      <c r="K802" t="s">
        <v>44</v>
      </c>
      <c r="L802" t="s">
        <v>64</v>
      </c>
      <c r="M802">
        <v>30</v>
      </c>
      <c r="N802">
        <v>20</v>
      </c>
      <c r="O802" t="s">
        <v>52</v>
      </c>
      <c r="P802" t="s">
        <v>44</v>
      </c>
      <c r="Q802">
        <v>24</v>
      </c>
      <c r="R802" t="s">
        <v>27</v>
      </c>
      <c r="S802">
        <v>11.99</v>
      </c>
    </row>
    <row r="803" spans="1:19" x14ac:dyDescent="0.3">
      <c r="A803">
        <f>'Raw Data'!D803-'Raw Data'!C803</f>
        <v>660</v>
      </c>
      <c r="B803" s="2" t="str">
        <f>_xlfn.IFS('Raw Data'!E803&gt;10,"Premium",'Raw Data'!E803&lt;10,"Basic")</f>
        <v>Premium</v>
      </c>
      <c r="C803">
        <v>11.99</v>
      </c>
      <c r="D803">
        <v>2942</v>
      </c>
      <c r="E803" t="s">
        <v>43</v>
      </c>
      <c r="F803" t="s">
        <v>30</v>
      </c>
      <c r="G803">
        <v>167</v>
      </c>
      <c r="H803" t="s">
        <v>28</v>
      </c>
      <c r="I803">
        <v>711</v>
      </c>
      <c r="J803">
        <v>2942</v>
      </c>
      <c r="K803" t="s">
        <v>44</v>
      </c>
      <c r="L803" t="s">
        <v>49</v>
      </c>
      <c r="M803">
        <v>127</v>
      </c>
      <c r="N803">
        <v>138</v>
      </c>
      <c r="O803" t="s">
        <v>30</v>
      </c>
      <c r="P803" t="s">
        <v>44</v>
      </c>
      <c r="Q803">
        <v>167</v>
      </c>
      <c r="R803" t="s">
        <v>41</v>
      </c>
      <c r="S803">
        <v>11.99</v>
      </c>
    </row>
    <row r="804" spans="1:19" x14ac:dyDescent="0.3">
      <c r="A804">
        <f>'Raw Data'!D804-'Raw Data'!C804</f>
        <v>187</v>
      </c>
      <c r="B804" s="2" t="str">
        <f>_xlfn.IFS('Raw Data'!E804&gt;10,"Premium",'Raw Data'!E804&lt;10,"Basic")</f>
        <v>Basic</v>
      </c>
      <c r="C804">
        <v>7.99</v>
      </c>
      <c r="D804">
        <v>8833</v>
      </c>
      <c r="E804" t="s">
        <v>33</v>
      </c>
      <c r="F804" t="s">
        <v>68</v>
      </c>
      <c r="G804">
        <v>289</v>
      </c>
      <c r="H804" t="s">
        <v>28</v>
      </c>
      <c r="I804">
        <v>3711</v>
      </c>
      <c r="J804">
        <v>8833</v>
      </c>
      <c r="K804" t="s">
        <v>74</v>
      </c>
      <c r="L804" t="s">
        <v>26</v>
      </c>
      <c r="M804">
        <v>216</v>
      </c>
      <c r="N804">
        <v>162</v>
      </c>
      <c r="O804" t="s">
        <v>68</v>
      </c>
      <c r="P804" t="s">
        <v>74</v>
      </c>
      <c r="Q804">
        <v>289</v>
      </c>
      <c r="R804" t="s">
        <v>27</v>
      </c>
      <c r="S804">
        <v>7.99</v>
      </c>
    </row>
    <row r="805" spans="1:19" x14ac:dyDescent="0.3">
      <c r="A805">
        <f>'Raw Data'!D805-'Raw Data'!C805</f>
        <v>525</v>
      </c>
      <c r="B805" s="2" t="str">
        <f>_xlfn.IFS('Raw Data'!E805&gt;10,"Premium",'Raw Data'!E805&lt;10,"Basic")</f>
        <v>Basic</v>
      </c>
      <c r="C805">
        <v>7.99</v>
      </c>
      <c r="D805">
        <v>8079</v>
      </c>
      <c r="E805" t="s">
        <v>24</v>
      </c>
      <c r="F805" t="s">
        <v>30</v>
      </c>
      <c r="G805">
        <v>450</v>
      </c>
      <c r="H805" t="s">
        <v>28</v>
      </c>
      <c r="I805">
        <v>2534</v>
      </c>
      <c r="J805">
        <v>8079</v>
      </c>
      <c r="K805" t="s">
        <v>39</v>
      </c>
      <c r="L805" t="s">
        <v>40</v>
      </c>
      <c r="M805">
        <v>12</v>
      </c>
      <c r="N805">
        <v>133</v>
      </c>
      <c r="O805" t="s">
        <v>30</v>
      </c>
      <c r="P805" t="s">
        <v>39</v>
      </c>
      <c r="Q805">
        <v>450</v>
      </c>
      <c r="R805" t="s">
        <v>27</v>
      </c>
      <c r="S805">
        <v>7.99</v>
      </c>
    </row>
    <row r="806" spans="1:19" x14ac:dyDescent="0.3">
      <c r="A806">
        <f>'Raw Data'!D806-'Raw Data'!C806</f>
        <v>196</v>
      </c>
      <c r="B806" s="2" t="str">
        <f>_xlfn.IFS('Raw Data'!E806&gt;10,"Premium",'Raw Data'!E806&lt;10,"Basic")</f>
        <v>Premium</v>
      </c>
      <c r="C806">
        <v>11.99</v>
      </c>
      <c r="D806">
        <v>3797</v>
      </c>
      <c r="E806" t="s">
        <v>43</v>
      </c>
      <c r="F806" t="s">
        <v>68</v>
      </c>
      <c r="G806">
        <v>165</v>
      </c>
      <c r="H806" t="s">
        <v>28</v>
      </c>
      <c r="I806">
        <v>2624</v>
      </c>
      <c r="J806">
        <v>3797</v>
      </c>
      <c r="K806" t="s">
        <v>25</v>
      </c>
      <c r="L806" t="s">
        <v>64</v>
      </c>
      <c r="M806">
        <v>421</v>
      </c>
      <c r="N806">
        <v>3</v>
      </c>
      <c r="O806" t="s">
        <v>68</v>
      </c>
      <c r="P806" t="s">
        <v>25</v>
      </c>
      <c r="Q806">
        <v>165</v>
      </c>
      <c r="R806" t="s">
        <v>56</v>
      </c>
      <c r="S806">
        <v>11.99</v>
      </c>
    </row>
    <row r="807" spans="1:19" x14ac:dyDescent="0.3">
      <c r="A807">
        <f>'Raw Data'!D807-'Raw Data'!C807</f>
        <v>589</v>
      </c>
      <c r="B807" s="2" t="str">
        <f>_xlfn.IFS('Raw Data'!E807&gt;10,"Premium",'Raw Data'!E807&lt;10,"Basic")</f>
        <v>Premium</v>
      </c>
      <c r="C807">
        <v>15.99</v>
      </c>
      <c r="D807">
        <v>7268</v>
      </c>
      <c r="E807" t="s">
        <v>24</v>
      </c>
      <c r="F807" t="s">
        <v>52</v>
      </c>
      <c r="G807">
        <v>391</v>
      </c>
      <c r="H807" t="s">
        <v>28</v>
      </c>
      <c r="I807">
        <v>3617</v>
      </c>
      <c r="J807">
        <v>7268</v>
      </c>
      <c r="K807" t="s">
        <v>25</v>
      </c>
      <c r="L807" t="s">
        <v>26</v>
      </c>
      <c r="M807">
        <v>988</v>
      </c>
      <c r="N807">
        <v>82</v>
      </c>
      <c r="O807" t="s">
        <v>52</v>
      </c>
      <c r="P807" t="s">
        <v>25</v>
      </c>
      <c r="Q807">
        <v>391</v>
      </c>
      <c r="R807" t="s">
        <v>34</v>
      </c>
      <c r="S807">
        <v>15.99</v>
      </c>
    </row>
    <row r="808" spans="1:19" x14ac:dyDescent="0.3">
      <c r="A808">
        <f>'Raw Data'!D808-'Raw Data'!C808</f>
        <v>132</v>
      </c>
      <c r="B808" s="2" t="str">
        <f>_xlfn.IFS('Raw Data'!E808&gt;10,"Premium",'Raw Data'!E808&lt;10,"Basic")</f>
        <v>Premium</v>
      </c>
      <c r="C808">
        <v>11.99</v>
      </c>
      <c r="D808">
        <v>9803</v>
      </c>
      <c r="E808" t="s">
        <v>33</v>
      </c>
      <c r="F808" t="s">
        <v>36</v>
      </c>
      <c r="G808">
        <v>318</v>
      </c>
      <c r="H808" t="s">
        <v>28</v>
      </c>
      <c r="I808">
        <v>3078</v>
      </c>
      <c r="J808">
        <v>9803</v>
      </c>
      <c r="K808" t="s">
        <v>25</v>
      </c>
      <c r="L808" t="s">
        <v>64</v>
      </c>
      <c r="M808">
        <v>376</v>
      </c>
      <c r="N808">
        <v>44</v>
      </c>
      <c r="O808" t="s">
        <v>36</v>
      </c>
      <c r="P808" t="s">
        <v>25</v>
      </c>
      <c r="Q808">
        <v>318</v>
      </c>
      <c r="R808" t="s">
        <v>41</v>
      </c>
      <c r="S808">
        <v>11.99</v>
      </c>
    </row>
    <row r="809" spans="1:19" x14ac:dyDescent="0.3">
      <c r="A809">
        <f>'Raw Data'!D809-'Raw Data'!C809</f>
        <v>160</v>
      </c>
      <c r="B809" s="2" t="str">
        <f>_xlfn.IFS('Raw Data'!E809&gt;10,"Premium",'Raw Data'!E809&lt;10,"Basic")</f>
        <v>Premium</v>
      </c>
      <c r="C809">
        <v>15.99</v>
      </c>
      <c r="D809">
        <v>2165</v>
      </c>
      <c r="E809" t="s">
        <v>46</v>
      </c>
      <c r="F809" t="s">
        <v>30</v>
      </c>
      <c r="G809">
        <v>157</v>
      </c>
      <c r="H809" t="s">
        <v>28</v>
      </c>
      <c r="I809">
        <v>164</v>
      </c>
      <c r="J809">
        <v>2165</v>
      </c>
      <c r="K809" t="s">
        <v>59</v>
      </c>
      <c r="L809" t="s">
        <v>26</v>
      </c>
      <c r="M809">
        <v>542</v>
      </c>
      <c r="N809">
        <v>80</v>
      </c>
      <c r="O809" t="s">
        <v>30</v>
      </c>
      <c r="P809" t="s">
        <v>59</v>
      </c>
      <c r="Q809">
        <v>157</v>
      </c>
      <c r="R809" t="s">
        <v>56</v>
      </c>
      <c r="S809">
        <v>15.99</v>
      </c>
    </row>
    <row r="810" spans="1:19" x14ac:dyDescent="0.3">
      <c r="A810">
        <f>'Raw Data'!D810-'Raw Data'!C810</f>
        <v>679</v>
      </c>
      <c r="B810" s="2" t="str">
        <f>_xlfn.IFS('Raw Data'!E810&gt;10,"Premium",'Raw Data'!E810&lt;10,"Basic")</f>
        <v>Premium</v>
      </c>
      <c r="C810">
        <v>11.99</v>
      </c>
      <c r="D810">
        <v>1528</v>
      </c>
      <c r="E810" t="s">
        <v>33</v>
      </c>
      <c r="F810" t="s">
        <v>52</v>
      </c>
      <c r="G810">
        <v>25</v>
      </c>
      <c r="H810" t="s">
        <v>28</v>
      </c>
      <c r="I810">
        <v>2805</v>
      </c>
      <c r="J810">
        <v>1528</v>
      </c>
      <c r="K810" t="s">
        <v>44</v>
      </c>
      <c r="L810" t="s">
        <v>40</v>
      </c>
      <c r="M810">
        <v>232</v>
      </c>
      <c r="N810">
        <v>196</v>
      </c>
      <c r="O810" t="s">
        <v>52</v>
      </c>
      <c r="P810" t="s">
        <v>44</v>
      </c>
      <c r="Q810">
        <v>25</v>
      </c>
      <c r="R810" t="s">
        <v>50</v>
      </c>
      <c r="S810">
        <v>11.99</v>
      </c>
    </row>
    <row r="811" spans="1:19" x14ac:dyDescent="0.3">
      <c r="A811">
        <f>'Raw Data'!D811-'Raw Data'!C811</f>
        <v>607</v>
      </c>
      <c r="B811" s="2" t="str">
        <f>_xlfn.IFS('Raw Data'!E811&gt;10,"Premium",'Raw Data'!E811&lt;10,"Basic")</f>
        <v>Premium</v>
      </c>
      <c r="C811">
        <v>11.99</v>
      </c>
      <c r="D811">
        <v>5978</v>
      </c>
      <c r="E811" t="s">
        <v>33</v>
      </c>
      <c r="F811" t="s">
        <v>36</v>
      </c>
      <c r="G811">
        <v>112</v>
      </c>
      <c r="H811" t="s">
        <v>28</v>
      </c>
      <c r="I811">
        <v>3848</v>
      </c>
      <c r="J811">
        <v>5978</v>
      </c>
      <c r="K811" t="s">
        <v>44</v>
      </c>
      <c r="L811" t="s">
        <v>26</v>
      </c>
      <c r="M811">
        <v>505</v>
      </c>
      <c r="N811">
        <v>118</v>
      </c>
      <c r="O811" t="s">
        <v>36</v>
      </c>
      <c r="P811" t="s">
        <v>44</v>
      </c>
      <c r="Q811">
        <v>112</v>
      </c>
      <c r="R811" t="s">
        <v>56</v>
      </c>
      <c r="S811">
        <v>11.99</v>
      </c>
    </row>
    <row r="812" spans="1:19" x14ac:dyDescent="0.3">
      <c r="A812">
        <f>'Raw Data'!D812-'Raw Data'!C812</f>
        <v>582</v>
      </c>
      <c r="B812" s="2" t="str">
        <f>_xlfn.IFS('Raw Data'!E812&gt;10,"Premium",'Raw Data'!E812&lt;10,"Basic")</f>
        <v>Premium</v>
      </c>
      <c r="C812">
        <v>11.99</v>
      </c>
      <c r="D812">
        <v>5967</v>
      </c>
      <c r="E812" t="s">
        <v>24</v>
      </c>
      <c r="F812" t="s">
        <v>36</v>
      </c>
      <c r="G812">
        <v>479</v>
      </c>
      <c r="H812" t="s">
        <v>28</v>
      </c>
      <c r="I812">
        <v>836</v>
      </c>
      <c r="J812">
        <v>5967</v>
      </c>
      <c r="K812" t="s">
        <v>59</v>
      </c>
      <c r="L812" t="s">
        <v>64</v>
      </c>
      <c r="M812">
        <v>394</v>
      </c>
      <c r="N812">
        <v>35</v>
      </c>
      <c r="O812" t="s">
        <v>36</v>
      </c>
      <c r="P812" t="s">
        <v>59</v>
      </c>
      <c r="Q812">
        <v>479</v>
      </c>
      <c r="R812" t="s">
        <v>41</v>
      </c>
      <c r="S812">
        <v>11.99</v>
      </c>
    </row>
    <row r="813" spans="1:19" x14ac:dyDescent="0.3">
      <c r="A813">
        <f>'Raw Data'!D813-'Raw Data'!C813</f>
        <v>506</v>
      </c>
      <c r="B813" s="2" t="str">
        <f>_xlfn.IFS('Raw Data'!E813&gt;10,"Premium",'Raw Data'!E813&lt;10,"Basic")</f>
        <v>Premium</v>
      </c>
      <c r="C813">
        <v>11.99</v>
      </c>
      <c r="D813">
        <v>4254</v>
      </c>
      <c r="E813" t="s">
        <v>79</v>
      </c>
      <c r="F813" t="s">
        <v>52</v>
      </c>
      <c r="G813">
        <v>233</v>
      </c>
      <c r="H813" t="s">
        <v>28</v>
      </c>
      <c r="I813">
        <v>2761</v>
      </c>
      <c r="J813">
        <v>4254</v>
      </c>
      <c r="K813" t="s">
        <v>48</v>
      </c>
      <c r="L813" t="s">
        <v>26</v>
      </c>
      <c r="M813">
        <v>769</v>
      </c>
      <c r="N813">
        <v>132</v>
      </c>
      <c r="O813" t="s">
        <v>52</v>
      </c>
      <c r="P813" t="s">
        <v>48</v>
      </c>
      <c r="Q813">
        <v>233</v>
      </c>
      <c r="R813" t="s">
        <v>27</v>
      </c>
      <c r="S813">
        <v>11.99</v>
      </c>
    </row>
    <row r="814" spans="1:19" x14ac:dyDescent="0.3">
      <c r="A814">
        <f>'Raw Data'!D814-'Raw Data'!C814</f>
        <v>21</v>
      </c>
      <c r="B814" s="2" t="str">
        <f>_xlfn.IFS('Raw Data'!E814&gt;10,"Premium",'Raw Data'!E814&lt;10,"Basic")</f>
        <v>Basic</v>
      </c>
      <c r="C814">
        <v>7.99</v>
      </c>
      <c r="D814">
        <v>2186</v>
      </c>
      <c r="E814" t="s">
        <v>33</v>
      </c>
      <c r="F814" t="s">
        <v>30</v>
      </c>
      <c r="G814">
        <v>44</v>
      </c>
      <c r="H814" t="s">
        <v>28</v>
      </c>
      <c r="I814">
        <v>4633</v>
      </c>
      <c r="J814">
        <v>2186</v>
      </c>
      <c r="K814" t="s">
        <v>48</v>
      </c>
      <c r="L814" t="s">
        <v>40</v>
      </c>
      <c r="M814">
        <v>89</v>
      </c>
      <c r="N814">
        <v>90</v>
      </c>
      <c r="O814" t="s">
        <v>30</v>
      </c>
      <c r="P814" t="s">
        <v>48</v>
      </c>
      <c r="Q814">
        <v>44</v>
      </c>
      <c r="R814" t="s">
        <v>67</v>
      </c>
      <c r="S814">
        <v>7.99</v>
      </c>
    </row>
    <row r="815" spans="1:19" x14ac:dyDescent="0.3">
      <c r="A815">
        <f>'Raw Data'!D815-'Raw Data'!C815</f>
        <v>7</v>
      </c>
      <c r="B815" s="2" t="str">
        <f>_xlfn.IFS('Raw Data'!E815&gt;10,"Premium",'Raw Data'!E815&lt;10,"Basic")</f>
        <v>Premium</v>
      </c>
      <c r="C815">
        <v>15.99</v>
      </c>
      <c r="D815">
        <v>7644</v>
      </c>
      <c r="E815" t="s">
        <v>24</v>
      </c>
      <c r="F815" t="s">
        <v>52</v>
      </c>
      <c r="G815">
        <v>456</v>
      </c>
      <c r="H815" t="s">
        <v>28</v>
      </c>
      <c r="I815">
        <v>4260</v>
      </c>
      <c r="J815">
        <v>7644</v>
      </c>
      <c r="K815" t="s">
        <v>39</v>
      </c>
      <c r="L815" t="s">
        <v>49</v>
      </c>
      <c r="M815">
        <v>240</v>
      </c>
      <c r="N815">
        <v>83</v>
      </c>
      <c r="O815" t="s">
        <v>52</v>
      </c>
      <c r="P815" t="s">
        <v>39</v>
      </c>
      <c r="Q815">
        <v>456</v>
      </c>
      <c r="R815" t="s">
        <v>27</v>
      </c>
      <c r="S815">
        <v>15.99</v>
      </c>
    </row>
    <row r="816" spans="1:19" x14ac:dyDescent="0.3">
      <c r="A816">
        <f>'Raw Data'!D816-'Raw Data'!C816</f>
        <v>451</v>
      </c>
      <c r="B816" s="2" t="str">
        <f>_xlfn.IFS('Raw Data'!E816&gt;10,"Premium",'Raw Data'!E816&lt;10,"Basic")</f>
        <v>Basic</v>
      </c>
      <c r="C816">
        <v>7.99</v>
      </c>
      <c r="D816">
        <v>5897</v>
      </c>
      <c r="E816" t="s">
        <v>33</v>
      </c>
      <c r="F816" t="s">
        <v>52</v>
      </c>
      <c r="G816">
        <v>486</v>
      </c>
      <c r="H816" t="s">
        <v>28</v>
      </c>
      <c r="I816">
        <v>447</v>
      </c>
      <c r="J816">
        <v>5897</v>
      </c>
      <c r="K816" t="s">
        <v>63</v>
      </c>
      <c r="L816" t="s">
        <v>49</v>
      </c>
      <c r="M816">
        <v>181</v>
      </c>
      <c r="N816">
        <v>15</v>
      </c>
      <c r="O816" t="s">
        <v>52</v>
      </c>
      <c r="P816" t="s">
        <v>63</v>
      </c>
      <c r="Q816">
        <v>486</v>
      </c>
      <c r="R816" t="s">
        <v>34</v>
      </c>
      <c r="S816">
        <v>7.99</v>
      </c>
    </row>
    <row r="817" spans="1:19" x14ac:dyDescent="0.3">
      <c r="A817">
        <f>'Raw Data'!D817-'Raw Data'!C817</f>
        <v>20</v>
      </c>
      <c r="B817" s="2" t="str">
        <f>_xlfn.IFS('Raw Data'!E817&gt;10,"Premium",'Raw Data'!E817&lt;10,"Basic")</f>
        <v>Premium</v>
      </c>
      <c r="C817">
        <v>11.99</v>
      </c>
      <c r="D817">
        <v>7465</v>
      </c>
      <c r="E817" t="s">
        <v>24</v>
      </c>
      <c r="F817" t="s">
        <v>52</v>
      </c>
      <c r="G817">
        <v>308</v>
      </c>
      <c r="H817" t="s">
        <v>28</v>
      </c>
      <c r="I817">
        <v>1298</v>
      </c>
      <c r="J817">
        <v>7465</v>
      </c>
      <c r="K817" t="s">
        <v>59</v>
      </c>
      <c r="L817" t="s">
        <v>49</v>
      </c>
      <c r="M817">
        <v>284</v>
      </c>
      <c r="N817">
        <v>81</v>
      </c>
      <c r="O817" t="s">
        <v>52</v>
      </c>
      <c r="P817" t="s">
        <v>59</v>
      </c>
      <c r="Q817">
        <v>308</v>
      </c>
      <c r="R817" t="s">
        <v>50</v>
      </c>
      <c r="S817">
        <v>11.99</v>
      </c>
    </row>
    <row r="818" spans="1:19" x14ac:dyDescent="0.3">
      <c r="A818">
        <f>'Raw Data'!D818-'Raw Data'!C818</f>
        <v>157</v>
      </c>
      <c r="B818" s="2" t="str">
        <f>_xlfn.IFS('Raw Data'!E818&gt;10,"Premium",'Raw Data'!E818&lt;10,"Basic")</f>
        <v>Basic</v>
      </c>
      <c r="C818">
        <v>7.99</v>
      </c>
      <c r="D818">
        <v>3724</v>
      </c>
      <c r="E818" t="s">
        <v>79</v>
      </c>
      <c r="F818" t="s">
        <v>60</v>
      </c>
      <c r="G818">
        <v>161</v>
      </c>
      <c r="H818" t="s">
        <v>28</v>
      </c>
      <c r="I818">
        <v>3445</v>
      </c>
      <c r="J818">
        <v>3724</v>
      </c>
      <c r="K818" t="s">
        <v>39</v>
      </c>
      <c r="L818" t="s">
        <v>26</v>
      </c>
      <c r="M818">
        <v>698</v>
      </c>
      <c r="N818">
        <v>77</v>
      </c>
      <c r="O818" t="s">
        <v>60</v>
      </c>
      <c r="P818" t="s">
        <v>39</v>
      </c>
      <c r="Q818">
        <v>161</v>
      </c>
      <c r="R818" t="s">
        <v>50</v>
      </c>
      <c r="S818">
        <v>7.99</v>
      </c>
    </row>
    <row r="819" spans="1:19" x14ac:dyDescent="0.3">
      <c r="A819">
        <f>'Raw Data'!D819-'Raw Data'!C819</f>
        <v>526</v>
      </c>
      <c r="B819" s="2" t="str">
        <f>_xlfn.IFS('Raw Data'!E819&gt;10,"Premium",'Raw Data'!E819&lt;10,"Basic")</f>
        <v>Premium</v>
      </c>
      <c r="C819">
        <v>15.99</v>
      </c>
      <c r="D819">
        <v>2914</v>
      </c>
      <c r="E819" t="s">
        <v>62</v>
      </c>
      <c r="F819" t="s">
        <v>68</v>
      </c>
      <c r="G819">
        <v>316</v>
      </c>
      <c r="H819" t="s">
        <v>28</v>
      </c>
      <c r="I819">
        <v>3039</v>
      </c>
      <c r="J819">
        <v>2914</v>
      </c>
      <c r="K819" t="s">
        <v>39</v>
      </c>
      <c r="L819" t="s">
        <v>49</v>
      </c>
      <c r="M819">
        <v>734</v>
      </c>
      <c r="N819">
        <v>21</v>
      </c>
      <c r="O819" t="s">
        <v>68</v>
      </c>
      <c r="P819" t="s">
        <v>39</v>
      </c>
      <c r="Q819">
        <v>316</v>
      </c>
      <c r="R819" t="s">
        <v>27</v>
      </c>
      <c r="S819">
        <v>15.99</v>
      </c>
    </row>
    <row r="820" spans="1:19" x14ac:dyDescent="0.3">
      <c r="A820">
        <f>'Raw Data'!D820-'Raw Data'!C820</f>
        <v>304</v>
      </c>
      <c r="B820" s="2" t="str">
        <f>_xlfn.IFS('Raw Data'!E820&gt;10,"Premium",'Raw Data'!E820&lt;10,"Basic")</f>
        <v>Premium</v>
      </c>
      <c r="C820">
        <v>11.99</v>
      </c>
      <c r="D820">
        <v>4110</v>
      </c>
      <c r="E820" t="s">
        <v>33</v>
      </c>
      <c r="F820" t="s">
        <v>60</v>
      </c>
      <c r="G820">
        <v>133</v>
      </c>
      <c r="H820" t="s">
        <v>28</v>
      </c>
      <c r="I820">
        <v>3815</v>
      </c>
      <c r="J820">
        <v>4110</v>
      </c>
      <c r="K820" t="s">
        <v>44</v>
      </c>
      <c r="L820" t="s">
        <v>26</v>
      </c>
      <c r="M820">
        <v>951</v>
      </c>
      <c r="N820">
        <v>86</v>
      </c>
      <c r="O820" t="s">
        <v>60</v>
      </c>
      <c r="P820" t="s">
        <v>44</v>
      </c>
      <c r="Q820">
        <v>133</v>
      </c>
      <c r="R820" t="s">
        <v>34</v>
      </c>
      <c r="S820">
        <v>11.99</v>
      </c>
    </row>
    <row r="821" spans="1:19" x14ac:dyDescent="0.3">
      <c r="A821">
        <f>'Raw Data'!D821-'Raw Data'!C821</f>
        <v>186</v>
      </c>
      <c r="B821" s="2" t="str">
        <f>_xlfn.IFS('Raw Data'!E821&gt;10,"Premium",'Raw Data'!E821&lt;10,"Basic")</f>
        <v>Premium</v>
      </c>
      <c r="C821">
        <v>15.99</v>
      </c>
      <c r="D821">
        <v>6944</v>
      </c>
      <c r="E821" t="s">
        <v>62</v>
      </c>
      <c r="F821" t="s">
        <v>52</v>
      </c>
      <c r="G821">
        <v>270</v>
      </c>
      <c r="H821" t="s">
        <v>28</v>
      </c>
      <c r="I821">
        <v>1135</v>
      </c>
      <c r="J821">
        <v>6944</v>
      </c>
      <c r="K821" t="s">
        <v>44</v>
      </c>
      <c r="L821" t="s">
        <v>49</v>
      </c>
      <c r="M821">
        <v>271</v>
      </c>
      <c r="N821">
        <v>5</v>
      </c>
      <c r="O821" t="s">
        <v>52</v>
      </c>
      <c r="P821" t="s">
        <v>44</v>
      </c>
      <c r="Q821">
        <v>270</v>
      </c>
      <c r="R821" t="s">
        <v>50</v>
      </c>
      <c r="S821">
        <v>15.99</v>
      </c>
    </row>
    <row r="822" spans="1:19" x14ac:dyDescent="0.3">
      <c r="A822">
        <f>'Raw Data'!D822-'Raw Data'!C822</f>
        <v>490</v>
      </c>
      <c r="B822" s="2" t="str">
        <f>_xlfn.IFS('Raw Data'!E822&gt;10,"Premium",'Raw Data'!E822&lt;10,"Basic")</f>
        <v>Premium</v>
      </c>
      <c r="C822">
        <v>11.99</v>
      </c>
      <c r="D822">
        <v>3639</v>
      </c>
      <c r="E822" t="s">
        <v>55</v>
      </c>
      <c r="F822" t="s">
        <v>30</v>
      </c>
      <c r="G822">
        <v>85</v>
      </c>
      <c r="H822" t="s">
        <v>28</v>
      </c>
      <c r="I822">
        <v>2706</v>
      </c>
      <c r="J822">
        <v>3639</v>
      </c>
      <c r="K822" t="s">
        <v>25</v>
      </c>
      <c r="L822" t="s">
        <v>64</v>
      </c>
      <c r="M822">
        <v>851</v>
      </c>
      <c r="N822">
        <v>48</v>
      </c>
      <c r="O822" t="s">
        <v>30</v>
      </c>
      <c r="P822" t="s">
        <v>25</v>
      </c>
      <c r="Q822">
        <v>85</v>
      </c>
      <c r="R822" t="s">
        <v>67</v>
      </c>
      <c r="S822">
        <v>11.99</v>
      </c>
    </row>
    <row r="823" spans="1:19" x14ac:dyDescent="0.3">
      <c r="A823">
        <f>'Raw Data'!D823-'Raw Data'!C823</f>
        <v>581</v>
      </c>
      <c r="B823" s="2" t="str">
        <f>_xlfn.IFS('Raw Data'!E823&gt;10,"Premium",'Raw Data'!E823&lt;10,"Basic")</f>
        <v>Premium</v>
      </c>
      <c r="C823">
        <v>11.99</v>
      </c>
      <c r="D823">
        <v>8416</v>
      </c>
      <c r="E823" t="s">
        <v>33</v>
      </c>
      <c r="F823" t="s">
        <v>52</v>
      </c>
      <c r="G823">
        <v>65</v>
      </c>
      <c r="H823" t="s">
        <v>28</v>
      </c>
      <c r="I823">
        <v>3828</v>
      </c>
      <c r="J823">
        <v>8416</v>
      </c>
      <c r="K823" t="s">
        <v>44</v>
      </c>
      <c r="L823" t="s">
        <v>26</v>
      </c>
      <c r="M823">
        <v>302</v>
      </c>
      <c r="N823">
        <v>6</v>
      </c>
      <c r="O823" t="s">
        <v>52</v>
      </c>
      <c r="P823" t="s">
        <v>44</v>
      </c>
      <c r="Q823">
        <v>65</v>
      </c>
      <c r="R823" t="s">
        <v>27</v>
      </c>
      <c r="S823">
        <v>11.99</v>
      </c>
    </row>
    <row r="824" spans="1:19" x14ac:dyDescent="0.3">
      <c r="A824">
        <f>'Raw Data'!D824-'Raw Data'!C824</f>
        <v>4</v>
      </c>
      <c r="B824" s="2" t="str">
        <f>_xlfn.IFS('Raw Data'!E824&gt;10,"Premium",'Raw Data'!E824&lt;10,"Basic")</f>
        <v>Basic</v>
      </c>
      <c r="C824">
        <v>7.99</v>
      </c>
      <c r="D824">
        <v>7753</v>
      </c>
      <c r="E824" t="s">
        <v>33</v>
      </c>
      <c r="F824" t="s">
        <v>30</v>
      </c>
      <c r="G824">
        <v>393</v>
      </c>
      <c r="H824" t="s">
        <v>28</v>
      </c>
      <c r="I824">
        <v>4409</v>
      </c>
      <c r="J824">
        <v>7753</v>
      </c>
      <c r="K824" t="s">
        <v>25</v>
      </c>
      <c r="L824" t="s">
        <v>49</v>
      </c>
      <c r="M824">
        <v>829</v>
      </c>
      <c r="N824">
        <v>117</v>
      </c>
      <c r="O824" t="s">
        <v>30</v>
      </c>
      <c r="P824" t="s">
        <v>25</v>
      </c>
      <c r="Q824">
        <v>393</v>
      </c>
      <c r="R824" t="s">
        <v>27</v>
      </c>
      <c r="S824">
        <v>7.99</v>
      </c>
    </row>
    <row r="825" spans="1:19" x14ac:dyDescent="0.3">
      <c r="A825">
        <f>'Raw Data'!D825-'Raw Data'!C825</f>
        <v>665</v>
      </c>
      <c r="B825" s="2" t="str">
        <f>_xlfn.IFS('Raw Data'!E825&gt;10,"Premium",'Raw Data'!E825&lt;10,"Basic")</f>
        <v>Premium</v>
      </c>
      <c r="C825">
        <v>11.99</v>
      </c>
      <c r="D825">
        <v>9528</v>
      </c>
      <c r="E825" t="s">
        <v>24</v>
      </c>
      <c r="F825" t="s">
        <v>52</v>
      </c>
      <c r="G825">
        <v>181</v>
      </c>
      <c r="H825" t="s">
        <v>28</v>
      </c>
      <c r="I825">
        <v>433</v>
      </c>
      <c r="J825">
        <v>9528</v>
      </c>
      <c r="K825" t="s">
        <v>25</v>
      </c>
      <c r="L825" t="s">
        <v>40</v>
      </c>
      <c r="M825">
        <v>860</v>
      </c>
      <c r="N825">
        <v>148</v>
      </c>
      <c r="O825" t="s">
        <v>52</v>
      </c>
      <c r="P825" t="s">
        <v>25</v>
      </c>
      <c r="Q825">
        <v>181</v>
      </c>
      <c r="R825" t="s">
        <v>41</v>
      </c>
      <c r="S825">
        <v>11.99</v>
      </c>
    </row>
    <row r="826" spans="1:19" x14ac:dyDescent="0.3">
      <c r="A826">
        <f>'Raw Data'!D826-'Raw Data'!C826</f>
        <v>372</v>
      </c>
      <c r="B826" s="2" t="str">
        <f>_xlfn.IFS('Raw Data'!E826&gt;10,"Premium",'Raw Data'!E826&lt;10,"Basic")</f>
        <v>Premium</v>
      </c>
      <c r="C826">
        <v>11.99</v>
      </c>
      <c r="D826">
        <v>2960</v>
      </c>
      <c r="E826" t="s">
        <v>43</v>
      </c>
      <c r="F826" t="s">
        <v>30</v>
      </c>
      <c r="G826">
        <v>416</v>
      </c>
      <c r="H826" t="s">
        <v>28</v>
      </c>
      <c r="I826">
        <v>2554</v>
      </c>
      <c r="J826">
        <v>2960</v>
      </c>
      <c r="K826" t="s">
        <v>25</v>
      </c>
      <c r="L826" t="s">
        <v>64</v>
      </c>
      <c r="M826">
        <v>964</v>
      </c>
      <c r="N826">
        <v>187</v>
      </c>
      <c r="O826" t="s">
        <v>30</v>
      </c>
      <c r="P826" t="s">
        <v>25</v>
      </c>
      <c r="Q826">
        <v>416</v>
      </c>
      <c r="R826" t="s">
        <v>67</v>
      </c>
      <c r="S826">
        <v>11.99</v>
      </c>
    </row>
    <row r="827" spans="1:19" x14ac:dyDescent="0.3">
      <c r="A827">
        <f>'Raw Data'!D827-'Raw Data'!C827</f>
        <v>196</v>
      </c>
      <c r="B827" s="2" t="str">
        <f>_xlfn.IFS('Raw Data'!E827&gt;10,"Premium",'Raw Data'!E827&lt;10,"Basic")</f>
        <v>Premium</v>
      </c>
      <c r="C827">
        <v>15.99</v>
      </c>
      <c r="D827">
        <v>1090</v>
      </c>
      <c r="E827" t="s">
        <v>43</v>
      </c>
      <c r="F827" t="s">
        <v>36</v>
      </c>
      <c r="G827">
        <v>243</v>
      </c>
      <c r="H827" t="s">
        <v>28</v>
      </c>
      <c r="I827">
        <v>1348</v>
      </c>
      <c r="J827">
        <v>1090</v>
      </c>
      <c r="K827" t="s">
        <v>39</v>
      </c>
      <c r="L827" t="s">
        <v>64</v>
      </c>
      <c r="M827">
        <v>40</v>
      </c>
      <c r="N827">
        <v>52</v>
      </c>
      <c r="O827" t="s">
        <v>36</v>
      </c>
      <c r="P827" t="s">
        <v>39</v>
      </c>
      <c r="Q827">
        <v>243</v>
      </c>
      <c r="R827" t="s">
        <v>56</v>
      </c>
      <c r="S827">
        <v>15.99</v>
      </c>
    </row>
    <row r="828" spans="1:19" x14ac:dyDescent="0.3">
      <c r="A828">
        <f>'Raw Data'!D828-'Raw Data'!C828</f>
        <v>-3</v>
      </c>
      <c r="B828" s="2" t="str">
        <f>_xlfn.IFS('Raw Data'!E828&gt;10,"Premium",'Raw Data'!E828&lt;10,"Basic")</f>
        <v>Premium</v>
      </c>
      <c r="C828">
        <v>11.99</v>
      </c>
      <c r="D828">
        <v>2410</v>
      </c>
      <c r="E828" t="s">
        <v>79</v>
      </c>
      <c r="F828" t="s">
        <v>36</v>
      </c>
      <c r="G828">
        <v>381</v>
      </c>
      <c r="H828" t="s">
        <v>28</v>
      </c>
      <c r="I828">
        <v>1375</v>
      </c>
      <c r="J828">
        <v>2410</v>
      </c>
      <c r="K828" t="s">
        <v>63</v>
      </c>
      <c r="L828" t="s">
        <v>40</v>
      </c>
      <c r="M828">
        <v>568</v>
      </c>
      <c r="N828">
        <v>62</v>
      </c>
      <c r="O828" t="s">
        <v>36</v>
      </c>
      <c r="P828" t="s">
        <v>63</v>
      </c>
      <c r="Q828">
        <v>381</v>
      </c>
      <c r="R828" t="s">
        <v>41</v>
      </c>
      <c r="S828">
        <v>11.99</v>
      </c>
    </row>
    <row r="829" spans="1:19" x14ac:dyDescent="0.3">
      <c r="A829">
        <f>'Raw Data'!D829-'Raw Data'!C829</f>
        <v>434</v>
      </c>
      <c r="B829" s="2" t="str">
        <f>_xlfn.IFS('Raw Data'!E829&gt;10,"Premium",'Raw Data'!E829&lt;10,"Basic")</f>
        <v>Premium</v>
      </c>
      <c r="C829">
        <v>11.99</v>
      </c>
      <c r="D829">
        <v>1575</v>
      </c>
      <c r="E829" t="s">
        <v>62</v>
      </c>
      <c r="F829" t="s">
        <v>60</v>
      </c>
      <c r="G829">
        <v>71</v>
      </c>
      <c r="H829" t="s">
        <v>28</v>
      </c>
      <c r="I829">
        <v>3630</v>
      </c>
      <c r="J829">
        <v>1575</v>
      </c>
      <c r="K829" t="s">
        <v>59</v>
      </c>
      <c r="L829" t="s">
        <v>49</v>
      </c>
      <c r="M829">
        <v>666</v>
      </c>
      <c r="N829">
        <v>100</v>
      </c>
      <c r="O829" t="s">
        <v>60</v>
      </c>
      <c r="P829" t="s">
        <v>59</v>
      </c>
      <c r="Q829">
        <v>71</v>
      </c>
      <c r="R829" t="s">
        <v>41</v>
      </c>
      <c r="S829">
        <v>11.99</v>
      </c>
    </row>
    <row r="830" spans="1:19" x14ac:dyDescent="0.3">
      <c r="A830">
        <f>'Raw Data'!D830-'Raw Data'!C830</f>
        <v>115</v>
      </c>
      <c r="B830" s="2" t="str">
        <f>_xlfn.IFS('Raw Data'!E830&gt;10,"Premium",'Raw Data'!E830&lt;10,"Basic")</f>
        <v>Premium</v>
      </c>
      <c r="C830">
        <v>11.99</v>
      </c>
      <c r="D830">
        <v>9259</v>
      </c>
      <c r="E830" t="s">
        <v>55</v>
      </c>
      <c r="F830" t="s">
        <v>60</v>
      </c>
      <c r="G830">
        <v>219</v>
      </c>
      <c r="H830" t="s">
        <v>28</v>
      </c>
      <c r="I830">
        <v>1457</v>
      </c>
      <c r="J830">
        <v>9259</v>
      </c>
      <c r="K830" t="s">
        <v>74</v>
      </c>
      <c r="L830" t="s">
        <v>64</v>
      </c>
      <c r="M830">
        <v>318</v>
      </c>
      <c r="N830">
        <v>37</v>
      </c>
      <c r="O830" t="s">
        <v>60</v>
      </c>
      <c r="P830" t="s">
        <v>74</v>
      </c>
      <c r="Q830">
        <v>219</v>
      </c>
      <c r="R830" t="s">
        <v>50</v>
      </c>
      <c r="S830">
        <v>11.99</v>
      </c>
    </row>
    <row r="831" spans="1:19" x14ac:dyDescent="0.3">
      <c r="A831">
        <f>'Raw Data'!D831-'Raw Data'!C831</f>
        <v>404</v>
      </c>
      <c r="B831" s="2" t="str">
        <f>_xlfn.IFS('Raw Data'!E831&gt;10,"Premium",'Raw Data'!E831&lt;10,"Basic")</f>
        <v>Premium</v>
      </c>
      <c r="C831">
        <v>15.99</v>
      </c>
      <c r="D831">
        <v>2170</v>
      </c>
      <c r="E831" t="s">
        <v>24</v>
      </c>
      <c r="F831" t="s">
        <v>52</v>
      </c>
      <c r="G831">
        <v>335</v>
      </c>
      <c r="H831" t="s">
        <v>28</v>
      </c>
      <c r="I831">
        <v>3332</v>
      </c>
      <c r="J831">
        <v>2170</v>
      </c>
      <c r="K831" t="s">
        <v>39</v>
      </c>
      <c r="L831" t="s">
        <v>26</v>
      </c>
      <c r="M831">
        <v>609</v>
      </c>
      <c r="N831">
        <v>181</v>
      </c>
      <c r="O831" t="s">
        <v>52</v>
      </c>
      <c r="P831" t="s">
        <v>39</v>
      </c>
      <c r="Q831">
        <v>335</v>
      </c>
      <c r="R831" t="s">
        <v>27</v>
      </c>
      <c r="S831">
        <v>15.99</v>
      </c>
    </row>
    <row r="832" spans="1:19" x14ac:dyDescent="0.3">
      <c r="A832">
        <f>'Raw Data'!D832-'Raw Data'!C832</f>
        <v>559</v>
      </c>
      <c r="B832" s="2" t="str">
        <f>_xlfn.IFS('Raw Data'!E832&gt;10,"Premium",'Raw Data'!E832&lt;10,"Basic")</f>
        <v>Basic</v>
      </c>
      <c r="C832">
        <v>7.99</v>
      </c>
      <c r="D832">
        <v>2237</v>
      </c>
      <c r="E832" t="s">
        <v>62</v>
      </c>
      <c r="F832" t="s">
        <v>30</v>
      </c>
      <c r="G832">
        <v>435</v>
      </c>
      <c r="H832" t="s">
        <v>28</v>
      </c>
      <c r="I832">
        <v>3815</v>
      </c>
      <c r="J832">
        <v>2237</v>
      </c>
      <c r="K832" t="s">
        <v>48</v>
      </c>
      <c r="L832" t="s">
        <v>26</v>
      </c>
      <c r="M832">
        <v>163</v>
      </c>
      <c r="N832">
        <v>69</v>
      </c>
      <c r="O832" t="s">
        <v>30</v>
      </c>
      <c r="P832" t="s">
        <v>48</v>
      </c>
      <c r="Q832">
        <v>435</v>
      </c>
      <c r="R832" t="s">
        <v>34</v>
      </c>
      <c r="S832">
        <v>7.99</v>
      </c>
    </row>
    <row r="833" spans="1:19" x14ac:dyDescent="0.3">
      <c r="A833">
        <f>'Raw Data'!D833-'Raw Data'!C833</f>
        <v>213</v>
      </c>
      <c r="B833" s="2" t="str">
        <f>_xlfn.IFS('Raw Data'!E833&gt;10,"Premium",'Raw Data'!E833&lt;10,"Basic")</f>
        <v>Premium</v>
      </c>
      <c r="C833">
        <v>15.99</v>
      </c>
      <c r="D833">
        <v>2697</v>
      </c>
      <c r="E833" t="s">
        <v>33</v>
      </c>
      <c r="F833" t="s">
        <v>68</v>
      </c>
      <c r="G833">
        <v>423</v>
      </c>
      <c r="H833" t="s">
        <v>28</v>
      </c>
      <c r="I833">
        <v>3859</v>
      </c>
      <c r="J833">
        <v>2697</v>
      </c>
      <c r="K833" t="s">
        <v>25</v>
      </c>
      <c r="L833" t="s">
        <v>40</v>
      </c>
      <c r="M833">
        <v>648</v>
      </c>
      <c r="N833">
        <v>46</v>
      </c>
      <c r="O833" t="s">
        <v>68</v>
      </c>
      <c r="P833" t="s">
        <v>25</v>
      </c>
      <c r="Q833">
        <v>423</v>
      </c>
      <c r="R833" t="s">
        <v>50</v>
      </c>
      <c r="S833">
        <v>15.99</v>
      </c>
    </row>
    <row r="834" spans="1:19" x14ac:dyDescent="0.3">
      <c r="A834">
        <f>'Raw Data'!D834-'Raw Data'!C834</f>
        <v>557</v>
      </c>
      <c r="B834" s="2" t="str">
        <f>_xlfn.IFS('Raw Data'!E834&gt;10,"Premium",'Raw Data'!E834&lt;10,"Basic")</f>
        <v>Basic</v>
      </c>
      <c r="C834">
        <v>7.99</v>
      </c>
      <c r="D834">
        <v>4488</v>
      </c>
      <c r="E834" t="s">
        <v>79</v>
      </c>
      <c r="F834" t="s">
        <v>36</v>
      </c>
      <c r="G834">
        <v>304</v>
      </c>
      <c r="H834" t="s">
        <v>28</v>
      </c>
      <c r="I834">
        <v>3923</v>
      </c>
      <c r="J834">
        <v>4488</v>
      </c>
      <c r="K834" t="s">
        <v>39</v>
      </c>
      <c r="L834" t="s">
        <v>26</v>
      </c>
      <c r="M834">
        <v>975</v>
      </c>
      <c r="N834">
        <v>10</v>
      </c>
      <c r="O834" t="s">
        <v>36</v>
      </c>
      <c r="P834" t="s">
        <v>39</v>
      </c>
      <c r="Q834">
        <v>304</v>
      </c>
      <c r="R834" t="s">
        <v>56</v>
      </c>
      <c r="S834">
        <v>7.99</v>
      </c>
    </row>
    <row r="835" spans="1:19" x14ac:dyDescent="0.3">
      <c r="A835">
        <f>'Raw Data'!D835-'Raw Data'!C835</f>
        <v>297</v>
      </c>
      <c r="B835" s="2" t="str">
        <f>_xlfn.IFS('Raw Data'!E835&gt;10,"Premium",'Raw Data'!E835&lt;10,"Basic")</f>
        <v>Premium</v>
      </c>
      <c r="C835">
        <v>11.99</v>
      </c>
      <c r="D835">
        <v>5291</v>
      </c>
      <c r="E835" t="s">
        <v>33</v>
      </c>
      <c r="F835" t="s">
        <v>52</v>
      </c>
      <c r="G835">
        <v>455</v>
      </c>
      <c r="H835" t="s">
        <v>28</v>
      </c>
      <c r="I835">
        <v>4486</v>
      </c>
      <c r="J835">
        <v>5291</v>
      </c>
      <c r="K835" t="s">
        <v>63</v>
      </c>
      <c r="L835" t="s">
        <v>40</v>
      </c>
      <c r="M835">
        <v>15</v>
      </c>
      <c r="N835">
        <v>36</v>
      </c>
      <c r="O835" t="s">
        <v>52</v>
      </c>
      <c r="P835" t="s">
        <v>63</v>
      </c>
      <c r="Q835">
        <v>455</v>
      </c>
      <c r="R835" t="s">
        <v>56</v>
      </c>
      <c r="S835">
        <v>11.99</v>
      </c>
    </row>
    <row r="836" spans="1:19" x14ac:dyDescent="0.3">
      <c r="A836">
        <f>'Raw Data'!D836-'Raw Data'!C836</f>
        <v>581</v>
      </c>
      <c r="B836" s="2" t="str">
        <f>_xlfn.IFS('Raw Data'!E836&gt;10,"Premium",'Raw Data'!E836&lt;10,"Basic")</f>
        <v>Premium</v>
      </c>
      <c r="C836">
        <v>11.99</v>
      </c>
      <c r="D836">
        <v>6287</v>
      </c>
      <c r="E836" t="s">
        <v>46</v>
      </c>
      <c r="F836" t="s">
        <v>36</v>
      </c>
      <c r="G836">
        <v>449</v>
      </c>
      <c r="H836" t="s">
        <v>28</v>
      </c>
      <c r="I836">
        <v>993</v>
      </c>
      <c r="J836">
        <v>6287</v>
      </c>
      <c r="K836" t="s">
        <v>39</v>
      </c>
      <c r="L836" t="s">
        <v>40</v>
      </c>
      <c r="M836">
        <v>268</v>
      </c>
      <c r="N836">
        <v>11</v>
      </c>
      <c r="O836" t="s">
        <v>36</v>
      </c>
      <c r="P836" t="s">
        <v>39</v>
      </c>
      <c r="Q836">
        <v>449</v>
      </c>
      <c r="R836" t="s">
        <v>56</v>
      </c>
      <c r="S836">
        <v>11.99</v>
      </c>
    </row>
    <row r="837" spans="1:19" x14ac:dyDescent="0.3">
      <c r="A837">
        <f>'Raw Data'!D837-'Raw Data'!C837</f>
        <v>380</v>
      </c>
      <c r="B837" s="2" t="str">
        <f>_xlfn.IFS('Raw Data'!E837&gt;10,"Premium",'Raw Data'!E837&lt;10,"Basic")</f>
        <v>Premium</v>
      </c>
      <c r="C837">
        <v>15.99</v>
      </c>
      <c r="D837">
        <v>1953</v>
      </c>
      <c r="E837" t="s">
        <v>33</v>
      </c>
      <c r="F837" t="s">
        <v>36</v>
      </c>
      <c r="G837">
        <v>39</v>
      </c>
      <c r="H837" t="s">
        <v>28</v>
      </c>
      <c r="I837">
        <v>631</v>
      </c>
      <c r="J837">
        <v>1953</v>
      </c>
      <c r="K837" t="s">
        <v>63</v>
      </c>
      <c r="L837" t="s">
        <v>49</v>
      </c>
      <c r="M837">
        <v>791</v>
      </c>
      <c r="N837">
        <v>3</v>
      </c>
      <c r="O837" t="s">
        <v>36</v>
      </c>
      <c r="P837" t="s">
        <v>63</v>
      </c>
      <c r="Q837">
        <v>39</v>
      </c>
      <c r="R837" t="s">
        <v>50</v>
      </c>
      <c r="S837">
        <v>15.99</v>
      </c>
    </row>
    <row r="838" spans="1:19" x14ac:dyDescent="0.3">
      <c r="A838">
        <f>'Raw Data'!D838-'Raw Data'!C838</f>
        <v>25</v>
      </c>
      <c r="B838" s="2" t="str">
        <f>_xlfn.IFS('Raw Data'!E838&gt;10,"Premium",'Raw Data'!E838&lt;10,"Basic")</f>
        <v>Premium</v>
      </c>
      <c r="C838">
        <v>15.99</v>
      </c>
      <c r="D838">
        <v>3457</v>
      </c>
      <c r="E838" t="s">
        <v>62</v>
      </c>
      <c r="F838" t="s">
        <v>36</v>
      </c>
      <c r="G838">
        <v>139</v>
      </c>
      <c r="H838" t="s">
        <v>28</v>
      </c>
      <c r="I838">
        <v>214</v>
      </c>
      <c r="J838">
        <v>3457</v>
      </c>
      <c r="K838" t="s">
        <v>59</v>
      </c>
      <c r="L838" t="s">
        <v>40</v>
      </c>
      <c r="M838">
        <v>257</v>
      </c>
      <c r="N838">
        <v>173</v>
      </c>
      <c r="O838" t="s">
        <v>36</v>
      </c>
      <c r="P838" t="s">
        <v>59</v>
      </c>
      <c r="Q838">
        <v>139</v>
      </c>
      <c r="R838" t="s">
        <v>56</v>
      </c>
      <c r="S838">
        <v>15.99</v>
      </c>
    </row>
    <row r="839" spans="1:19" x14ac:dyDescent="0.3">
      <c r="A839">
        <f>'Raw Data'!D839-'Raw Data'!C839</f>
        <v>395</v>
      </c>
      <c r="B839" s="2" t="str">
        <f>_xlfn.IFS('Raw Data'!E839&gt;10,"Premium",'Raw Data'!E839&lt;10,"Basic")</f>
        <v>Basic</v>
      </c>
      <c r="C839">
        <v>7.99</v>
      </c>
      <c r="D839">
        <v>6504</v>
      </c>
      <c r="E839" t="s">
        <v>43</v>
      </c>
      <c r="F839" t="s">
        <v>52</v>
      </c>
      <c r="G839">
        <v>345</v>
      </c>
      <c r="H839" t="s">
        <v>28</v>
      </c>
      <c r="I839">
        <v>2327</v>
      </c>
      <c r="J839">
        <v>6504</v>
      </c>
      <c r="K839" t="s">
        <v>39</v>
      </c>
      <c r="L839" t="s">
        <v>40</v>
      </c>
      <c r="M839">
        <v>767</v>
      </c>
      <c r="N839">
        <v>66</v>
      </c>
      <c r="O839" t="s">
        <v>52</v>
      </c>
      <c r="P839" t="s">
        <v>39</v>
      </c>
      <c r="Q839">
        <v>345</v>
      </c>
      <c r="R839" t="s">
        <v>41</v>
      </c>
      <c r="S839">
        <v>7.99</v>
      </c>
    </row>
    <row r="840" spans="1:19" x14ac:dyDescent="0.3">
      <c r="A840">
        <f>'Raw Data'!D840-'Raw Data'!C840</f>
        <v>448</v>
      </c>
      <c r="B840" s="2" t="str">
        <f>_xlfn.IFS('Raw Data'!E840&gt;10,"Premium",'Raw Data'!E840&lt;10,"Basic")</f>
        <v>Premium</v>
      </c>
      <c r="C840">
        <v>11.99</v>
      </c>
      <c r="D840">
        <v>7463</v>
      </c>
      <c r="E840" t="s">
        <v>46</v>
      </c>
      <c r="F840" t="s">
        <v>68</v>
      </c>
      <c r="G840">
        <v>500</v>
      </c>
      <c r="H840" t="s">
        <v>28</v>
      </c>
      <c r="I840">
        <v>3679</v>
      </c>
      <c r="J840">
        <v>7463</v>
      </c>
      <c r="K840" t="s">
        <v>74</v>
      </c>
      <c r="L840" t="s">
        <v>40</v>
      </c>
      <c r="M840">
        <v>362</v>
      </c>
      <c r="N840">
        <v>38</v>
      </c>
      <c r="O840" t="s">
        <v>68</v>
      </c>
      <c r="P840" t="s">
        <v>74</v>
      </c>
      <c r="Q840">
        <v>500</v>
      </c>
      <c r="R840" t="s">
        <v>27</v>
      </c>
      <c r="S840">
        <v>11.99</v>
      </c>
    </row>
    <row r="841" spans="1:19" x14ac:dyDescent="0.3">
      <c r="A841">
        <f>'Raw Data'!D841-'Raw Data'!C841</f>
        <v>266</v>
      </c>
      <c r="B841" s="2" t="str">
        <f>_xlfn.IFS('Raw Data'!E841&gt;10,"Premium",'Raw Data'!E841&lt;10,"Basic")</f>
        <v>Premium</v>
      </c>
      <c r="C841">
        <v>11.99</v>
      </c>
      <c r="D841">
        <v>3898</v>
      </c>
      <c r="E841" t="s">
        <v>62</v>
      </c>
      <c r="F841" t="s">
        <v>68</v>
      </c>
      <c r="G841">
        <v>365</v>
      </c>
      <c r="H841" t="s">
        <v>28</v>
      </c>
      <c r="I841">
        <v>2238</v>
      </c>
      <c r="J841">
        <v>3898</v>
      </c>
      <c r="K841" t="s">
        <v>44</v>
      </c>
      <c r="L841" t="s">
        <v>26</v>
      </c>
      <c r="M841">
        <v>779</v>
      </c>
      <c r="N841">
        <v>113</v>
      </c>
      <c r="O841" t="s">
        <v>68</v>
      </c>
      <c r="P841" t="s">
        <v>44</v>
      </c>
      <c r="Q841">
        <v>365</v>
      </c>
      <c r="R841" t="s">
        <v>34</v>
      </c>
      <c r="S841">
        <v>11.99</v>
      </c>
    </row>
    <row r="842" spans="1:19" x14ac:dyDescent="0.3">
      <c r="A842">
        <f>'Raw Data'!D842-'Raw Data'!C842</f>
        <v>53</v>
      </c>
      <c r="B842" s="2" t="str">
        <f>_xlfn.IFS('Raw Data'!E842&gt;10,"Premium",'Raw Data'!E842&lt;10,"Basic")</f>
        <v>Basic</v>
      </c>
      <c r="C842">
        <v>7.99</v>
      </c>
      <c r="D842">
        <v>8481</v>
      </c>
      <c r="E842" t="s">
        <v>79</v>
      </c>
      <c r="F842" t="s">
        <v>52</v>
      </c>
      <c r="G842">
        <v>479</v>
      </c>
      <c r="H842" t="s">
        <v>28</v>
      </c>
      <c r="I842">
        <v>3655</v>
      </c>
      <c r="J842">
        <v>8481</v>
      </c>
      <c r="K842" t="s">
        <v>39</v>
      </c>
      <c r="L842" t="s">
        <v>64</v>
      </c>
      <c r="M842">
        <v>159</v>
      </c>
      <c r="N842">
        <v>136</v>
      </c>
      <c r="O842" t="s">
        <v>52</v>
      </c>
      <c r="P842" t="s">
        <v>39</v>
      </c>
      <c r="Q842">
        <v>479</v>
      </c>
      <c r="R842" t="s">
        <v>34</v>
      </c>
      <c r="S842">
        <v>7.99</v>
      </c>
    </row>
    <row r="843" spans="1:19" x14ac:dyDescent="0.3">
      <c r="A843">
        <f>'Raw Data'!D843-'Raw Data'!C843</f>
        <v>440</v>
      </c>
      <c r="B843" s="2" t="str">
        <f>_xlfn.IFS('Raw Data'!E843&gt;10,"Premium",'Raw Data'!E843&lt;10,"Basic")</f>
        <v>Basic</v>
      </c>
      <c r="C843">
        <v>7.99</v>
      </c>
      <c r="D843">
        <v>7810</v>
      </c>
      <c r="E843" t="s">
        <v>55</v>
      </c>
      <c r="F843" t="s">
        <v>52</v>
      </c>
      <c r="G843">
        <v>63</v>
      </c>
      <c r="H843" t="s">
        <v>28</v>
      </c>
      <c r="I843">
        <v>1587</v>
      </c>
      <c r="J843">
        <v>7810</v>
      </c>
      <c r="K843" t="s">
        <v>74</v>
      </c>
      <c r="L843" t="s">
        <v>64</v>
      </c>
      <c r="M843">
        <v>104</v>
      </c>
      <c r="N843">
        <v>72</v>
      </c>
      <c r="O843" t="s">
        <v>52</v>
      </c>
      <c r="P843" t="s">
        <v>74</v>
      </c>
      <c r="Q843">
        <v>63</v>
      </c>
      <c r="R843" t="s">
        <v>41</v>
      </c>
      <c r="S843">
        <v>7.99</v>
      </c>
    </row>
    <row r="844" spans="1:19" x14ac:dyDescent="0.3">
      <c r="A844">
        <f>'Raw Data'!D844-'Raw Data'!C844</f>
        <v>616</v>
      </c>
      <c r="B844" s="2" t="str">
        <f>_xlfn.IFS('Raw Data'!E844&gt;10,"Premium",'Raw Data'!E844&lt;10,"Basic")</f>
        <v>Premium</v>
      </c>
      <c r="C844">
        <v>11.99</v>
      </c>
      <c r="D844">
        <v>6534</v>
      </c>
      <c r="E844" t="s">
        <v>46</v>
      </c>
      <c r="F844" t="s">
        <v>30</v>
      </c>
      <c r="G844">
        <v>104</v>
      </c>
      <c r="H844" t="s">
        <v>28</v>
      </c>
      <c r="I844">
        <v>4501</v>
      </c>
      <c r="J844">
        <v>6534</v>
      </c>
      <c r="K844" t="s">
        <v>44</v>
      </c>
      <c r="L844" t="s">
        <v>26</v>
      </c>
      <c r="M844">
        <v>570</v>
      </c>
      <c r="N844">
        <v>29</v>
      </c>
      <c r="O844" t="s">
        <v>30</v>
      </c>
      <c r="P844" t="s">
        <v>44</v>
      </c>
      <c r="Q844">
        <v>104</v>
      </c>
      <c r="R844" t="s">
        <v>34</v>
      </c>
      <c r="S844">
        <v>11.99</v>
      </c>
    </row>
    <row r="845" spans="1:19" x14ac:dyDescent="0.3">
      <c r="A845">
        <f>'Raw Data'!D845-'Raw Data'!C845</f>
        <v>346</v>
      </c>
      <c r="B845" s="2" t="str">
        <f>_xlfn.IFS('Raw Data'!E845&gt;10,"Premium",'Raw Data'!E845&lt;10,"Basic")</f>
        <v>Premium</v>
      </c>
      <c r="C845">
        <v>15.99</v>
      </c>
      <c r="D845">
        <v>6025</v>
      </c>
      <c r="E845" t="s">
        <v>55</v>
      </c>
      <c r="F845" t="s">
        <v>60</v>
      </c>
      <c r="G845">
        <v>380</v>
      </c>
      <c r="H845" t="s">
        <v>28</v>
      </c>
      <c r="I845">
        <v>1910</v>
      </c>
      <c r="J845">
        <v>6025</v>
      </c>
      <c r="K845" t="s">
        <v>59</v>
      </c>
      <c r="L845" t="s">
        <v>64</v>
      </c>
      <c r="M845">
        <v>112</v>
      </c>
      <c r="N845">
        <v>149</v>
      </c>
      <c r="O845" t="s">
        <v>60</v>
      </c>
      <c r="P845" t="s">
        <v>59</v>
      </c>
      <c r="Q845">
        <v>380</v>
      </c>
      <c r="R845" t="s">
        <v>41</v>
      </c>
      <c r="S845">
        <v>15.99</v>
      </c>
    </row>
    <row r="846" spans="1:19" x14ac:dyDescent="0.3">
      <c r="A846">
        <f>'Raw Data'!D846-'Raw Data'!C846</f>
        <v>305</v>
      </c>
      <c r="B846" s="2" t="str">
        <f>_xlfn.IFS('Raw Data'!E846&gt;10,"Premium",'Raw Data'!E846&lt;10,"Basic")</f>
        <v>Basic</v>
      </c>
      <c r="C846">
        <v>7.99</v>
      </c>
      <c r="D846">
        <v>5825</v>
      </c>
      <c r="E846" t="s">
        <v>33</v>
      </c>
      <c r="F846" t="s">
        <v>60</v>
      </c>
      <c r="G846">
        <v>500</v>
      </c>
      <c r="H846" t="s">
        <v>28</v>
      </c>
      <c r="I846">
        <v>2731</v>
      </c>
      <c r="J846">
        <v>5825</v>
      </c>
      <c r="K846" t="s">
        <v>63</v>
      </c>
      <c r="L846" t="s">
        <v>64</v>
      </c>
      <c r="M846">
        <v>568</v>
      </c>
      <c r="N846">
        <v>151</v>
      </c>
      <c r="O846" t="s">
        <v>60</v>
      </c>
      <c r="P846" t="s">
        <v>63</v>
      </c>
      <c r="Q846">
        <v>500</v>
      </c>
      <c r="R846" t="s">
        <v>67</v>
      </c>
      <c r="S846">
        <v>7.99</v>
      </c>
    </row>
    <row r="847" spans="1:19" x14ac:dyDescent="0.3">
      <c r="A847">
        <f>'Raw Data'!D847-'Raw Data'!C847</f>
        <v>685</v>
      </c>
      <c r="B847" s="2" t="str">
        <f>_xlfn.IFS('Raw Data'!E847&gt;10,"Premium",'Raw Data'!E847&lt;10,"Basic")</f>
        <v>Premium</v>
      </c>
      <c r="C847">
        <v>15.99</v>
      </c>
      <c r="D847">
        <v>1185</v>
      </c>
      <c r="E847" t="s">
        <v>79</v>
      </c>
      <c r="F847" t="s">
        <v>30</v>
      </c>
      <c r="G847">
        <v>247</v>
      </c>
      <c r="H847" t="s">
        <v>28</v>
      </c>
      <c r="I847">
        <v>4517</v>
      </c>
      <c r="J847">
        <v>1185</v>
      </c>
      <c r="K847" t="s">
        <v>44</v>
      </c>
      <c r="L847" t="s">
        <v>26</v>
      </c>
      <c r="M847">
        <v>943</v>
      </c>
      <c r="N847">
        <v>42</v>
      </c>
      <c r="O847" t="s">
        <v>30</v>
      </c>
      <c r="P847" t="s">
        <v>44</v>
      </c>
      <c r="Q847">
        <v>247</v>
      </c>
      <c r="R847" t="s">
        <v>50</v>
      </c>
      <c r="S847">
        <v>15.99</v>
      </c>
    </row>
    <row r="848" spans="1:19" x14ac:dyDescent="0.3">
      <c r="A848">
        <f>'Raw Data'!D848-'Raw Data'!C848</f>
        <v>655</v>
      </c>
      <c r="B848" s="2" t="str">
        <f>_xlfn.IFS('Raw Data'!E848&gt;10,"Premium",'Raw Data'!E848&lt;10,"Basic")</f>
        <v>Premium</v>
      </c>
      <c r="C848">
        <v>11.99</v>
      </c>
      <c r="D848">
        <v>4392</v>
      </c>
      <c r="E848" t="s">
        <v>43</v>
      </c>
      <c r="F848" t="s">
        <v>30</v>
      </c>
      <c r="G848">
        <v>486</v>
      </c>
      <c r="H848" t="s">
        <v>28</v>
      </c>
      <c r="I848">
        <v>1238</v>
      </c>
      <c r="J848">
        <v>4392</v>
      </c>
      <c r="K848" t="s">
        <v>25</v>
      </c>
      <c r="L848" t="s">
        <v>49</v>
      </c>
      <c r="M848">
        <v>887</v>
      </c>
      <c r="N848">
        <v>128</v>
      </c>
      <c r="O848" t="s">
        <v>30</v>
      </c>
      <c r="P848" t="s">
        <v>25</v>
      </c>
      <c r="Q848">
        <v>486</v>
      </c>
      <c r="R848" t="s">
        <v>34</v>
      </c>
      <c r="S848">
        <v>11.99</v>
      </c>
    </row>
    <row r="849" spans="1:19" x14ac:dyDescent="0.3">
      <c r="A849">
        <f>'Raw Data'!D849-'Raw Data'!C849</f>
        <v>254</v>
      </c>
      <c r="B849" s="2" t="str">
        <f>_xlfn.IFS('Raw Data'!E849&gt;10,"Premium",'Raw Data'!E849&lt;10,"Basic")</f>
        <v>Basic</v>
      </c>
      <c r="C849">
        <v>7.99</v>
      </c>
      <c r="D849">
        <v>5785</v>
      </c>
      <c r="E849" t="s">
        <v>24</v>
      </c>
      <c r="F849" t="s">
        <v>68</v>
      </c>
      <c r="G849">
        <v>220</v>
      </c>
      <c r="H849" t="s">
        <v>28</v>
      </c>
      <c r="I849">
        <v>1786</v>
      </c>
      <c r="J849">
        <v>5785</v>
      </c>
      <c r="K849" t="s">
        <v>48</v>
      </c>
      <c r="L849" t="s">
        <v>40</v>
      </c>
      <c r="M849">
        <v>998</v>
      </c>
      <c r="N849">
        <v>187</v>
      </c>
      <c r="O849" t="s">
        <v>68</v>
      </c>
      <c r="P849" t="s">
        <v>48</v>
      </c>
      <c r="Q849">
        <v>220</v>
      </c>
      <c r="R849" t="s">
        <v>56</v>
      </c>
      <c r="S849">
        <v>7.99</v>
      </c>
    </row>
    <row r="850" spans="1:19" x14ac:dyDescent="0.3">
      <c r="A850">
        <f>'Raw Data'!D850-'Raw Data'!C850</f>
        <v>431</v>
      </c>
      <c r="B850" s="2" t="str">
        <f>_xlfn.IFS('Raw Data'!E850&gt;10,"Premium",'Raw Data'!E850&lt;10,"Basic")</f>
        <v>Premium</v>
      </c>
      <c r="C850">
        <v>15.99</v>
      </c>
      <c r="D850">
        <v>4718</v>
      </c>
      <c r="E850" t="s">
        <v>33</v>
      </c>
      <c r="F850" t="s">
        <v>68</v>
      </c>
      <c r="G850">
        <v>21</v>
      </c>
      <c r="H850" t="s">
        <v>28</v>
      </c>
      <c r="I850">
        <v>1683</v>
      </c>
      <c r="J850">
        <v>4718</v>
      </c>
      <c r="K850" t="s">
        <v>48</v>
      </c>
      <c r="L850" t="s">
        <v>49</v>
      </c>
      <c r="M850">
        <v>484</v>
      </c>
      <c r="N850">
        <v>112</v>
      </c>
      <c r="O850" t="s">
        <v>68</v>
      </c>
      <c r="P850" t="s">
        <v>48</v>
      </c>
      <c r="Q850">
        <v>21</v>
      </c>
      <c r="R850" t="s">
        <v>27</v>
      </c>
      <c r="S850">
        <v>15.99</v>
      </c>
    </row>
    <row r="851" spans="1:19" x14ac:dyDescent="0.3">
      <c r="A851">
        <f>'Raw Data'!D851-'Raw Data'!C851</f>
        <v>92</v>
      </c>
      <c r="B851" s="2" t="str">
        <f>_xlfn.IFS('Raw Data'!E851&gt;10,"Premium",'Raw Data'!E851&lt;10,"Basic")</f>
        <v>Premium</v>
      </c>
      <c r="C851">
        <v>11.99</v>
      </c>
      <c r="D851">
        <v>3992</v>
      </c>
      <c r="E851" t="s">
        <v>24</v>
      </c>
      <c r="F851" t="s">
        <v>36</v>
      </c>
      <c r="G851">
        <v>417</v>
      </c>
      <c r="H851" t="s">
        <v>28</v>
      </c>
      <c r="I851">
        <v>996</v>
      </c>
      <c r="J851">
        <v>3992</v>
      </c>
      <c r="K851" t="s">
        <v>63</v>
      </c>
      <c r="L851" t="s">
        <v>40</v>
      </c>
      <c r="M851">
        <v>458</v>
      </c>
      <c r="N851">
        <v>145</v>
      </c>
      <c r="O851" t="s">
        <v>36</v>
      </c>
      <c r="P851" t="s">
        <v>63</v>
      </c>
      <c r="Q851">
        <v>417</v>
      </c>
      <c r="R851" t="s">
        <v>50</v>
      </c>
      <c r="S851">
        <v>11.99</v>
      </c>
    </row>
    <row r="852" spans="1:19" x14ac:dyDescent="0.3">
      <c r="A852">
        <f>'Raw Data'!D852-'Raw Data'!C852</f>
        <v>149</v>
      </c>
      <c r="B852" s="2" t="str">
        <f>_xlfn.IFS('Raw Data'!E852&gt;10,"Premium",'Raw Data'!E852&lt;10,"Basic")</f>
        <v>Premium</v>
      </c>
      <c r="C852">
        <v>11.99</v>
      </c>
      <c r="D852">
        <v>6100</v>
      </c>
      <c r="E852" t="s">
        <v>62</v>
      </c>
      <c r="F852" t="s">
        <v>52</v>
      </c>
      <c r="G852">
        <v>191</v>
      </c>
      <c r="H852" t="s">
        <v>28</v>
      </c>
      <c r="I852">
        <v>608</v>
      </c>
      <c r="J852">
        <v>6100</v>
      </c>
      <c r="K852" t="s">
        <v>63</v>
      </c>
      <c r="L852" t="s">
        <v>64</v>
      </c>
      <c r="M852">
        <v>925</v>
      </c>
      <c r="N852">
        <v>124</v>
      </c>
      <c r="O852" t="s">
        <v>52</v>
      </c>
      <c r="P852" t="s">
        <v>63</v>
      </c>
      <c r="Q852">
        <v>191</v>
      </c>
      <c r="R852" t="s">
        <v>27</v>
      </c>
      <c r="S852">
        <v>11.99</v>
      </c>
    </row>
    <row r="853" spans="1:19" x14ac:dyDescent="0.3">
      <c r="A853">
        <f>'Raw Data'!D853-'Raw Data'!C853</f>
        <v>322</v>
      </c>
      <c r="B853" s="2" t="str">
        <f>_xlfn.IFS('Raw Data'!E853&gt;10,"Premium",'Raw Data'!E853&lt;10,"Basic")</f>
        <v>Basic</v>
      </c>
      <c r="C853">
        <v>7.99</v>
      </c>
      <c r="D853">
        <v>8495</v>
      </c>
      <c r="E853" t="s">
        <v>62</v>
      </c>
      <c r="F853" t="s">
        <v>68</v>
      </c>
      <c r="G853">
        <v>460</v>
      </c>
      <c r="H853" t="s">
        <v>28</v>
      </c>
      <c r="I853">
        <v>4650</v>
      </c>
      <c r="J853">
        <v>8495</v>
      </c>
      <c r="K853" t="s">
        <v>74</v>
      </c>
      <c r="L853" t="s">
        <v>49</v>
      </c>
      <c r="M853">
        <v>559</v>
      </c>
      <c r="N853">
        <v>136</v>
      </c>
      <c r="O853" t="s">
        <v>68</v>
      </c>
      <c r="P853" t="s">
        <v>74</v>
      </c>
      <c r="Q853">
        <v>460</v>
      </c>
      <c r="R853" t="s">
        <v>34</v>
      </c>
      <c r="S853">
        <v>7.99</v>
      </c>
    </row>
    <row r="854" spans="1:19" x14ac:dyDescent="0.3">
      <c r="A854">
        <f>'Raw Data'!D854-'Raw Data'!C854</f>
        <v>465</v>
      </c>
      <c r="B854" s="2" t="str">
        <f>_xlfn.IFS('Raw Data'!E854&gt;10,"Premium",'Raw Data'!E854&lt;10,"Basic")</f>
        <v>Basic</v>
      </c>
      <c r="C854">
        <v>7.99</v>
      </c>
      <c r="D854">
        <v>3083</v>
      </c>
      <c r="E854" t="s">
        <v>46</v>
      </c>
      <c r="F854" t="s">
        <v>30</v>
      </c>
      <c r="G854">
        <v>413</v>
      </c>
      <c r="H854" t="s">
        <v>28</v>
      </c>
      <c r="I854">
        <v>1340</v>
      </c>
      <c r="J854">
        <v>3083</v>
      </c>
      <c r="K854" t="s">
        <v>25</v>
      </c>
      <c r="L854" t="s">
        <v>49</v>
      </c>
      <c r="M854">
        <v>895</v>
      </c>
      <c r="N854">
        <v>3</v>
      </c>
      <c r="O854" t="s">
        <v>30</v>
      </c>
      <c r="P854" t="s">
        <v>25</v>
      </c>
      <c r="Q854">
        <v>413</v>
      </c>
      <c r="R854" t="s">
        <v>34</v>
      </c>
      <c r="S854">
        <v>7.99</v>
      </c>
    </row>
    <row r="855" spans="1:19" x14ac:dyDescent="0.3">
      <c r="A855">
        <f>'Raw Data'!D855-'Raw Data'!C855</f>
        <v>586</v>
      </c>
      <c r="B855" s="2" t="str">
        <f>_xlfn.IFS('Raw Data'!E855&gt;10,"Premium",'Raw Data'!E855&lt;10,"Basic")</f>
        <v>Basic</v>
      </c>
      <c r="C855">
        <v>7.99</v>
      </c>
      <c r="D855">
        <v>9936</v>
      </c>
      <c r="E855" t="s">
        <v>24</v>
      </c>
      <c r="F855" t="s">
        <v>36</v>
      </c>
      <c r="G855">
        <v>484</v>
      </c>
      <c r="H855" t="s">
        <v>28</v>
      </c>
      <c r="I855">
        <v>1821</v>
      </c>
      <c r="J855">
        <v>9936</v>
      </c>
      <c r="K855" t="s">
        <v>63</v>
      </c>
      <c r="L855" t="s">
        <v>49</v>
      </c>
      <c r="M855">
        <v>570</v>
      </c>
      <c r="N855">
        <v>18</v>
      </c>
      <c r="O855" t="s">
        <v>36</v>
      </c>
      <c r="P855" t="s">
        <v>63</v>
      </c>
      <c r="Q855">
        <v>484</v>
      </c>
      <c r="R855" t="s">
        <v>27</v>
      </c>
      <c r="S855">
        <v>7.99</v>
      </c>
    </row>
    <row r="856" spans="1:19" x14ac:dyDescent="0.3">
      <c r="A856">
        <f>'Raw Data'!D856-'Raw Data'!C856</f>
        <v>76</v>
      </c>
      <c r="B856" s="2" t="str">
        <f>_xlfn.IFS('Raw Data'!E856&gt;10,"Premium",'Raw Data'!E856&lt;10,"Basic")</f>
        <v>Premium</v>
      </c>
      <c r="C856">
        <v>15.99</v>
      </c>
      <c r="D856">
        <v>2418</v>
      </c>
      <c r="E856" t="s">
        <v>79</v>
      </c>
      <c r="F856" t="s">
        <v>60</v>
      </c>
      <c r="G856">
        <v>227</v>
      </c>
      <c r="H856" t="s">
        <v>28</v>
      </c>
      <c r="I856">
        <v>3020</v>
      </c>
      <c r="J856">
        <v>2418</v>
      </c>
      <c r="K856" t="s">
        <v>25</v>
      </c>
      <c r="L856" t="s">
        <v>49</v>
      </c>
      <c r="M856">
        <v>187</v>
      </c>
      <c r="N856">
        <v>48</v>
      </c>
      <c r="O856" t="s">
        <v>60</v>
      </c>
      <c r="P856" t="s">
        <v>25</v>
      </c>
      <c r="Q856">
        <v>227</v>
      </c>
      <c r="R856" t="s">
        <v>67</v>
      </c>
      <c r="S856">
        <v>15.99</v>
      </c>
    </row>
    <row r="857" spans="1:19" x14ac:dyDescent="0.3">
      <c r="A857">
        <f>'Raw Data'!D857-'Raw Data'!C857</f>
        <v>9</v>
      </c>
      <c r="B857" s="2" t="str">
        <f>_xlfn.IFS('Raw Data'!E857&gt;10,"Premium",'Raw Data'!E857&lt;10,"Basic")</f>
        <v>Premium</v>
      </c>
      <c r="C857">
        <v>11.99</v>
      </c>
      <c r="D857">
        <v>4089</v>
      </c>
      <c r="E857" t="s">
        <v>43</v>
      </c>
      <c r="F857" t="s">
        <v>68</v>
      </c>
      <c r="G857">
        <v>313</v>
      </c>
      <c r="H857" t="s">
        <v>28</v>
      </c>
      <c r="I857">
        <v>1243</v>
      </c>
      <c r="J857">
        <v>4089</v>
      </c>
      <c r="K857" t="s">
        <v>39</v>
      </c>
      <c r="L857" t="s">
        <v>40</v>
      </c>
      <c r="M857">
        <v>900</v>
      </c>
      <c r="N857">
        <v>135</v>
      </c>
      <c r="O857" t="s">
        <v>68</v>
      </c>
      <c r="P857" t="s">
        <v>39</v>
      </c>
      <c r="Q857">
        <v>313</v>
      </c>
      <c r="R857" t="s">
        <v>67</v>
      </c>
      <c r="S857">
        <v>11.99</v>
      </c>
    </row>
    <row r="858" spans="1:19" x14ac:dyDescent="0.3">
      <c r="A858">
        <f>'Raw Data'!D858-'Raw Data'!C858</f>
        <v>586</v>
      </c>
      <c r="B858" s="2" t="str">
        <f>_xlfn.IFS('Raw Data'!E858&gt;10,"Premium",'Raw Data'!E858&lt;10,"Basic")</f>
        <v>Premium</v>
      </c>
      <c r="C858">
        <v>11.99</v>
      </c>
      <c r="D858">
        <v>8876</v>
      </c>
      <c r="E858" t="s">
        <v>55</v>
      </c>
      <c r="F858" t="s">
        <v>36</v>
      </c>
      <c r="G858">
        <v>491</v>
      </c>
      <c r="H858" t="s">
        <v>28</v>
      </c>
      <c r="I858">
        <v>540</v>
      </c>
      <c r="J858">
        <v>8876</v>
      </c>
      <c r="K858" t="s">
        <v>48</v>
      </c>
      <c r="L858" t="s">
        <v>26</v>
      </c>
      <c r="M858">
        <v>194</v>
      </c>
      <c r="N858">
        <v>187</v>
      </c>
      <c r="O858" t="s">
        <v>36</v>
      </c>
      <c r="P858" t="s">
        <v>48</v>
      </c>
      <c r="Q858">
        <v>491</v>
      </c>
      <c r="R858" t="s">
        <v>67</v>
      </c>
      <c r="S858">
        <v>11.99</v>
      </c>
    </row>
    <row r="859" spans="1:19" x14ac:dyDescent="0.3">
      <c r="A859">
        <f>'Raw Data'!D859-'Raw Data'!C859</f>
        <v>356</v>
      </c>
      <c r="B859" s="2" t="str">
        <f>_xlfn.IFS('Raw Data'!E859&gt;10,"Premium",'Raw Data'!E859&lt;10,"Basic")</f>
        <v>Premium</v>
      </c>
      <c r="C859">
        <v>15.99</v>
      </c>
      <c r="D859">
        <v>3959</v>
      </c>
      <c r="E859" t="s">
        <v>43</v>
      </c>
      <c r="F859" t="s">
        <v>60</v>
      </c>
      <c r="G859">
        <v>50</v>
      </c>
      <c r="H859" t="s">
        <v>28</v>
      </c>
      <c r="I859">
        <v>2583</v>
      </c>
      <c r="J859">
        <v>3959</v>
      </c>
      <c r="K859" t="s">
        <v>25</v>
      </c>
      <c r="L859" t="s">
        <v>40</v>
      </c>
      <c r="M859">
        <v>155</v>
      </c>
      <c r="N859">
        <v>115</v>
      </c>
      <c r="O859" t="s">
        <v>60</v>
      </c>
      <c r="P859" t="s">
        <v>25</v>
      </c>
      <c r="Q859">
        <v>50</v>
      </c>
      <c r="R859" t="s">
        <v>34</v>
      </c>
      <c r="S859">
        <v>15.99</v>
      </c>
    </row>
    <row r="860" spans="1:19" x14ac:dyDescent="0.3">
      <c r="A860">
        <f>'Raw Data'!D860-'Raw Data'!C860</f>
        <v>570</v>
      </c>
      <c r="B860" s="2" t="str">
        <f>_xlfn.IFS('Raw Data'!E860&gt;10,"Premium",'Raw Data'!E860&lt;10,"Basic")</f>
        <v>Basic</v>
      </c>
      <c r="C860">
        <v>7.99</v>
      </c>
      <c r="D860">
        <v>2011</v>
      </c>
      <c r="E860" t="s">
        <v>79</v>
      </c>
      <c r="F860" t="s">
        <v>30</v>
      </c>
      <c r="G860">
        <v>73</v>
      </c>
      <c r="H860" t="s">
        <v>28</v>
      </c>
      <c r="I860">
        <v>3463</v>
      </c>
      <c r="J860">
        <v>2011</v>
      </c>
      <c r="K860" t="s">
        <v>48</v>
      </c>
      <c r="L860" t="s">
        <v>64</v>
      </c>
      <c r="M860">
        <v>184</v>
      </c>
      <c r="N860">
        <v>172</v>
      </c>
      <c r="O860" t="s">
        <v>30</v>
      </c>
      <c r="P860" t="s">
        <v>48</v>
      </c>
      <c r="Q860">
        <v>73</v>
      </c>
      <c r="R860" t="s">
        <v>56</v>
      </c>
      <c r="S860">
        <v>7.99</v>
      </c>
    </row>
    <row r="861" spans="1:19" x14ac:dyDescent="0.3">
      <c r="A861">
        <f>'Raw Data'!D861-'Raw Data'!C861</f>
        <v>163</v>
      </c>
      <c r="B861" s="2" t="str">
        <f>_xlfn.IFS('Raw Data'!E861&gt;10,"Premium",'Raw Data'!E861&lt;10,"Basic")</f>
        <v>Premium</v>
      </c>
      <c r="C861">
        <v>11.99</v>
      </c>
      <c r="D861">
        <v>7896</v>
      </c>
      <c r="E861" t="s">
        <v>43</v>
      </c>
      <c r="F861" t="s">
        <v>30</v>
      </c>
      <c r="G861">
        <v>139</v>
      </c>
      <c r="H861" t="s">
        <v>28</v>
      </c>
      <c r="I861">
        <v>4130</v>
      </c>
      <c r="J861">
        <v>7896</v>
      </c>
      <c r="K861" t="s">
        <v>39</v>
      </c>
      <c r="L861" t="s">
        <v>40</v>
      </c>
      <c r="M861">
        <v>539</v>
      </c>
      <c r="N861">
        <v>152</v>
      </c>
      <c r="O861" t="s">
        <v>30</v>
      </c>
      <c r="P861" t="s">
        <v>39</v>
      </c>
      <c r="Q861">
        <v>139</v>
      </c>
      <c r="R861" t="s">
        <v>34</v>
      </c>
      <c r="S861">
        <v>11.99</v>
      </c>
    </row>
    <row r="862" spans="1:19" x14ac:dyDescent="0.3">
      <c r="A862">
        <f>'Raw Data'!D862-'Raw Data'!C862</f>
        <v>317</v>
      </c>
      <c r="B862" s="2" t="str">
        <f>_xlfn.IFS('Raw Data'!E862&gt;10,"Premium",'Raw Data'!E862&lt;10,"Basic")</f>
        <v>Premium</v>
      </c>
      <c r="C862">
        <v>11.99</v>
      </c>
      <c r="D862">
        <v>5495</v>
      </c>
      <c r="E862" t="s">
        <v>46</v>
      </c>
      <c r="F862" t="s">
        <v>52</v>
      </c>
      <c r="G862">
        <v>327</v>
      </c>
      <c r="H862" t="s">
        <v>28</v>
      </c>
      <c r="I862">
        <v>3918</v>
      </c>
      <c r="J862">
        <v>5495</v>
      </c>
      <c r="K862" t="s">
        <v>25</v>
      </c>
      <c r="L862" t="s">
        <v>40</v>
      </c>
      <c r="M862">
        <v>182</v>
      </c>
      <c r="N862">
        <v>14</v>
      </c>
      <c r="O862" t="s">
        <v>52</v>
      </c>
      <c r="P862" t="s">
        <v>25</v>
      </c>
      <c r="Q862">
        <v>327</v>
      </c>
      <c r="R862" t="s">
        <v>67</v>
      </c>
      <c r="S862">
        <v>11.99</v>
      </c>
    </row>
    <row r="863" spans="1:19" x14ac:dyDescent="0.3">
      <c r="A863">
        <f>'Raw Data'!D863-'Raw Data'!C863</f>
        <v>147</v>
      </c>
      <c r="B863" s="2" t="str">
        <f>_xlfn.IFS('Raw Data'!E863&gt;10,"Premium",'Raw Data'!E863&lt;10,"Basic")</f>
        <v>Premium</v>
      </c>
      <c r="C863">
        <v>11.99</v>
      </c>
      <c r="D863">
        <v>6219</v>
      </c>
      <c r="E863" t="s">
        <v>33</v>
      </c>
      <c r="F863" t="s">
        <v>36</v>
      </c>
      <c r="G863">
        <v>206</v>
      </c>
      <c r="H863" t="s">
        <v>28</v>
      </c>
      <c r="I863">
        <v>4264</v>
      </c>
      <c r="J863">
        <v>6219</v>
      </c>
      <c r="K863" t="s">
        <v>44</v>
      </c>
      <c r="L863" t="s">
        <v>26</v>
      </c>
      <c r="M863">
        <v>981</v>
      </c>
      <c r="N863">
        <v>60</v>
      </c>
      <c r="O863" t="s">
        <v>36</v>
      </c>
      <c r="P863" t="s">
        <v>44</v>
      </c>
      <c r="Q863">
        <v>206</v>
      </c>
      <c r="R863" t="s">
        <v>56</v>
      </c>
      <c r="S863">
        <v>11.99</v>
      </c>
    </row>
    <row r="864" spans="1:19" x14ac:dyDescent="0.3">
      <c r="A864">
        <f>'Raw Data'!D864-'Raw Data'!C864</f>
        <v>391</v>
      </c>
      <c r="B864" s="2" t="str">
        <f>_xlfn.IFS('Raw Data'!E864&gt;10,"Premium",'Raw Data'!E864&lt;10,"Basic")</f>
        <v>Premium</v>
      </c>
      <c r="C864">
        <v>15.99</v>
      </c>
      <c r="D864">
        <v>4458</v>
      </c>
      <c r="E864" t="s">
        <v>43</v>
      </c>
      <c r="F864" t="s">
        <v>52</v>
      </c>
      <c r="G864">
        <v>23</v>
      </c>
      <c r="H864" t="s">
        <v>28</v>
      </c>
      <c r="I864">
        <v>1485</v>
      </c>
      <c r="J864">
        <v>4458</v>
      </c>
      <c r="K864" t="s">
        <v>48</v>
      </c>
      <c r="L864" t="s">
        <v>40</v>
      </c>
      <c r="M864">
        <v>489</v>
      </c>
      <c r="N864">
        <v>7</v>
      </c>
      <c r="O864" t="s">
        <v>52</v>
      </c>
      <c r="P864" t="s">
        <v>48</v>
      </c>
      <c r="Q864">
        <v>23</v>
      </c>
      <c r="R864" t="s">
        <v>41</v>
      </c>
      <c r="S864">
        <v>15.99</v>
      </c>
    </row>
    <row r="865" spans="1:19" x14ac:dyDescent="0.3">
      <c r="A865">
        <f>'Raw Data'!D865-'Raw Data'!C865</f>
        <v>0</v>
      </c>
      <c r="B865" s="2" t="str">
        <f>_xlfn.IFS('Raw Data'!E865&gt;10,"Premium",'Raw Data'!E865&lt;10,"Basic")</f>
        <v>Premium</v>
      </c>
      <c r="C865">
        <v>15.99</v>
      </c>
      <c r="D865">
        <v>4115</v>
      </c>
      <c r="E865" t="s">
        <v>62</v>
      </c>
      <c r="F865" t="s">
        <v>68</v>
      </c>
      <c r="G865">
        <v>158</v>
      </c>
      <c r="H865" t="s">
        <v>28</v>
      </c>
      <c r="I865">
        <v>3508</v>
      </c>
      <c r="J865">
        <v>4115</v>
      </c>
      <c r="K865" t="s">
        <v>48</v>
      </c>
      <c r="L865" t="s">
        <v>49</v>
      </c>
      <c r="M865">
        <v>603</v>
      </c>
      <c r="N865">
        <v>72</v>
      </c>
      <c r="O865" t="s">
        <v>68</v>
      </c>
      <c r="P865" t="s">
        <v>48</v>
      </c>
      <c r="Q865">
        <v>158</v>
      </c>
      <c r="R865" t="s">
        <v>27</v>
      </c>
      <c r="S865">
        <v>15.99</v>
      </c>
    </row>
    <row r="866" spans="1:19" x14ac:dyDescent="0.3">
      <c r="A866">
        <f>'Raw Data'!D866-'Raw Data'!C866</f>
        <v>689</v>
      </c>
      <c r="B866" s="2" t="str">
        <f>_xlfn.IFS('Raw Data'!E866&gt;10,"Premium",'Raw Data'!E866&lt;10,"Basic")</f>
        <v>Premium</v>
      </c>
      <c r="C866">
        <v>15.99</v>
      </c>
      <c r="D866">
        <v>6586</v>
      </c>
      <c r="E866" t="s">
        <v>62</v>
      </c>
      <c r="F866" t="s">
        <v>60</v>
      </c>
      <c r="G866">
        <v>459</v>
      </c>
      <c r="H866" t="s">
        <v>28</v>
      </c>
      <c r="I866">
        <v>3433</v>
      </c>
      <c r="J866">
        <v>6586</v>
      </c>
      <c r="K866" t="s">
        <v>74</v>
      </c>
      <c r="L866" t="s">
        <v>26</v>
      </c>
      <c r="M866">
        <v>445</v>
      </c>
      <c r="N866">
        <v>153</v>
      </c>
      <c r="O866" t="s">
        <v>60</v>
      </c>
      <c r="P866" t="s">
        <v>74</v>
      </c>
      <c r="Q866">
        <v>459</v>
      </c>
      <c r="R866" t="s">
        <v>27</v>
      </c>
      <c r="S866">
        <v>15.99</v>
      </c>
    </row>
    <row r="867" spans="1:19" x14ac:dyDescent="0.3">
      <c r="A867">
        <f>'Raw Data'!D867-'Raw Data'!C867</f>
        <v>183</v>
      </c>
      <c r="B867" s="2" t="str">
        <f>_xlfn.IFS('Raw Data'!E867&gt;10,"Premium",'Raw Data'!E867&lt;10,"Basic")</f>
        <v>Premium</v>
      </c>
      <c r="C867">
        <v>15.99</v>
      </c>
      <c r="D867">
        <v>3985</v>
      </c>
      <c r="E867" t="s">
        <v>46</v>
      </c>
      <c r="F867" t="s">
        <v>60</v>
      </c>
      <c r="G867">
        <v>30</v>
      </c>
      <c r="H867" t="s">
        <v>28</v>
      </c>
      <c r="I867">
        <v>3610</v>
      </c>
      <c r="J867">
        <v>3985</v>
      </c>
      <c r="K867" t="s">
        <v>63</v>
      </c>
      <c r="L867" t="s">
        <v>64</v>
      </c>
      <c r="M867">
        <v>233</v>
      </c>
      <c r="N867">
        <v>10</v>
      </c>
      <c r="O867" t="s">
        <v>60</v>
      </c>
      <c r="P867" t="s">
        <v>63</v>
      </c>
      <c r="Q867">
        <v>30</v>
      </c>
      <c r="R867" t="s">
        <v>50</v>
      </c>
      <c r="S867">
        <v>15.99</v>
      </c>
    </row>
    <row r="868" spans="1:19" x14ac:dyDescent="0.3">
      <c r="A868">
        <f>'Raw Data'!D868-'Raw Data'!C868</f>
        <v>225</v>
      </c>
      <c r="B868" s="2" t="str">
        <f>_xlfn.IFS('Raw Data'!E868&gt;10,"Premium",'Raw Data'!E868&lt;10,"Basic")</f>
        <v>Premium</v>
      </c>
      <c r="C868">
        <v>11.99</v>
      </c>
      <c r="D868">
        <v>8501</v>
      </c>
      <c r="E868" t="s">
        <v>46</v>
      </c>
      <c r="F868" t="s">
        <v>52</v>
      </c>
      <c r="G868">
        <v>42</v>
      </c>
      <c r="H868" t="s">
        <v>28</v>
      </c>
      <c r="I868">
        <v>3307</v>
      </c>
      <c r="J868">
        <v>8501</v>
      </c>
      <c r="K868" t="s">
        <v>25</v>
      </c>
      <c r="L868" t="s">
        <v>64</v>
      </c>
      <c r="M868">
        <v>464</v>
      </c>
      <c r="N868">
        <v>171</v>
      </c>
      <c r="O868" t="s">
        <v>52</v>
      </c>
      <c r="P868" t="s">
        <v>25</v>
      </c>
      <c r="Q868">
        <v>42</v>
      </c>
      <c r="R868" t="s">
        <v>56</v>
      </c>
      <c r="S868">
        <v>11.99</v>
      </c>
    </row>
    <row r="869" spans="1:19" x14ac:dyDescent="0.3">
      <c r="A869">
        <f>'Raw Data'!D869-'Raw Data'!C869</f>
        <v>198</v>
      </c>
      <c r="B869" s="2" t="str">
        <f>_xlfn.IFS('Raw Data'!E869&gt;10,"Premium",'Raw Data'!E869&lt;10,"Basic")</f>
        <v>Premium</v>
      </c>
      <c r="C869">
        <v>11.99</v>
      </c>
      <c r="D869">
        <v>4048</v>
      </c>
      <c r="E869" t="s">
        <v>55</v>
      </c>
      <c r="F869" t="s">
        <v>52</v>
      </c>
      <c r="G869">
        <v>242</v>
      </c>
      <c r="H869" t="s">
        <v>28</v>
      </c>
      <c r="I869">
        <v>868</v>
      </c>
      <c r="J869">
        <v>4048</v>
      </c>
      <c r="K869" t="s">
        <v>63</v>
      </c>
      <c r="L869" t="s">
        <v>49</v>
      </c>
      <c r="M869">
        <v>273</v>
      </c>
      <c r="N869">
        <v>96</v>
      </c>
      <c r="O869" t="s">
        <v>52</v>
      </c>
      <c r="P869" t="s">
        <v>63</v>
      </c>
      <c r="Q869">
        <v>242</v>
      </c>
      <c r="R869" t="s">
        <v>67</v>
      </c>
      <c r="S869">
        <v>11.99</v>
      </c>
    </row>
    <row r="870" spans="1:19" x14ac:dyDescent="0.3">
      <c r="A870">
        <f>'Raw Data'!D870-'Raw Data'!C870</f>
        <v>52</v>
      </c>
      <c r="B870" s="2" t="str">
        <f>_xlfn.IFS('Raw Data'!E870&gt;10,"Premium",'Raw Data'!E870&lt;10,"Basic")</f>
        <v>Premium</v>
      </c>
      <c r="C870">
        <v>11.99</v>
      </c>
      <c r="D870">
        <v>4466</v>
      </c>
      <c r="E870" t="s">
        <v>33</v>
      </c>
      <c r="F870" t="s">
        <v>36</v>
      </c>
      <c r="G870">
        <v>25</v>
      </c>
      <c r="H870" t="s">
        <v>28</v>
      </c>
      <c r="I870">
        <v>4358</v>
      </c>
      <c r="J870">
        <v>4466</v>
      </c>
      <c r="K870" t="s">
        <v>63</v>
      </c>
      <c r="L870" t="s">
        <v>40</v>
      </c>
      <c r="M870">
        <v>162</v>
      </c>
      <c r="N870">
        <v>147</v>
      </c>
      <c r="O870" t="s">
        <v>36</v>
      </c>
      <c r="P870" t="s">
        <v>63</v>
      </c>
      <c r="Q870">
        <v>25</v>
      </c>
      <c r="R870" t="s">
        <v>56</v>
      </c>
      <c r="S870">
        <v>11.99</v>
      </c>
    </row>
    <row r="871" spans="1:19" x14ac:dyDescent="0.3">
      <c r="A871">
        <f>'Raw Data'!D871-'Raw Data'!C871</f>
        <v>645</v>
      </c>
      <c r="B871" s="2" t="str">
        <f>_xlfn.IFS('Raw Data'!E871&gt;10,"Premium",'Raw Data'!E871&lt;10,"Basic")</f>
        <v>Basic</v>
      </c>
      <c r="C871">
        <v>7.99</v>
      </c>
      <c r="D871">
        <v>5479</v>
      </c>
      <c r="E871" t="s">
        <v>79</v>
      </c>
      <c r="F871" t="s">
        <v>68</v>
      </c>
      <c r="G871">
        <v>140</v>
      </c>
      <c r="H871" t="s">
        <v>28</v>
      </c>
      <c r="I871">
        <v>4552</v>
      </c>
      <c r="J871">
        <v>5479</v>
      </c>
      <c r="K871" t="s">
        <v>48</v>
      </c>
      <c r="L871" t="s">
        <v>26</v>
      </c>
      <c r="M871">
        <v>218</v>
      </c>
      <c r="N871">
        <v>5</v>
      </c>
      <c r="O871" t="s">
        <v>68</v>
      </c>
      <c r="P871" t="s">
        <v>48</v>
      </c>
      <c r="Q871">
        <v>140</v>
      </c>
      <c r="R871" t="s">
        <v>67</v>
      </c>
      <c r="S871">
        <v>7.99</v>
      </c>
    </row>
    <row r="872" spans="1:19" x14ac:dyDescent="0.3">
      <c r="A872">
        <f>'Raw Data'!D872-'Raw Data'!C872</f>
        <v>479</v>
      </c>
      <c r="B872" s="2" t="str">
        <f>_xlfn.IFS('Raw Data'!E872&gt;10,"Premium",'Raw Data'!E872&lt;10,"Basic")</f>
        <v>Premium</v>
      </c>
      <c r="C872">
        <v>15.99</v>
      </c>
      <c r="D872">
        <v>2480</v>
      </c>
      <c r="E872" t="s">
        <v>62</v>
      </c>
      <c r="F872" t="s">
        <v>52</v>
      </c>
      <c r="G872">
        <v>192</v>
      </c>
      <c r="H872" t="s">
        <v>28</v>
      </c>
      <c r="I872">
        <v>3003</v>
      </c>
      <c r="J872">
        <v>2480</v>
      </c>
      <c r="K872" t="s">
        <v>44</v>
      </c>
      <c r="L872" t="s">
        <v>64</v>
      </c>
      <c r="M872">
        <v>39</v>
      </c>
      <c r="N872">
        <v>18</v>
      </c>
      <c r="O872" t="s">
        <v>52</v>
      </c>
      <c r="P872" t="s">
        <v>44</v>
      </c>
      <c r="Q872">
        <v>192</v>
      </c>
      <c r="R872" t="s">
        <v>34</v>
      </c>
      <c r="S872">
        <v>15.99</v>
      </c>
    </row>
    <row r="873" spans="1:19" x14ac:dyDescent="0.3">
      <c r="A873">
        <f>'Raw Data'!D873-'Raw Data'!C873</f>
        <v>253</v>
      </c>
      <c r="B873" s="2" t="str">
        <f>_xlfn.IFS('Raw Data'!E873&gt;10,"Premium",'Raw Data'!E873&lt;10,"Basic")</f>
        <v>Premium</v>
      </c>
      <c r="C873">
        <v>15.99</v>
      </c>
      <c r="D873">
        <v>6288</v>
      </c>
      <c r="E873" t="s">
        <v>79</v>
      </c>
      <c r="F873" t="s">
        <v>36</v>
      </c>
      <c r="G873">
        <v>267</v>
      </c>
      <c r="H873" t="s">
        <v>28</v>
      </c>
      <c r="I873">
        <v>783</v>
      </c>
      <c r="J873">
        <v>6288</v>
      </c>
      <c r="K873" t="s">
        <v>59</v>
      </c>
      <c r="L873" t="s">
        <v>26</v>
      </c>
      <c r="M873">
        <v>107</v>
      </c>
      <c r="N873">
        <v>140</v>
      </c>
      <c r="O873" t="s">
        <v>36</v>
      </c>
      <c r="P873" t="s">
        <v>59</v>
      </c>
      <c r="Q873">
        <v>267</v>
      </c>
      <c r="R873" t="s">
        <v>67</v>
      </c>
      <c r="S873">
        <v>15.99</v>
      </c>
    </row>
    <row r="874" spans="1:19" x14ac:dyDescent="0.3">
      <c r="A874">
        <f>'Raw Data'!D874-'Raw Data'!C874</f>
        <v>611</v>
      </c>
      <c r="B874" s="2" t="str">
        <f>_xlfn.IFS('Raw Data'!E874&gt;10,"Premium",'Raw Data'!E874&lt;10,"Basic")</f>
        <v>Premium</v>
      </c>
      <c r="C874">
        <v>11.99</v>
      </c>
      <c r="D874">
        <v>9973</v>
      </c>
      <c r="E874" t="s">
        <v>79</v>
      </c>
      <c r="F874" t="s">
        <v>36</v>
      </c>
      <c r="G874">
        <v>410</v>
      </c>
      <c r="H874" t="s">
        <v>28</v>
      </c>
      <c r="I874">
        <v>3578</v>
      </c>
      <c r="J874">
        <v>9973</v>
      </c>
      <c r="K874" t="s">
        <v>39</v>
      </c>
      <c r="L874" t="s">
        <v>40</v>
      </c>
      <c r="M874">
        <v>513</v>
      </c>
      <c r="N874">
        <v>52</v>
      </c>
      <c r="O874" t="s">
        <v>36</v>
      </c>
      <c r="P874" t="s">
        <v>39</v>
      </c>
      <c r="Q874">
        <v>410</v>
      </c>
      <c r="R874" t="s">
        <v>67</v>
      </c>
      <c r="S874">
        <v>11.99</v>
      </c>
    </row>
    <row r="875" spans="1:19" x14ac:dyDescent="0.3">
      <c r="A875">
        <f>'Raw Data'!D875-'Raw Data'!C875</f>
        <v>83</v>
      </c>
      <c r="B875" s="2" t="str">
        <f>_xlfn.IFS('Raw Data'!E875&gt;10,"Premium",'Raw Data'!E875&lt;10,"Basic")</f>
        <v>Basic</v>
      </c>
      <c r="C875">
        <v>7.99</v>
      </c>
      <c r="D875">
        <v>6078</v>
      </c>
      <c r="E875" t="s">
        <v>62</v>
      </c>
      <c r="F875" t="s">
        <v>52</v>
      </c>
      <c r="G875">
        <v>281</v>
      </c>
      <c r="H875" t="s">
        <v>28</v>
      </c>
      <c r="I875">
        <v>1952</v>
      </c>
      <c r="J875">
        <v>6078</v>
      </c>
      <c r="K875" t="s">
        <v>63</v>
      </c>
      <c r="L875" t="s">
        <v>64</v>
      </c>
      <c r="M875">
        <v>905</v>
      </c>
      <c r="N875">
        <v>128</v>
      </c>
      <c r="O875" t="s">
        <v>52</v>
      </c>
      <c r="P875" t="s">
        <v>63</v>
      </c>
      <c r="Q875">
        <v>281</v>
      </c>
      <c r="R875" t="s">
        <v>34</v>
      </c>
      <c r="S875">
        <v>7.99</v>
      </c>
    </row>
    <row r="876" spans="1:19" x14ac:dyDescent="0.3">
      <c r="A876">
        <f>'Raw Data'!D876-'Raw Data'!C876</f>
        <v>265</v>
      </c>
      <c r="B876" s="2" t="str">
        <f>_xlfn.IFS('Raw Data'!E876&gt;10,"Premium",'Raw Data'!E876&lt;10,"Basic")</f>
        <v>Premium</v>
      </c>
      <c r="C876">
        <v>15.99</v>
      </c>
      <c r="D876">
        <v>5362</v>
      </c>
      <c r="E876" t="s">
        <v>62</v>
      </c>
      <c r="F876" t="s">
        <v>68</v>
      </c>
      <c r="G876">
        <v>478</v>
      </c>
      <c r="H876" t="s">
        <v>28</v>
      </c>
      <c r="I876">
        <v>860</v>
      </c>
      <c r="J876">
        <v>5362</v>
      </c>
      <c r="K876" t="s">
        <v>44</v>
      </c>
      <c r="L876" t="s">
        <v>64</v>
      </c>
      <c r="M876">
        <v>551</v>
      </c>
      <c r="N876">
        <v>96</v>
      </c>
      <c r="O876" t="s">
        <v>68</v>
      </c>
      <c r="P876" t="s">
        <v>44</v>
      </c>
      <c r="Q876">
        <v>478</v>
      </c>
      <c r="R876" t="s">
        <v>50</v>
      </c>
      <c r="S876">
        <v>15.99</v>
      </c>
    </row>
    <row r="877" spans="1:19" x14ac:dyDescent="0.3">
      <c r="A877">
        <f>'Raw Data'!D877-'Raw Data'!C877</f>
        <v>219</v>
      </c>
      <c r="B877" s="2" t="str">
        <f>_xlfn.IFS('Raw Data'!E877&gt;10,"Premium",'Raw Data'!E877&lt;10,"Basic")</f>
        <v>Basic</v>
      </c>
      <c r="C877">
        <v>7.99</v>
      </c>
      <c r="D877">
        <v>1687</v>
      </c>
      <c r="E877" t="s">
        <v>24</v>
      </c>
      <c r="F877" t="s">
        <v>52</v>
      </c>
      <c r="G877">
        <v>44</v>
      </c>
      <c r="H877" t="s">
        <v>28</v>
      </c>
      <c r="I877">
        <v>3</v>
      </c>
      <c r="J877">
        <v>1687</v>
      </c>
      <c r="K877" t="s">
        <v>74</v>
      </c>
      <c r="L877" t="s">
        <v>26</v>
      </c>
      <c r="M877">
        <v>190</v>
      </c>
      <c r="N877">
        <v>193</v>
      </c>
      <c r="O877" t="s">
        <v>52</v>
      </c>
      <c r="P877" t="s">
        <v>74</v>
      </c>
      <c r="Q877">
        <v>44</v>
      </c>
      <c r="R877" t="s">
        <v>27</v>
      </c>
      <c r="S877">
        <v>7.99</v>
      </c>
    </row>
    <row r="878" spans="1:19" x14ac:dyDescent="0.3">
      <c r="A878">
        <f>'Raw Data'!D878-'Raw Data'!C878</f>
        <v>15</v>
      </c>
      <c r="B878" s="2" t="str">
        <f>_xlfn.IFS('Raw Data'!E878&gt;10,"Premium",'Raw Data'!E878&lt;10,"Basic")</f>
        <v>Premium</v>
      </c>
      <c r="C878">
        <v>15.99</v>
      </c>
      <c r="D878">
        <v>8986</v>
      </c>
      <c r="E878" t="s">
        <v>24</v>
      </c>
      <c r="F878" t="s">
        <v>36</v>
      </c>
      <c r="G878">
        <v>250</v>
      </c>
      <c r="H878" t="s">
        <v>28</v>
      </c>
      <c r="I878">
        <v>1836</v>
      </c>
      <c r="J878">
        <v>8986</v>
      </c>
      <c r="K878" t="s">
        <v>39</v>
      </c>
      <c r="L878" t="s">
        <v>49</v>
      </c>
      <c r="M878">
        <v>69</v>
      </c>
      <c r="N878">
        <v>35</v>
      </c>
      <c r="O878" t="s">
        <v>36</v>
      </c>
      <c r="P878" t="s">
        <v>39</v>
      </c>
      <c r="Q878">
        <v>250</v>
      </c>
      <c r="R878" t="s">
        <v>34</v>
      </c>
      <c r="S878">
        <v>15.99</v>
      </c>
    </row>
    <row r="879" spans="1:19" x14ac:dyDescent="0.3">
      <c r="A879">
        <f>'Raw Data'!D879-'Raw Data'!C879</f>
        <v>410</v>
      </c>
      <c r="B879" s="2" t="str">
        <f>_xlfn.IFS('Raw Data'!E879&gt;10,"Premium",'Raw Data'!E879&lt;10,"Basic")</f>
        <v>Basic</v>
      </c>
      <c r="C879">
        <v>7.99</v>
      </c>
      <c r="D879">
        <v>5994</v>
      </c>
      <c r="E879" t="s">
        <v>33</v>
      </c>
      <c r="F879" t="s">
        <v>30</v>
      </c>
      <c r="G879">
        <v>225</v>
      </c>
      <c r="H879" t="s">
        <v>28</v>
      </c>
      <c r="I879">
        <v>808</v>
      </c>
      <c r="J879">
        <v>5994</v>
      </c>
      <c r="K879" t="s">
        <v>44</v>
      </c>
      <c r="L879" t="s">
        <v>49</v>
      </c>
      <c r="M879">
        <v>274</v>
      </c>
      <c r="N879">
        <v>83</v>
      </c>
      <c r="O879" t="s">
        <v>30</v>
      </c>
      <c r="P879" t="s">
        <v>44</v>
      </c>
      <c r="Q879">
        <v>225</v>
      </c>
      <c r="R879" t="s">
        <v>34</v>
      </c>
      <c r="S879">
        <v>7.99</v>
      </c>
    </row>
    <row r="880" spans="1:19" x14ac:dyDescent="0.3">
      <c r="A880">
        <f>'Raw Data'!D880-'Raw Data'!C880</f>
        <v>66</v>
      </c>
      <c r="B880" s="2" t="str">
        <f>_xlfn.IFS('Raw Data'!E880&gt;10,"Premium",'Raw Data'!E880&lt;10,"Basic")</f>
        <v>Premium</v>
      </c>
      <c r="C880">
        <v>15.99</v>
      </c>
      <c r="D880">
        <v>6293</v>
      </c>
      <c r="E880" t="s">
        <v>43</v>
      </c>
      <c r="F880" t="s">
        <v>30</v>
      </c>
      <c r="G880">
        <v>473</v>
      </c>
      <c r="H880" t="s">
        <v>28</v>
      </c>
      <c r="I880">
        <v>2141</v>
      </c>
      <c r="J880">
        <v>6293</v>
      </c>
      <c r="K880" t="s">
        <v>63</v>
      </c>
      <c r="L880" t="s">
        <v>40</v>
      </c>
      <c r="M880">
        <v>605</v>
      </c>
      <c r="N880">
        <v>93</v>
      </c>
      <c r="O880" t="s">
        <v>30</v>
      </c>
      <c r="P880" t="s">
        <v>63</v>
      </c>
      <c r="Q880">
        <v>473</v>
      </c>
      <c r="R880" t="s">
        <v>41</v>
      </c>
      <c r="S880">
        <v>15.99</v>
      </c>
    </row>
    <row r="881" spans="1:19" x14ac:dyDescent="0.3">
      <c r="A881">
        <f>'Raw Data'!D881-'Raw Data'!C881</f>
        <v>25</v>
      </c>
      <c r="B881" s="2" t="str">
        <f>_xlfn.IFS('Raw Data'!E881&gt;10,"Premium",'Raw Data'!E881&lt;10,"Basic")</f>
        <v>Premium</v>
      </c>
      <c r="C881">
        <v>11.99</v>
      </c>
      <c r="D881">
        <v>7558</v>
      </c>
      <c r="E881" t="s">
        <v>43</v>
      </c>
      <c r="F881" t="s">
        <v>30</v>
      </c>
      <c r="G881">
        <v>236</v>
      </c>
      <c r="H881" t="s">
        <v>28</v>
      </c>
      <c r="I881">
        <v>1254</v>
      </c>
      <c r="J881">
        <v>7558</v>
      </c>
      <c r="K881" t="s">
        <v>63</v>
      </c>
      <c r="L881" t="s">
        <v>40</v>
      </c>
      <c r="M881">
        <v>225</v>
      </c>
      <c r="N881">
        <v>94</v>
      </c>
      <c r="O881" t="s">
        <v>30</v>
      </c>
      <c r="P881" t="s">
        <v>63</v>
      </c>
      <c r="Q881">
        <v>236</v>
      </c>
      <c r="R881" t="s">
        <v>56</v>
      </c>
      <c r="S881">
        <v>11.99</v>
      </c>
    </row>
    <row r="882" spans="1:19" x14ac:dyDescent="0.3">
      <c r="A882">
        <f>'Raw Data'!D882-'Raw Data'!C882</f>
        <v>665</v>
      </c>
      <c r="B882" s="2" t="str">
        <f>_xlfn.IFS('Raw Data'!E882&gt;10,"Premium",'Raw Data'!E882&lt;10,"Basic")</f>
        <v>Premium</v>
      </c>
      <c r="C882">
        <v>11.99</v>
      </c>
      <c r="D882">
        <v>1805</v>
      </c>
      <c r="E882" t="s">
        <v>62</v>
      </c>
      <c r="F882" t="s">
        <v>30</v>
      </c>
      <c r="G882">
        <v>349</v>
      </c>
      <c r="H882" t="s">
        <v>28</v>
      </c>
      <c r="I882">
        <v>2864</v>
      </c>
      <c r="J882">
        <v>1805</v>
      </c>
      <c r="K882" t="s">
        <v>25</v>
      </c>
      <c r="L882" t="s">
        <v>64</v>
      </c>
      <c r="M882">
        <v>386</v>
      </c>
      <c r="N882">
        <v>195</v>
      </c>
      <c r="O882" t="s">
        <v>30</v>
      </c>
      <c r="P882" t="s">
        <v>25</v>
      </c>
      <c r="Q882">
        <v>349</v>
      </c>
      <c r="R882" t="s">
        <v>34</v>
      </c>
      <c r="S882">
        <v>11.99</v>
      </c>
    </row>
    <row r="883" spans="1:19" x14ac:dyDescent="0.3">
      <c r="A883">
        <f>'Raw Data'!D883-'Raw Data'!C883</f>
        <v>602</v>
      </c>
      <c r="B883" s="2" t="str">
        <f>_xlfn.IFS('Raw Data'!E883&gt;10,"Premium",'Raw Data'!E883&lt;10,"Basic")</f>
        <v>Premium</v>
      </c>
      <c r="C883">
        <v>15.99</v>
      </c>
      <c r="D883">
        <v>1661</v>
      </c>
      <c r="E883" t="s">
        <v>62</v>
      </c>
      <c r="F883" t="s">
        <v>68</v>
      </c>
      <c r="G883">
        <v>139</v>
      </c>
      <c r="H883" t="s">
        <v>28</v>
      </c>
      <c r="I883">
        <v>4589</v>
      </c>
      <c r="J883">
        <v>1661</v>
      </c>
      <c r="K883" t="s">
        <v>39</v>
      </c>
      <c r="L883" t="s">
        <v>49</v>
      </c>
      <c r="M883">
        <v>442</v>
      </c>
      <c r="N883">
        <v>110</v>
      </c>
      <c r="O883" t="s">
        <v>68</v>
      </c>
      <c r="P883" t="s">
        <v>39</v>
      </c>
      <c r="Q883">
        <v>139</v>
      </c>
      <c r="R883" t="s">
        <v>27</v>
      </c>
      <c r="S883">
        <v>15.99</v>
      </c>
    </row>
    <row r="884" spans="1:19" x14ac:dyDescent="0.3">
      <c r="A884">
        <f>'Raw Data'!D884-'Raw Data'!C884</f>
        <v>321</v>
      </c>
      <c r="B884" s="2" t="str">
        <f>_xlfn.IFS('Raw Data'!E884&gt;10,"Premium",'Raw Data'!E884&lt;10,"Basic")</f>
        <v>Premium</v>
      </c>
      <c r="C884">
        <v>15.99</v>
      </c>
      <c r="D884">
        <v>8960</v>
      </c>
      <c r="E884" t="s">
        <v>79</v>
      </c>
      <c r="F884" t="s">
        <v>68</v>
      </c>
      <c r="G884">
        <v>278</v>
      </c>
      <c r="H884" t="s">
        <v>28</v>
      </c>
      <c r="I884">
        <v>2932</v>
      </c>
      <c r="J884">
        <v>8960</v>
      </c>
      <c r="K884" t="s">
        <v>44</v>
      </c>
      <c r="L884" t="s">
        <v>26</v>
      </c>
      <c r="M884">
        <v>382</v>
      </c>
      <c r="N884">
        <v>25</v>
      </c>
      <c r="O884" t="s">
        <v>68</v>
      </c>
      <c r="P884" t="s">
        <v>44</v>
      </c>
      <c r="Q884">
        <v>278</v>
      </c>
      <c r="R884" t="s">
        <v>67</v>
      </c>
      <c r="S884">
        <v>15.99</v>
      </c>
    </row>
    <row r="885" spans="1:19" x14ac:dyDescent="0.3">
      <c r="A885">
        <f>'Raw Data'!D885-'Raw Data'!C885</f>
        <v>140</v>
      </c>
      <c r="B885" s="2" t="str">
        <f>_xlfn.IFS('Raw Data'!E885&gt;10,"Premium",'Raw Data'!E885&lt;10,"Basic")</f>
        <v>Basic</v>
      </c>
      <c r="C885">
        <v>7.99</v>
      </c>
      <c r="D885">
        <v>6131</v>
      </c>
      <c r="E885" t="s">
        <v>55</v>
      </c>
      <c r="F885" t="s">
        <v>52</v>
      </c>
      <c r="G885">
        <v>242</v>
      </c>
      <c r="H885" t="s">
        <v>28</v>
      </c>
      <c r="I885">
        <v>1697</v>
      </c>
      <c r="J885">
        <v>6131</v>
      </c>
      <c r="K885" t="s">
        <v>74</v>
      </c>
      <c r="L885" t="s">
        <v>64</v>
      </c>
      <c r="M885">
        <v>156</v>
      </c>
      <c r="N885">
        <v>166</v>
      </c>
      <c r="O885" t="s">
        <v>52</v>
      </c>
      <c r="P885" t="s">
        <v>74</v>
      </c>
      <c r="Q885">
        <v>242</v>
      </c>
      <c r="R885" t="s">
        <v>27</v>
      </c>
      <c r="S885">
        <v>7.99</v>
      </c>
    </row>
    <row r="886" spans="1:19" x14ac:dyDescent="0.3">
      <c r="A886">
        <f>'Raw Data'!D886-'Raw Data'!C886</f>
        <v>380</v>
      </c>
      <c r="B886" s="2" t="str">
        <f>_xlfn.IFS('Raw Data'!E886&gt;10,"Premium",'Raw Data'!E886&lt;10,"Basic")</f>
        <v>Premium</v>
      </c>
      <c r="C886">
        <v>11.99</v>
      </c>
      <c r="D886">
        <v>4114</v>
      </c>
      <c r="E886" t="s">
        <v>55</v>
      </c>
      <c r="F886" t="s">
        <v>52</v>
      </c>
      <c r="G886">
        <v>251</v>
      </c>
      <c r="H886" t="s">
        <v>28</v>
      </c>
      <c r="I886">
        <v>1411</v>
      </c>
      <c r="J886">
        <v>4114</v>
      </c>
      <c r="K886" t="s">
        <v>48</v>
      </c>
      <c r="L886" t="s">
        <v>40</v>
      </c>
      <c r="M886">
        <v>687</v>
      </c>
      <c r="N886">
        <v>160</v>
      </c>
      <c r="O886" t="s">
        <v>52</v>
      </c>
      <c r="P886" t="s">
        <v>48</v>
      </c>
      <c r="Q886">
        <v>251</v>
      </c>
      <c r="R886" t="s">
        <v>56</v>
      </c>
      <c r="S886">
        <v>11.99</v>
      </c>
    </row>
    <row r="887" spans="1:19" x14ac:dyDescent="0.3">
      <c r="A887">
        <f>'Raw Data'!D887-'Raw Data'!C887</f>
        <v>241</v>
      </c>
      <c r="B887" s="2" t="str">
        <f>_xlfn.IFS('Raw Data'!E887&gt;10,"Premium",'Raw Data'!E887&lt;10,"Basic")</f>
        <v>Basic</v>
      </c>
      <c r="C887">
        <v>7.99</v>
      </c>
      <c r="D887">
        <v>4833</v>
      </c>
      <c r="E887" t="s">
        <v>33</v>
      </c>
      <c r="F887" t="s">
        <v>36</v>
      </c>
      <c r="G887">
        <v>268</v>
      </c>
      <c r="H887" t="s">
        <v>28</v>
      </c>
      <c r="I887">
        <v>3437</v>
      </c>
      <c r="J887">
        <v>4833</v>
      </c>
      <c r="K887" t="s">
        <v>39</v>
      </c>
      <c r="L887" t="s">
        <v>49</v>
      </c>
      <c r="M887">
        <v>778</v>
      </c>
      <c r="N887">
        <v>122</v>
      </c>
      <c r="O887" t="s">
        <v>36</v>
      </c>
      <c r="P887" t="s">
        <v>39</v>
      </c>
      <c r="Q887">
        <v>268</v>
      </c>
      <c r="R887" t="s">
        <v>27</v>
      </c>
      <c r="S887">
        <v>7.99</v>
      </c>
    </row>
    <row r="888" spans="1:19" x14ac:dyDescent="0.3">
      <c r="A888">
        <f>'Raw Data'!D888-'Raw Data'!C888</f>
        <v>57</v>
      </c>
      <c r="B888" s="2" t="str">
        <f>_xlfn.IFS('Raw Data'!E888&gt;10,"Premium",'Raw Data'!E888&lt;10,"Basic")</f>
        <v>Basic</v>
      </c>
      <c r="C888">
        <v>7.99</v>
      </c>
      <c r="D888">
        <v>2401</v>
      </c>
      <c r="E888" t="s">
        <v>62</v>
      </c>
      <c r="F888" t="s">
        <v>30</v>
      </c>
      <c r="G888">
        <v>322</v>
      </c>
      <c r="H888" t="s">
        <v>28</v>
      </c>
      <c r="I888">
        <v>4509</v>
      </c>
      <c r="J888">
        <v>2401</v>
      </c>
      <c r="K888" t="s">
        <v>63</v>
      </c>
      <c r="L888" t="s">
        <v>26</v>
      </c>
      <c r="M888">
        <v>616</v>
      </c>
      <c r="N888">
        <v>45</v>
      </c>
      <c r="O888" t="s">
        <v>30</v>
      </c>
      <c r="P888" t="s">
        <v>63</v>
      </c>
      <c r="Q888">
        <v>322</v>
      </c>
      <c r="R888" t="s">
        <v>50</v>
      </c>
      <c r="S888">
        <v>7.99</v>
      </c>
    </row>
    <row r="889" spans="1:19" x14ac:dyDescent="0.3">
      <c r="A889">
        <f>'Raw Data'!D889-'Raw Data'!C889</f>
        <v>524</v>
      </c>
      <c r="B889" s="2" t="str">
        <f>_xlfn.IFS('Raw Data'!E889&gt;10,"Premium",'Raw Data'!E889&lt;10,"Basic")</f>
        <v>Basic</v>
      </c>
      <c r="C889">
        <v>7.99</v>
      </c>
      <c r="D889">
        <v>1037</v>
      </c>
      <c r="E889" t="s">
        <v>46</v>
      </c>
      <c r="F889" t="s">
        <v>36</v>
      </c>
      <c r="G889">
        <v>356</v>
      </c>
      <c r="H889" t="s">
        <v>28</v>
      </c>
      <c r="I889">
        <v>3165</v>
      </c>
      <c r="J889">
        <v>1037</v>
      </c>
      <c r="K889" t="s">
        <v>39</v>
      </c>
      <c r="L889" t="s">
        <v>49</v>
      </c>
      <c r="M889">
        <v>314</v>
      </c>
      <c r="N889">
        <v>50</v>
      </c>
      <c r="O889" t="s">
        <v>36</v>
      </c>
      <c r="P889" t="s">
        <v>39</v>
      </c>
      <c r="Q889">
        <v>356</v>
      </c>
      <c r="R889" t="s">
        <v>41</v>
      </c>
      <c r="S889">
        <v>7.99</v>
      </c>
    </row>
    <row r="890" spans="1:19" x14ac:dyDescent="0.3">
      <c r="A890">
        <f>'Raw Data'!D890-'Raw Data'!C890</f>
        <v>655</v>
      </c>
      <c r="B890" s="2" t="str">
        <f>_xlfn.IFS('Raw Data'!E890&gt;10,"Premium",'Raw Data'!E890&lt;10,"Basic")</f>
        <v>Premium</v>
      </c>
      <c r="C890">
        <v>15.99</v>
      </c>
      <c r="D890">
        <v>2675</v>
      </c>
      <c r="E890" t="s">
        <v>46</v>
      </c>
      <c r="F890" t="s">
        <v>52</v>
      </c>
      <c r="G890">
        <v>28</v>
      </c>
      <c r="H890" t="s">
        <v>28</v>
      </c>
      <c r="I890">
        <v>2538</v>
      </c>
      <c r="J890">
        <v>2675</v>
      </c>
      <c r="K890" t="s">
        <v>74</v>
      </c>
      <c r="L890" t="s">
        <v>26</v>
      </c>
      <c r="M890">
        <v>666</v>
      </c>
      <c r="N890">
        <v>65</v>
      </c>
      <c r="O890" t="s">
        <v>52</v>
      </c>
      <c r="P890" t="s">
        <v>74</v>
      </c>
      <c r="Q890">
        <v>28</v>
      </c>
      <c r="R890" t="s">
        <v>34</v>
      </c>
      <c r="S890">
        <v>15.99</v>
      </c>
    </row>
    <row r="891" spans="1:19" x14ac:dyDescent="0.3">
      <c r="A891">
        <f>'Raw Data'!D891-'Raw Data'!C891</f>
        <v>293</v>
      </c>
      <c r="B891" s="2" t="str">
        <f>_xlfn.IFS('Raw Data'!E891&gt;10,"Premium",'Raw Data'!E891&lt;10,"Basic")</f>
        <v>Premium</v>
      </c>
      <c r="C891">
        <v>11.99</v>
      </c>
      <c r="D891">
        <v>1665</v>
      </c>
      <c r="E891" t="s">
        <v>62</v>
      </c>
      <c r="F891" t="s">
        <v>30</v>
      </c>
      <c r="G891">
        <v>43</v>
      </c>
      <c r="H891" t="s">
        <v>28</v>
      </c>
      <c r="I891">
        <v>245</v>
      </c>
      <c r="J891">
        <v>1665</v>
      </c>
      <c r="K891" t="s">
        <v>59</v>
      </c>
      <c r="L891" t="s">
        <v>64</v>
      </c>
      <c r="M891">
        <v>767</v>
      </c>
      <c r="N891">
        <v>83</v>
      </c>
      <c r="O891" t="s">
        <v>30</v>
      </c>
      <c r="P891" t="s">
        <v>59</v>
      </c>
      <c r="Q891">
        <v>43</v>
      </c>
      <c r="R891" t="s">
        <v>34</v>
      </c>
      <c r="S891">
        <v>11.99</v>
      </c>
    </row>
    <row r="892" spans="1:19" x14ac:dyDescent="0.3">
      <c r="A892">
        <f>'Raw Data'!D892-'Raw Data'!C892</f>
        <v>552</v>
      </c>
      <c r="B892" s="2" t="str">
        <f>_xlfn.IFS('Raw Data'!E892&gt;10,"Premium",'Raw Data'!E892&lt;10,"Basic")</f>
        <v>Premium</v>
      </c>
      <c r="C892">
        <v>11.99</v>
      </c>
      <c r="D892">
        <v>5671</v>
      </c>
      <c r="E892" t="s">
        <v>33</v>
      </c>
      <c r="F892" t="s">
        <v>30</v>
      </c>
      <c r="G892">
        <v>391</v>
      </c>
      <c r="H892" t="s">
        <v>28</v>
      </c>
      <c r="I892">
        <v>1364</v>
      </c>
      <c r="J892">
        <v>5671</v>
      </c>
      <c r="K892" t="s">
        <v>25</v>
      </c>
      <c r="L892" t="s">
        <v>26</v>
      </c>
      <c r="M892">
        <v>811</v>
      </c>
      <c r="N892">
        <v>3</v>
      </c>
      <c r="O892" t="s">
        <v>30</v>
      </c>
      <c r="P892" t="s">
        <v>25</v>
      </c>
      <c r="Q892">
        <v>391</v>
      </c>
      <c r="R892" t="s">
        <v>67</v>
      </c>
      <c r="S892">
        <v>11.99</v>
      </c>
    </row>
    <row r="893" spans="1:19" x14ac:dyDescent="0.3">
      <c r="A893">
        <f>'Raw Data'!D893-'Raw Data'!C893</f>
        <v>175</v>
      </c>
      <c r="B893" s="2" t="str">
        <f>_xlfn.IFS('Raw Data'!E893&gt;10,"Premium",'Raw Data'!E893&lt;10,"Basic")</f>
        <v>Basic</v>
      </c>
      <c r="C893">
        <v>7.99</v>
      </c>
      <c r="D893">
        <v>5153</v>
      </c>
      <c r="E893" t="s">
        <v>43</v>
      </c>
      <c r="F893" t="s">
        <v>68</v>
      </c>
      <c r="G893">
        <v>300</v>
      </c>
      <c r="H893" t="s">
        <v>28</v>
      </c>
      <c r="I893">
        <v>732</v>
      </c>
      <c r="J893">
        <v>5153</v>
      </c>
      <c r="K893" t="s">
        <v>39</v>
      </c>
      <c r="L893" t="s">
        <v>26</v>
      </c>
      <c r="M893">
        <v>413</v>
      </c>
      <c r="N893">
        <v>154</v>
      </c>
      <c r="O893" t="s">
        <v>68</v>
      </c>
      <c r="P893" t="s">
        <v>39</v>
      </c>
      <c r="Q893">
        <v>300</v>
      </c>
      <c r="R893" t="s">
        <v>67</v>
      </c>
      <c r="S893">
        <v>7.99</v>
      </c>
    </row>
    <row r="894" spans="1:19" x14ac:dyDescent="0.3">
      <c r="A894">
        <f>'Raw Data'!D894-'Raw Data'!C894</f>
        <v>713</v>
      </c>
      <c r="B894" s="2" t="str">
        <f>_xlfn.IFS('Raw Data'!E894&gt;10,"Premium",'Raw Data'!E894&lt;10,"Basic")</f>
        <v>Premium</v>
      </c>
      <c r="C894">
        <v>11.99</v>
      </c>
      <c r="D894">
        <v>1114</v>
      </c>
      <c r="E894" t="s">
        <v>55</v>
      </c>
      <c r="F894" t="s">
        <v>60</v>
      </c>
      <c r="G894">
        <v>75</v>
      </c>
      <c r="H894" t="s">
        <v>28</v>
      </c>
      <c r="I894">
        <v>4976</v>
      </c>
      <c r="J894">
        <v>1114</v>
      </c>
      <c r="K894" t="s">
        <v>25</v>
      </c>
      <c r="L894" t="s">
        <v>40</v>
      </c>
      <c r="M894">
        <v>324</v>
      </c>
      <c r="N894">
        <v>175</v>
      </c>
      <c r="O894" t="s">
        <v>60</v>
      </c>
      <c r="P894" t="s">
        <v>25</v>
      </c>
      <c r="Q894">
        <v>75</v>
      </c>
      <c r="R894" t="s">
        <v>34</v>
      </c>
      <c r="S894">
        <v>11.99</v>
      </c>
    </row>
    <row r="895" spans="1:19" x14ac:dyDescent="0.3">
      <c r="A895">
        <f>'Raw Data'!D895-'Raw Data'!C895</f>
        <v>115</v>
      </c>
      <c r="B895" s="2" t="str">
        <f>_xlfn.IFS('Raw Data'!E895&gt;10,"Premium",'Raw Data'!E895&lt;10,"Basic")</f>
        <v>Premium</v>
      </c>
      <c r="C895">
        <v>11.99</v>
      </c>
      <c r="D895">
        <v>6180</v>
      </c>
      <c r="E895" t="s">
        <v>79</v>
      </c>
      <c r="F895" t="s">
        <v>52</v>
      </c>
      <c r="G895">
        <v>154</v>
      </c>
      <c r="H895" t="s">
        <v>28</v>
      </c>
      <c r="I895">
        <v>4176</v>
      </c>
      <c r="J895">
        <v>6180</v>
      </c>
      <c r="K895" t="s">
        <v>63</v>
      </c>
      <c r="L895" t="s">
        <v>49</v>
      </c>
      <c r="M895">
        <v>52</v>
      </c>
      <c r="N895">
        <v>108</v>
      </c>
      <c r="O895" t="s">
        <v>52</v>
      </c>
      <c r="P895" t="s">
        <v>63</v>
      </c>
      <c r="Q895">
        <v>154</v>
      </c>
      <c r="R895" t="s">
        <v>34</v>
      </c>
      <c r="S895">
        <v>11.99</v>
      </c>
    </row>
    <row r="896" spans="1:19" x14ac:dyDescent="0.3">
      <c r="A896">
        <f>'Raw Data'!D896-'Raw Data'!C896</f>
        <v>568</v>
      </c>
      <c r="B896" s="2" t="str">
        <f>_xlfn.IFS('Raw Data'!E896&gt;10,"Premium",'Raw Data'!E896&lt;10,"Basic")</f>
        <v>Basic</v>
      </c>
      <c r="C896">
        <v>7.99</v>
      </c>
      <c r="D896">
        <v>8237</v>
      </c>
      <c r="E896" t="s">
        <v>62</v>
      </c>
      <c r="F896" t="s">
        <v>36</v>
      </c>
      <c r="G896">
        <v>179</v>
      </c>
      <c r="H896" t="s">
        <v>28</v>
      </c>
      <c r="I896">
        <v>2919</v>
      </c>
      <c r="J896">
        <v>8237</v>
      </c>
      <c r="K896" t="s">
        <v>25</v>
      </c>
      <c r="L896" t="s">
        <v>49</v>
      </c>
      <c r="M896">
        <v>680</v>
      </c>
      <c r="N896">
        <v>50</v>
      </c>
      <c r="O896" t="s">
        <v>36</v>
      </c>
      <c r="P896" t="s">
        <v>25</v>
      </c>
      <c r="Q896">
        <v>179</v>
      </c>
      <c r="R896" t="s">
        <v>56</v>
      </c>
      <c r="S896">
        <v>7.99</v>
      </c>
    </row>
    <row r="897" spans="1:19" x14ac:dyDescent="0.3">
      <c r="A897">
        <f>'Raw Data'!D897-'Raw Data'!C897</f>
        <v>454</v>
      </c>
      <c r="B897" s="2" t="str">
        <f>_xlfn.IFS('Raw Data'!E897&gt;10,"Premium",'Raw Data'!E897&lt;10,"Basic")</f>
        <v>Premium</v>
      </c>
      <c r="C897">
        <v>11.99</v>
      </c>
      <c r="D897">
        <v>9500</v>
      </c>
      <c r="E897" t="s">
        <v>46</v>
      </c>
      <c r="F897" t="s">
        <v>36</v>
      </c>
      <c r="G897">
        <v>147</v>
      </c>
      <c r="H897" t="s">
        <v>28</v>
      </c>
      <c r="I897">
        <v>3081</v>
      </c>
      <c r="J897">
        <v>9500</v>
      </c>
      <c r="K897" t="s">
        <v>25</v>
      </c>
      <c r="L897" t="s">
        <v>49</v>
      </c>
      <c r="M897">
        <v>780</v>
      </c>
      <c r="N897">
        <v>76</v>
      </c>
      <c r="O897" t="s">
        <v>36</v>
      </c>
      <c r="P897" t="s">
        <v>25</v>
      </c>
      <c r="Q897">
        <v>147</v>
      </c>
      <c r="R897" t="s">
        <v>41</v>
      </c>
      <c r="S897">
        <v>11.99</v>
      </c>
    </row>
    <row r="898" spans="1:19" x14ac:dyDescent="0.3">
      <c r="A898">
        <f>'Raw Data'!D898-'Raw Data'!C898</f>
        <v>530</v>
      </c>
      <c r="B898" s="2" t="str">
        <f>_xlfn.IFS('Raw Data'!E898&gt;10,"Premium",'Raw Data'!E898&lt;10,"Basic")</f>
        <v>Premium</v>
      </c>
      <c r="C898">
        <v>11.99</v>
      </c>
      <c r="D898">
        <v>7476</v>
      </c>
      <c r="E898" t="s">
        <v>55</v>
      </c>
      <c r="F898" t="s">
        <v>30</v>
      </c>
      <c r="G898">
        <v>235</v>
      </c>
      <c r="H898" t="s">
        <v>28</v>
      </c>
      <c r="I898">
        <v>3138</v>
      </c>
      <c r="J898">
        <v>7476</v>
      </c>
      <c r="K898" t="s">
        <v>74</v>
      </c>
      <c r="L898" t="s">
        <v>40</v>
      </c>
      <c r="M898">
        <v>569</v>
      </c>
      <c r="N898">
        <v>176</v>
      </c>
      <c r="O898" t="s">
        <v>30</v>
      </c>
      <c r="P898" t="s">
        <v>74</v>
      </c>
      <c r="Q898">
        <v>235</v>
      </c>
      <c r="R898" t="s">
        <v>67</v>
      </c>
      <c r="S898">
        <v>11.99</v>
      </c>
    </row>
    <row r="899" spans="1:19" x14ac:dyDescent="0.3">
      <c r="A899">
        <f>'Raw Data'!D899-'Raw Data'!C899</f>
        <v>701</v>
      </c>
      <c r="B899" s="2" t="str">
        <f>_xlfn.IFS('Raw Data'!E899&gt;10,"Premium",'Raw Data'!E899&lt;10,"Basic")</f>
        <v>Premium</v>
      </c>
      <c r="C899">
        <v>11.99</v>
      </c>
      <c r="D899">
        <v>9908</v>
      </c>
      <c r="E899" t="s">
        <v>79</v>
      </c>
      <c r="F899" t="s">
        <v>60</v>
      </c>
      <c r="G899">
        <v>390</v>
      </c>
      <c r="H899" t="s">
        <v>28</v>
      </c>
      <c r="I899">
        <v>1180</v>
      </c>
      <c r="J899">
        <v>9908</v>
      </c>
      <c r="K899" t="s">
        <v>63</v>
      </c>
      <c r="L899" t="s">
        <v>49</v>
      </c>
      <c r="M899">
        <v>256</v>
      </c>
      <c r="N899">
        <v>183</v>
      </c>
      <c r="O899" t="s">
        <v>60</v>
      </c>
      <c r="P899" t="s">
        <v>63</v>
      </c>
      <c r="Q899">
        <v>390</v>
      </c>
      <c r="R899" t="s">
        <v>34</v>
      </c>
      <c r="S899">
        <v>11.99</v>
      </c>
    </row>
    <row r="900" spans="1:19" x14ac:dyDescent="0.3">
      <c r="A900">
        <f>'Raw Data'!D900-'Raw Data'!C900</f>
        <v>149</v>
      </c>
      <c r="B900" s="2" t="str">
        <f>_xlfn.IFS('Raw Data'!E900&gt;10,"Premium",'Raw Data'!E900&lt;10,"Basic")</f>
        <v>Basic</v>
      </c>
      <c r="C900">
        <v>7.99</v>
      </c>
      <c r="D900">
        <v>1534</v>
      </c>
      <c r="E900" t="s">
        <v>24</v>
      </c>
      <c r="F900" t="s">
        <v>68</v>
      </c>
      <c r="G900">
        <v>116</v>
      </c>
      <c r="H900" t="s">
        <v>28</v>
      </c>
      <c r="I900">
        <v>4518</v>
      </c>
      <c r="J900">
        <v>1534</v>
      </c>
      <c r="K900" t="s">
        <v>25</v>
      </c>
      <c r="L900" t="s">
        <v>49</v>
      </c>
      <c r="M900">
        <v>799</v>
      </c>
      <c r="N900">
        <v>137</v>
      </c>
      <c r="O900" t="s">
        <v>68</v>
      </c>
      <c r="P900" t="s">
        <v>25</v>
      </c>
      <c r="Q900">
        <v>116</v>
      </c>
      <c r="R900" t="s">
        <v>41</v>
      </c>
      <c r="S900">
        <v>7.99</v>
      </c>
    </row>
    <row r="901" spans="1:19" x14ac:dyDescent="0.3">
      <c r="A901">
        <f>'Raw Data'!D901-'Raw Data'!C901</f>
        <v>642</v>
      </c>
      <c r="B901" s="2" t="str">
        <f>_xlfn.IFS('Raw Data'!E901&gt;10,"Premium",'Raw Data'!E901&lt;10,"Basic")</f>
        <v>Premium</v>
      </c>
      <c r="C901">
        <v>15.99</v>
      </c>
      <c r="D901">
        <v>4613</v>
      </c>
      <c r="E901" t="s">
        <v>24</v>
      </c>
      <c r="F901" t="s">
        <v>30</v>
      </c>
      <c r="G901">
        <v>492</v>
      </c>
      <c r="H901" t="s">
        <v>28</v>
      </c>
      <c r="I901">
        <v>3843</v>
      </c>
      <c r="J901">
        <v>4613</v>
      </c>
      <c r="K901" t="s">
        <v>59</v>
      </c>
      <c r="L901" t="s">
        <v>64</v>
      </c>
      <c r="M901">
        <v>237</v>
      </c>
      <c r="N901">
        <v>55</v>
      </c>
      <c r="O901" t="s">
        <v>30</v>
      </c>
      <c r="P901" t="s">
        <v>59</v>
      </c>
      <c r="Q901">
        <v>492</v>
      </c>
      <c r="R901" t="s">
        <v>41</v>
      </c>
      <c r="S901">
        <v>15.99</v>
      </c>
    </row>
    <row r="902" spans="1:19" x14ac:dyDescent="0.3">
      <c r="A902">
        <f>'Raw Data'!D902-'Raw Data'!C902</f>
        <v>171</v>
      </c>
      <c r="B902" s="2" t="str">
        <f>_xlfn.IFS('Raw Data'!E902&gt;10,"Premium",'Raw Data'!E902&lt;10,"Basic")</f>
        <v>Basic</v>
      </c>
      <c r="C902">
        <v>7.99</v>
      </c>
      <c r="D902">
        <v>5063</v>
      </c>
      <c r="E902" t="s">
        <v>24</v>
      </c>
      <c r="F902" t="s">
        <v>36</v>
      </c>
      <c r="G902">
        <v>159</v>
      </c>
      <c r="H902" t="s">
        <v>28</v>
      </c>
      <c r="I902">
        <v>3604</v>
      </c>
      <c r="J902">
        <v>5063</v>
      </c>
      <c r="K902" t="s">
        <v>63</v>
      </c>
      <c r="L902" t="s">
        <v>40</v>
      </c>
      <c r="M902">
        <v>138</v>
      </c>
      <c r="N902">
        <v>3</v>
      </c>
      <c r="O902" t="s">
        <v>36</v>
      </c>
      <c r="P902" t="s">
        <v>63</v>
      </c>
      <c r="Q902">
        <v>159</v>
      </c>
      <c r="R902" t="s">
        <v>27</v>
      </c>
      <c r="S902">
        <v>7.99</v>
      </c>
    </row>
    <row r="903" spans="1:19" x14ac:dyDescent="0.3">
      <c r="A903">
        <f>'Raw Data'!D903-'Raw Data'!C903</f>
        <v>531</v>
      </c>
      <c r="B903" s="2" t="str">
        <f>_xlfn.IFS('Raw Data'!E903&gt;10,"Premium",'Raw Data'!E903&lt;10,"Basic")</f>
        <v>Basic</v>
      </c>
      <c r="C903">
        <v>7.99</v>
      </c>
      <c r="D903">
        <v>4548</v>
      </c>
      <c r="E903" t="s">
        <v>79</v>
      </c>
      <c r="F903" t="s">
        <v>36</v>
      </c>
      <c r="G903">
        <v>279</v>
      </c>
      <c r="H903" t="s">
        <v>28</v>
      </c>
      <c r="I903">
        <v>4445</v>
      </c>
      <c r="J903">
        <v>4548</v>
      </c>
      <c r="K903" t="s">
        <v>74</v>
      </c>
      <c r="L903" t="s">
        <v>64</v>
      </c>
      <c r="M903">
        <v>636</v>
      </c>
      <c r="N903">
        <v>176</v>
      </c>
      <c r="O903" t="s">
        <v>36</v>
      </c>
      <c r="P903" t="s">
        <v>74</v>
      </c>
      <c r="Q903">
        <v>279</v>
      </c>
      <c r="R903" t="s">
        <v>67</v>
      </c>
      <c r="S903">
        <v>7.99</v>
      </c>
    </row>
    <row r="904" spans="1:19" x14ac:dyDescent="0.3">
      <c r="A904">
        <f>'Raw Data'!D904-'Raw Data'!C904</f>
        <v>132</v>
      </c>
      <c r="B904" s="2" t="str">
        <f>_xlfn.IFS('Raw Data'!E904&gt;10,"Premium",'Raw Data'!E904&lt;10,"Basic")</f>
        <v>Premium</v>
      </c>
      <c r="C904">
        <v>15.99</v>
      </c>
      <c r="D904">
        <v>7556</v>
      </c>
      <c r="E904" t="s">
        <v>24</v>
      </c>
      <c r="F904" t="s">
        <v>30</v>
      </c>
      <c r="G904">
        <v>386</v>
      </c>
      <c r="H904" t="s">
        <v>28</v>
      </c>
      <c r="I904">
        <v>1587</v>
      </c>
      <c r="J904">
        <v>7556</v>
      </c>
      <c r="K904" t="s">
        <v>25</v>
      </c>
      <c r="L904" t="s">
        <v>64</v>
      </c>
      <c r="M904">
        <v>461</v>
      </c>
      <c r="N904">
        <v>178</v>
      </c>
      <c r="O904" t="s">
        <v>30</v>
      </c>
      <c r="P904" t="s">
        <v>25</v>
      </c>
      <c r="Q904">
        <v>386</v>
      </c>
      <c r="R904" t="s">
        <v>27</v>
      </c>
      <c r="S904">
        <v>15.99</v>
      </c>
    </row>
    <row r="905" spans="1:19" x14ac:dyDescent="0.3">
      <c r="A905">
        <f>'Raw Data'!D905-'Raw Data'!C905</f>
        <v>169</v>
      </c>
      <c r="B905" s="2" t="str">
        <f>_xlfn.IFS('Raw Data'!E905&gt;10,"Premium",'Raw Data'!E905&lt;10,"Basic")</f>
        <v>Premium</v>
      </c>
      <c r="C905">
        <v>15.99</v>
      </c>
      <c r="D905">
        <v>1846</v>
      </c>
      <c r="E905" t="s">
        <v>43</v>
      </c>
      <c r="F905" t="s">
        <v>60</v>
      </c>
      <c r="G905">
        <v>332</v>
      </c>
      <c r="H905" t="s">
        <v>28</v>
      </c>
      <c r="I905">
        <v>4400</v>
      </c>
      <c r="J905">
        <v>1846</v>
      </c>
      <c r="K905" t="s">
        <v>59</v>
      </c>
      <c r="L905" t="s">
        <v>49</v>
      </c>
      <c r="M905">
        <v>20</v>
      </c>
      <c r="N905">
        <v>128</v>
      </c>
      <c r="O905" t="s">
        <v>60</v>
      </c>
      <c r="P905" t="s">
        <v>59</v>
      </c>
      <c r="Q905">
        <v>332</v>
      </c>
      <c r="R905" t="s">
        <v>56</v>
      </c>
      <c r="S905">
        <v>15.99</v>
      </c>
    </row>
    <row r="906" spans="1:19" x14ac:dyDescent="0.3">
      <c r="A906">
        <f>'Raw Data'!D906-'Raw Data'!C906</f>
        <v>325</v>
      </c>
      <c r="B906" s="2" t="str">
        <f>_xlfn.IFS('Raw Data'!E906&gt;10,"Premium",'Raw Data'!E906&lt;10,"Basic")</f>
        <v>Premium</v>
      </c>
      <c r="C906">
        <v>11.99</v>
      </c>
      <c r="D906">
        <v>7088</v>
      </c>
      <c r="E906" t="s">
        <v>46</v>
      </c>
      <c r="F906" t="s">
        <v>52</v>
      </c>
      <c r="G906">
        <v>176</v>
      </c>
      <c r="H906" t="s">
        <v>28</v>
      </c>
      <c r="I906">
        <v>2891</v>
      </c>
      <c r="J906">
        <v>7088</v>
      </c>
      <c r="K906" t="s">
        <v>59</v>
      </c>
      <c r="L906" t="s">
        <v>26</v>
      </c>
      <c r="M906">
        <v>276</v>
      </c>
      <c r="N906">
        <v>138</v>
      </c>
      <c r="O906" t="s">
        <v>52</v>
      </c>
      <c r="P906" t="s">
        <v>59</v>
      </c>
      <c r="Q906">
        <v>176</v>
      </c>
      <c r="R906" t="s">
        <v>50</v>
      </c>
      <c r="S906">
        <v>11.99</v>
      </c>
    </row>
    <row r="907" spans="1:19" x14ac:dyDescent="0.3">
      <c r="A907">
        <f>'Raw Data'!D907-'Raw Data'!C907</f>
        <v>194</v>
      </c>
      <c r="B907" s="2" t="str">
        <f>_xlfn.IFS('Raw Data'!E907&gt;10,"Premium",'Raw Data'!E907&lt;10,"Basic")</f>
        <v>Premium</v>
      </c>
      <c r="C907">
        <v>11.99</v>
      </c>
      <c r="D907">
        <v>1179</v>
      </c>
      <c r="E907" t="s">
        <v>79</v>
      </c>
      <c r="F907" t="s">
        <v>30</v>
      </c>
      <c r="G907">
        <v>221</v>
      </c>
      <c r="H907" t="s">
        <v>28</v>
      </c>
      <c r="I907">
        <v>1363</v>
      </c>
      <c r="J907">
        <v>1179</v>
      </c>
      <c r="K907" t="s">
        <v>63</v>
      </c>
      <c r="L907" t="s">
        <v>64</v>
      </c>
      <c r="M907">
        <v>603</v>
      </c>
      <c r="N907">
        <v>141</v>
      </c>
      <c r="O907" t="s">
        <v>30</v>
      </c>
      <c r="P907" t="s">
        <v>63</v>
      </c>
      <c r="Q907">
        <v>221</v>
      </c>
      <c r="R907" t="s">
        <v>27</v>
      </c>
      <c r="S907">
        <v>11.99</v>
      </c>
    </row>
    <row r="908" spans="1:19" x14ac:dyDescent="0.3">
      <c r="A908">
        <f>'Raw Data'!D908-'Raw Data'!C908</f>
        <v>340</v>
      </c>
      <c r="B908" s="2" t="str">
        <f>_xlfn.IFS('Raw Data'!E908&gt;10,"Premium",'Raw Data'!E908&lt;10,"Basic")</f>
        <v>Basic</v>
      </c>
      <c r="C908">
        <v>7.99</v>
      </c>
      <c r="D908">
        <v>2190</v>
      </c>
      <c r="E908" t="s">
        <v>55</v>
      </c>
      <c r="F908" t="s">
        <v>68</v>
      </c>
      <c r="G908">
        <v>263</v>
      </c>
      <c r="H908" t="s">
        <v>28</v>
      </c>
      <c r="I908">
        <v>2323</v>
      </c>
      <c r="J908">
        <v>2190</v>
      </c>
      <c r="K908" t="s">
        <v>25</v>
      </c>
      <c r="L908" t="s">
        <v>49</v>
      </c>
      <c r="M908">
        <v>799</v>
      </c>
      <c r="N908">
        <v>14</v>
      </c>
      <c r="O908" t="s">
        <v>68</v>
      </c>
      <c r="P908" t="s">
        <v>25</v>
      </c>
      <c r="Q908">
        <v>263</v>
      </c>
      <c r="R908" t="s">
        <v>41</v>
      </c>
      <c r="S908">
        <v>7.99</v>
      </c>
    </row>
    <row r="909" spans="1:19" x14ac:dyDescent="0.3">
      <c r="A909">
        <f>'Raw Data'!D909-'Raw Data'!C909</f>
        <v>431</v>
      </c>
      <c r="B909" s="2" t="str">
        <f>_xlfn.IFS('Raw Data'!E909&gt;10,"Premium",'Raw Data'!E909&lt;10,"Basic")</f>
        <v>Premium</v>
      </c>
      <c r="C909">
        <v>15.99</v>
      </c>
      <c r="D909">
        <v>2847</v>
      </c>
      <c r="E909" t="s">
        <v>46</v>
      </c>
      <c r="F909" t="s">
        <v>60</v>
      </c>
      <c r="G909">
        <v>222</v>
      </c>
      <c r="H909" t="s">
        <v>28</v>
      </c>
      <c r="I909">
        <v>4291</v>
      </c>
      <c r="J909">
        <v>2847</v>
      </c>
      <c r="K909" t="s">
        <v>74</v>
      </c>
      <c r="L909" t="s">
        <v>49</v>
      </c>
      <c r="M909">
        <v>785</v>
      </c>
      <c r="N909">
        <v>147</v>
      </c>
      <c r="O909" t="s">
        <v>60</v>
      </c>
      <c r="P909" t="s">
        <v>74</v>
      </c>
      <c r="Q909">
        <v>222</v>
      </c>
      <c r="R909" t="s">
        <v>41</v>
      </c>
      <c r="S909">
        <v>15.99</v>
      </c>
    </row>
    <row r="910" spans="1:19" x14ac:dyDescent="0.3">
      <c r="A910">
        <f>'Raw Data'!D910-'Raw Data'!C910</f>
        <v>4</v>
      </c>
      <c r="B910" s="2" t="str">
        <f>_xlfn.IFS('Raw Data'!E910&gt;10,"Premium",'Raw Data'!E910&lt;10,"Basic")</f>
        <v>Premium</v>
      </c>
      <c r="C910">
        <v>11.99</v>
      </c>
      <c r="D910">
        <v>6570</v>
      </c>
      <c r="E910" t="s">
        <v>79</v>
      </c>
      <c r="F910" t="s">
        <v>68</v>
      </c>
      <c r="G910">
        <v>39</v>
      </c>
      <c r="H910" t="s">
        <v>28</v>
      </c>
      <c r="I910">
        <v>4938</v>
      </c>
      <c r="J910">
        <v>6570</v>
      </c>
      <c r="K910" t="s">
        <v>39</v>
      </c>
      <c r="L910" t="s">
        <v>49</v>
      </c>
      <c r="M910">
        <v>28</v>
      </c>
      <c r="N910">
        <v>189</v>
      </c>
      <c r="O910" t="s">
        <v>68</v>
      </c>
      <c r="P910" t="s">
        <v>39</v>
      </c>
      <c r="Q910">
        <v>39</v>
      </c>
      <c r="R910" t="s">
        <v>67</v>
      </c>
      <c r="S910">
        <v>11.99</v>
      </c>
    </row>
    <row r="911" spans="1:19" x14ac:dyDescent="0.3">
      <c r="A911">
        <f>'Raw Data'!D911-'Raw Data'!C911</f>
        <v>549</v>
      </c>
      <c r="B911" s="2" t="str">
        <f>_xlfn.IFS('Raw Data'!E911&gt;10,"Premium",'Raw Data'!E911&lt;10,"Basic")</f>
        <v>Premium</v>
      </c>
      <c r="C911">
        <v>11.99</v>
      </c>
      <c r="D911">
        <v>1149</v>
      </c>
      <c r="E911" t="s">
        <v>24</v>
      </c>
      <c r="F911" t="s">
        <v>60</v>
      </c>
      <c r="G911">
        <v>445</v>
      </c>
      <c r="H911" t="s">
        <v>28</v>
      </c>
      <c r="I911">
        <v>913</v>
      </c>
      <c r="J911">
        <v>1149</v>
      </c>
      <c r="K911" t="s">
        <v>25</v>
      </c>
      <c r="L911" t="s">
        <v>40</v>
      </c>
      <c r="M911">
        <v>637</v>
      </c>
      <c r="N911">
        <v>14</v>
      </c>
      <c r="O911" t="s">
        <v>60</v>
      </c>
      <c r="P911" t="s">
        <v>25</v>
      </c>
      <c r="Q911">
        <v>445</v>
      </c>
      <c r="R911" t="s">
        <v>67</v>
      </c>
      <c r="S911">
        <v>11.99</v>
      </c>
    </row>
    <row r="912" spans="1:19" x14ac:dyDescent="0.3">
      <c r="A912">
        <f>'Raw Data'!D912-'Raw Data'!C912</f>
        <v>229</v>
      </c>
      <c r="B912" s="2" t="str">
        <f>_xlfn.IFS('Raw Data'!E912&gt;10,"Premium",'Raw Data'!E912&lt;10,"Basic")</f>
        <v>Premium</v>
      </c>
      <c r="C912">
        <v>11.99</v>
      </c>
      <c r="D912">
        <v>1336</v>
      </c>
      <c r="E912" t="s">
        <v>43</v>
      </c>
      <c r="F912" t="s">
        <v>68</v>
      </c>
      <c r="G912">
        <v>164</v>
      </c>
      <c r="H912" t="s">
        <v>28</v>
      </c>
      <c r="I912">
        <v>3925</v>
      </c>
      <c r="J912">
        <v>1336</v>
      </c>
      <c r="K912" t="s">
        <v>39</v>
      </c>
      <c r="L912" t="s">
        <v>26</v>
      </c>
      <c r="M912">
        <v>79</v>
      </c>
      <c r="N912">
        <v>130</v>
      </c>
      <c r="O912" t="s">
        <v>68</v>
      </c>
      <c r="P912" t="s">
        <v>39</v>
      </c>
      <c r="Q912">
        <v>164</v>
      </c>
      <c r="R912" t="s">
        <v>67</v>
      </c>
      <c r="S912">
        <v>11.99</v>
      </c>
    </row>
    <row r="913" spans="1:19" x14ac:dyDescent="0.3">
      <c r="A913">
        <f>'Raw Data'!D913-'Raw Data'!C913</f>
        <v>277</v>
      </c>
      <c r="B913" s="2" t="str">
        <f>_xlfn.IFS('Raw Data'!E913&gt;10,"Premium",'Raw Data'!E913&lt;10,"Basic")</f>
        <v>Premium</v>
      </c>
      <c r="C913">
        <v>15.99</v>
      </c>
      <c r="D913">
        <v>6956</v>
      </c>
      <c r="E913" t="s">
        <v>43</v>
      </c>
      <c r="F913" t="s">
        <v>68</v>
      </c>
      <c r="G913">
        <v>101</v>
      </c>
      <c r="H913" t="s">
        <v>28</v>
      </c>
      <c r="I913">
        <v>2517</v>
      </c>
      <c r="J913">
        <v>6956</v>
      </c>
      <c r="K913" t="s">
        <v>48</v>
      </c>
      <c r="L913" t="s">
        <v>40</v>
      </c>
      <c r="M913">
        <v>175</v>
      </c>
      <c r="N913">
        <v>125</v>
      </c>
      <c r="O913" t="s">
        <v>68</v>
      </c>
      <c r="P913" t="s">
        <v>48</v>
      </c>
      <c r="Q913">
        <v>101</v>
      </c>
      <c r="R913" t="s">
        <v>41</v>
      </c>
      <c r="S913">
        <v>15.99</v>
      </c>
    </row>
    <row r="914" spans="1:19" x14ac:dyDescent="0.3">
      <c r="A914">
        <f>'Raw Data'!D914-'Raw Data'!C914</f>
        <v>68</v>
      </c>
      <c r="B914" s="2" t="str">
        <f>_xlfn.IFS('Raw Data'!E914&gt;10,"Premium",'Raw Data'!E914&lt;10,"Basic")</f>
        <v>Premium</v>
      </c>
      <c r="C914">
        <v>11.99</v>
      </c>
      <c r="D914">
        <v>7015</v>
      </c>
      <c r="E914" t="s">
        <v>33</v>
      </c>
      <c r="F914" t="s">
        <v>36</v>
      </c>
      <c r="G914">
        <v>424</v>
      </c>
      <c r="H914" t="s">
        <v>28</v>
      </c>
      <c r="I914">
        <v>2070</v>
      </c>
      <c r="J914">
        <v>7015</v>
      </c>
      <c r="K914" t="s">
        <v>63</v>
      </c>
      <c r="L914" t="s">
        <v>64</v>
      </c>
      <c r="M914">
        <v>684</v>
      </c>
      <c r="N914">
        <v>127</v>
      </c>
      <c r="O914" t="s">
        <v>36</v>
      </c>
      <c r="P914" t="s">
        <v>63</v>
      </c>
      <c r="Q914">
        <v>424</v>
      </c>
      <c r="R914" t="s">
        <v>41</v>
      </c>
      <c r="S914">
        <v>11.99</v>
      </c>
    </row>
    <row r="915" spans="1:19" x14ac:dyDescent="0.3">
      <c r="A915">
        <f>'Raw Data'!D915-'Raw Data'!C915</f>
        <v>487</v>
      </c>
      <c r="B915" s="2" t="str">
        <f>_xlfn.IFS('Raw Data'!E915&gt;10,"Premium",'Raw Data'!E915&lt;10,"Basic")</f>
        <v>Premium</v>
      </c>
      <c r="C915">
        <v>15.99</v>
      </c>
      <c r="D915">
        <v>4104</v>
      </c>
      <c r="E915" t="s">
        <v>43</v>
      </c>
      <c r="F915" t="s">
        <v>30</v>
      </c>
      <c r="G915">
        <v>182</v>
      </c>
      <c r="H915" t="s">
        <v>28</v>
      </c>
      <c r="I915">
        <v>4726</v>
      </c>
      <c r="J915">
        <v>4104</v>
      </c>
      <c r="K915" t="s">
        <v>25</v>
      </c>
      <c r="L915" t="s">
        <v>64</v>
      </c>
      <c r="M915">
        <v>247</v>
      </c>
      <c r="N915">
        <v>197</v>
      </c>
      <c r="O915" t="s">
        <v>30</v>
      </c>
      <c r="P915" t="s">
        <v>25</v>
      </c>
      <c r="Q915">
        <v>182</v>
      </c>
      <c r="R915" t="s">
        <v>67</v>
      </c>
      <c r="S915">
        <v>15.99</v>
      </c>
    </row>
    <row r="916" spans="1:19" x14ac:dyDescent="0.3">
      <c r="A916">
        <f>'Raw Data'!D916-'Raw Data'!C916</f>
        <v>464</v>
      </c>
      <c r="B916" s="2" t="str">
        <f>_xlfn.IFS('Raw Data'!E916&gt;10,"Premium",'Raw Data'!E916&lt;10,"Basic")</f>
        <v>Premium</v>
      </c>
      <c r="C916">
        <v>15.99</v>
      </c>
      <c r="D916">
        <v>9413</v>
      </c>
      <c r="E916" t="s">
        <v>43</v>
      </c>
      <c r="F916" t="s">
        <v>30</v>
      </c>
      <c r="G916">
        <v>115</v>
      </c>
      <c r="H916" t="s">
        <v>28</v>
      </c>
      <c r="I916">
        <v>1536</v>
      </c>
      <c r="J916">
        <v>9413</v>
      </c>
      <c r="K916" t="s">
        <v>25</v>
      </c>
      <c r="L916" t="s">
        <v>64</v>
      </c>
      <c r="M916">
        <v>741</v>
      </c>
      <c r="N916">
        <v>68</v>
      </c>
      <c r="O916" t="s">
        <v>30</v>
      </c>
      <c r="P916" t="s">
        <v>25</v>
      </c>
      <c r="Q916">
        <v>115</v>
      </c>
      <c r="R916" t="s">
        <v>27</v>
      </c>
      <c r="S916">
        <v>15.99</v>
      </c>
    </row>
    <row r="917" spans="1:19" x14ac:dyDescent="0.3">
      <c r="A917">
        <f>'Raw Data'!D917-'Raw Data'!C917</f>
        <v>233</v>
      </c>
      <c r="B917" s="2" t="str">
        <f>_xlfn.IFS('Raw Data'!E917&gt;10,"Premium",'Raw Data'!E917&lt;10,"Basic")</f>
        <v>Premium</v>
      </c>
      <c r="C917">
        <v>15.99</v>
      </c>
      <c r="D917">
        <v>8300</v>
      </c>
      <c r="E917" t="s">
        <v>46</v>
      </c>
      <c r="F917" t="s">
        <v>68</v>
      </c>
      <c r="G917">
        <v>33</v>
      </c>
      <c r="H917" t="s">
        <v>28</v>
      </c>
      <c r="I917">
        <v>2113</v>
      </c>
      <c r="J917">
        <v>8300</v>
      </c>
      <c r="K917" t="s">
        <v>39</v>
      </c>
      <c r="L917" t="s">
        <v>49</v>
      </c>
      <c r="M917">
        <v>623</v>
      </c>
      <c r="N917">
        <v>53</v>
      </c>
      <c r="O917" t="s">
        <v>68</v>
      </c>
      <c r="P917" t="s">
        <v>39</v>
      </c>
      <c r="Q917">
        <v>33</v>
      </c>
      <c r="R917" t="s">
        <v>56</v>
      </c>
      <c r="S917">
        <v>15.99</v>
      </c>
    </row>
    <row r="918" spans="1:19" x14ac:dyDescent="0.3">
      <c r="A918">
        <f>'Raw Data'!D918-'Raw Data'!C918</f>
        <v>211</v>
      </c>
      <c r="B918" s="2" t="str">
        <f>_xlfn.IFS('Raw Data'!E918&gt;10,"Premium",'Raw Data'!E918&lt;10,"Basic")</f>
        <v>Basic</v>
      </c>
      <c r="C918">
        <v>7.99</v>
      </c>
      <c r="D918">
        <v>5126</v>
      </c>
      <c r="E918" t="s">
        <v>33</v>
      </c>
      <c r="F918" t="s">
        <v>36</v>
      </c>
      <c r="G918">
        <v>259</v>
      </c>
      <c r="H918" t="s">
        <v>28</v>
      </c>
      <c r="I918">
        <v>428</v>
      </c>
      <c r="J918">
        <v>5126</v>
      </c>
      <c r="K918" t="s">
        <v>44</v>
      </c>
      <c r="L918" t="s">
        <v>26</v>
      </c>
      <c r="M918">
        <v>327</v>
      </c>
      <c r="N918">
        <v>76</v>
      </c>
      <c r="O918" t="s">
        <v>36</v>
      </c>
      <c r="P918" t="s">
        <v>44</v>
      </c>
      <c r="Q918">
        <v>259</v>
      </c>
      <c r="R918" t="s">
        <v>67</v>
      </c>
      <c r="S918">
        <v>7.99</v>
      </c>
    </row>
    <row r="919" spans="1:19" x14ac:dyDescent="0.3">
      <c r="A919">
        <f>'Raw Data'!D919-'Raw Data'!C919</f>
        <v>160</v>
      </c>
      <c r="B919" s="2" t="str">
        <f>_xlfn.IFS('Raw Data'!E919&gt;10,"Premium",'Raw Data'!E919&lt;10,"Basic")</f>
        <v>Premium</v>
      </c>
      <c r="C919">
        <v>15.99</v>
      </c>
      <c r="D919">
        <v>1754</v>
      </c>
      <c r="E919" t="s">
        <v>79</v>
      </c>
      <c r="F919" t="s">
        <v>60</v>
      </c>
      <c r="G919">
        <v>309</v>
      </c>
      <c r="H919" t="s">
        <v>28</v>
      </c>
      <c r="I919">
        <v>2336</v>
      </c>
      <c r="J919">
        <v>1754</v>
      </c>
      <c r="K919" t="s">
        <v>74</v>
      </c>
      <c r="L919" t="s">
        <v>49</v>
      </c>
      <c r="M919">
        <v>760</v>
      </c>
      <c r="N919">
        <v>72</v>
      </c>
      <c r="O919" t="s">
        <v>60</v>
      </c>
      <c r="P919" t="s">
        <v>74</v>
      </c>
      <c r="Q919">
        <v>309</v>
      </c>
      <c r="R919" t="s">
        <v>67</v>
      </c>
      <c r="S919">
        <v>15.99</v>
      </c>
    </row>
    <row r="920" spans="1:19" x14ac:dyDescent="0.3">
      <c r="A920">
        <f>'Raw Data'!D920-'Raw Data'!C920</f>
        <v>649</v>
      </c>
      <c r="B920" s="2" t="str">
        <f>_xlfn.IFS('Raw Data'!E920&gt;10,"Premium",'Raw Data'!E920&lt;10,"Basic")</f>
        <v>Basic</v>
      </c>
      <c r="C920">
        <v>7.99</v>
      </c>
      <c r="D920">
        <v>7089</v>
      </c>
      <c r="E920" t="s">
        <v>79</v>
      </c>
      <c r="F920" t="s">
        <v>36</v>
      </c>
      <c r="G920">
        <v>367</v>
      </c>
      <c r="H920" t="s">
        <v>28</v>
      </c>
      <c r="I920">
        <v>2344</v>
      </c>
      <c r="J920">
        <v>7089</v>
      </c>
      <c r="K920" t="s">
        <v>25</v>
      </c>
      <c r="L920" t="s">
        <v>26</v>
      </c>
      <c r="M920">
        <v>522</v>
      </c>
      <c r="N920">
        <v>10</v>
      </c>
      <c r="O920" t="s">
        <v>36</v>
      </c>
      <c r="P920" t="s">
        <v>25</v>
      </c>
      <c r="Q920">
        <v>367</v>
      </c>
      <c r="R920" t="s">
        <v>41</v>
      </c>
      <c r="S920">
        <v>7.99</v>
      </c>
    </row>
    <row r="921" spans="1:19" x14ac:dyDescent="0.3">
      <c r="A921">
        <f>'Raw Data'!D921-'Raw Data'!C921</f>
        <v>433</v>
      </c>
      <c r="B921" s="2" t="str">
        <f>_xlfn.IFS('Raw Data'!E921&gt;10,"Premium",'Raw Data'!E921&lt;10,"Basic")</f>
        <v>Basic</v>
      </c>
      <c r="C921">
        <v>7.99</v>
      </c>
      <c r="D921">
        <v>1697</v>
      </c>
      <c r="E921" t="s">
        <v>24</v>
      </c>
      <c r="F921" t="s">
        <v>68</v>
      </c>
      <c r="G921">
        <v>472</v>
      </c>
      <c r="H921" t="s">
        <v>28</v>
      </c>
      <c r="I921">
        <v>1351</v>
      </c>
      <c r="J921">
        <v>1697</v>
      </c>
      <c r="K921" t="s">
        <v>25</v>
      </c>
      <c r="L921" t="s">
        <v>40</v>
      </c>
      <c r="M921">
        <v>76</v>
      </c>
      <c r="N921">
        <v>157</v>
      </c>
      <c r="O921" t="s">
        <v>68</v>
      </c>
      <c r="P921" t="s">
        <v>25</v>
      </c>
      <c r="Q921">
        <v>472</v>
      </c>
      <c r="R921" t="s">
        <v>67</v>
      </c>
      <c r="S921">
        <v>7.99</v>
      </c>
    </row>
    <row r="922" spans="1:19" x14ac:dyDescent="0.3">
      <c r="A922">
        <f>'Raw Data'!D922-'Raw Data'!C922</f>
        <v>355</v>
      </c>
      <c r="B922" s="2" t="str">
        <f>_xlfn.IFS('Raw Data'!E922&gt;10,"Premium",'Raw Data'!E922&lt;10,"Basic")</f>
        <v>Premium</v>
      </c>
      <c r="C922">
        <v>15.99</v>
      </c>
      <c r="D922">
        <v>4768</v>
      </c>
      <c r="E922" t="s">
        <v>46</v>
      </c>
      <c r="F922" t="s">
        <v>60</v>
      </c>
      <c r="G922">
        <v>449</v>
      </c>
      <c r="H922" t="s">
        <v>28</v>
      </c>
      <c r="I922">
        <v>165</v>
      </c>
      <c r="J922">
        <v>4768</v>
      </c>
      <c r="K922" t="s">
        <v>63</v>
      </c>
      <c r="L922" t="s">
        <v>40</v>
      </c>
      <c r="M922">
        <v>61</v>
      </c>
      <c r="N922">
        <v>61</v>
      </c>
      <c r="O922" t="s">
        <v>60</v>
      </c>
      <c r="P922" t="s">
        <v>63</v>
      </c>
      <c r="Q922">
        <v>449</v>
      </c>
      <c r="R922" t="s">
        <v>67</v>
      </c>
      <c r="S922">
        <v>15.99</v>
      </c>
    </row>
    <row r="923" spans="1:19" x14ac:dyDescent="0.3">
      <c r="A923">
        <f>'Raw Data'!D923-'Raw Data'!C923</f>
        <v>358</v>
      </c>
      <c r="B923" s="2" t="str">
        <f>_xlfn.IFS('Raw Data'!E923&gt;10,"Premium",'Raw Data'!E923&lt;10,"Basic")</f>
        <v>Premium</v>
      </c>
      <c r="C923">
        <v>15.99</v>
      </c>
      <c r="D923">
        <v>4205</v>
      </c>
      <c r="E923" t="s">
        <v>62</v>
      </c>
      <c r="F923" t="s">
        <v>68</v>
      </c>
      <c r="G923">
        <v>302</v>
      </c>
      <c r="H923" t="s">
        <v>28</v>
      </c>
      <c r="I923">
        <v>3411</v>
      </c>
      <c r="J923">
        <v>4205</v>
      </c>
      <c r="K923" t="s">
        <v>25</v>
      </c>
      <c r="L923" t="s">
        <v>64</v>
      </c>
      <c r="M923">
        <v>800</v>
      </c>
      <c r="N923">
        <v>101</v>
      </c>
      <c r="O923" t="s">
        <v>68</v>
      </c>
      <c r="P923" t="s">
        <v>25</v>
      </c>
      <c r="Q923">
        <v>302</v>
      </c>
      <c r="R923" t="s">
        <v>56</v>
      </c>
      <c r="S923">
        <v>15.99</v>
      </c>
    </row>
    <row r="924" spans="1:19" x14ac:dyDescent="0.3">
      <c r="A924">
        <f>'Raw Data'!D924-'Raw Data'!C924</f>
        <v>85</v>
      </c>
      <c r="B924" s="2" t="str">
        <f>_xlfn.IFS('Raw Data'!E924&gt;10,"Premium",'Raw Data'!E924&lt;10,"Basic")</f>
        <v>Basic</v>
      </c>
      <c r="C924">
        <v>7.99</v>
      </c>
      <c r="D924">
        <v>8844</v>
      </c>
      <c r="E924" t="s">
        <v>43</v>
      </c>
      <c r="F924" t="s">
        <v>60</v>
      </c>
      <c r="G924">
        <v>70</v>
      </c>
      <c r="H924" t="s">
        <v>28</v>
      </c>
      <c r="I924">
        <v>615</v>
      </c>
      <c r="J924">
        <v>8844</v>
      </c>
      <c r="K924" t="s">
        <v>25</v>
      </c>
      <c r="L924" t="s">
        <v>40</v>
      </c>
      <c r="M924">
        <v>226</v>
      </c>
      <c r="N924">
        <v>104</v>
      </c>
      <c r="O924" t="s">
        <v>60</v>
      </c>
      <c r="P924" t="s">
        <v>25</v>
      </c>
      <c r="Q924">
        <v>70</v>
      </c>
      <c r="R924" t="s">
        <v>34</v>
      </c>
      <c r="S924">
        <v>7.99</v>
      </c>
    </row>
    <row r="925" spans="1:19" x14ac:dyDescent="0.3">
      <c r="A925">
        <f>'Raw Data'!D925-'Raw Data'!C925</f>
        <v>574</v>
      </c>
      <c r="B925" s="2" t="str">
        <f>_xlfn.IFS('Raw Data'!E925&gt;10,"Premium",'Raw Data'!E925&lt;10,"Basic")</f>
        <v>Basic</v>
      </c>
      <c r="C925">
        <v>7.99</v>
      </c>
      <c r="D925">
        <v>1103</v>
      </c>
      <c r="E925" t="s">
        <v>43</v>
      </c>
      <c r="F925" t="s">
        <v>68</v>
      </c>
      <c r="G925">
        <v>157</v>
      </c>
      <c r="H925" t="s">
        <v>28</v>
      </c>
      <c r="I925">
        <v>1538</v>
      </c>
      <c r="J925">
        <v>1103</v>
      </c>
      <c r="K925" t="s">
        <v>39</v>
      </c>
      <c r="L925" t="s">
        <v>49</v>
      </c>
      <c r="M925">
        <v>792</v>
      </c>
      <c r="N925">
        <v>141</v>
      </c>
      <c r="O925" t="s">
        <v>68</v>
      </c>
      <c r="P925" t="s">
        <v>39</v>
      </c>
      <c r="Q925">
        <v>157</v>
      </c>
      <c r="R925" t="s">
        <v>50</v>
      </c>
      <c r="S925">
        <v>7.99</v>
      </c>
    </row>
    <row r="926" spans="1:19" x14ac:dyDescent="0.3">
      <c r="A926">
        <f>'Raw Data'!D926-'Raw Data'!C926</f>
        <v>588</v>
      </c>
      <c r="B926" s="2" t="str">
        <f>_xlfn.IFS('Raw Data'!E926&gt;10,"Premium",'Raw Data'!E926&lt;10,"Basic")</f>
        <v>Basic</v>
      </c>
      <c r="C926">
        <v>7.99</v>
      </c>
      <c r="D926">
        <v>2180</v>
      </c>
      <c r="E926" t="s">
        <v>55</v>
      </c>
      <c r="F926" t="s">
        <v>30</v>
      </c>
      <c r="G926">
        <v>17</v>
      </c>
      <c r="H926" t="s">
        <v>28</v>
      </c>
      <c r="I926">
        <v>1835</v>
      </c>
      <c r="J926">
        <v>2180</v>
      </c>
      <c r="K926" t="s">
        <v>44</v>
      </c>
      <c r="L926" t="s">
        <v>26</v>
      </c>
      <c r="M926">
        <v>498</v>
      </c>
      <c r="N926">
        <v>67</v>
      </c>
      <c r="O926" t="s">
        <v>30</v>
      </c>
      <c r="P926" t="s">
        <v>44</v>
      </c>
      <c r="Q926">
        <v>17</v>
      </c>
      <c r="R926" t="s">
        <v>41</v>
      </c>
      <c r="S926">
        <v>7.99</v>
      </c>
    </row>
    <row r="927" spans="1:19" x14ac:dyDescent="0.3">
      <c r="A927">
        <f>'Raw Data'!D927-'Raw Data'!C927</f>
        <v>689</v>
      </c>
      <c r="B927" s="2" t="str">
        <f>_xlfn.IFS('Raw Data'!E927&gt;10,"Premium",'Raw Data'!E927&lt;10,"Basic")</f>
        <v>Premium</v>
      </c>
      <c r="C927">
        <v>15.99</v>
      </c>
      <c r="D927">
        <v>6607</v>
      </c>
      <c r="E927" t="s">
        <v>33</v>
      </c>
      <c r="F927" t="s">
        <v>30</v>
      </c>
      <c r="G927">
        <v>173</v>
      </c>
      <c r="H927" t="s">
        <v>28</v>
      </c>
      <c r="I927">
        <v>3515</v>
      </c>
      <c r="J927">
        <v>6607</v>
      </c>
      <c r="K927" t="s">
        <v>74</v>
      </c>
      <c r="L927" t="s">
        <v>40</v>
      </c>
      <c r="M927">
        <v>950</v>
      </c>
      <c r="N927">
        <v>163</v>
      </c>
      <c r="O927" t="s">
        <v>30</v>
      </c>
      <c r="P927" t="s">
        <v>74</v>
      </c>
      <c r="Q927">
        <v>173</v>
      </c>
      <c r="R927" t="s">
        <v>67</v>
      </c>
      <c r="S927">
        <v>15.99</v>
      </c>
    </row>
    <row r="928" spans="1:19" x14ac:dyDescent="0.3">
      <c r="A928">
        <f>'Raw Data'!D928-'Raw Data'!C928</f>
        <v>680</v>
      </c>
      <c r="B928" s="2" t="str">
        <f>_xlfn.IFS('Raw Data'!E928&gt;10,"Premium",'Raw Data'!E928&lt;10,"Basic")</f>
        <v>Premium</v>
      </c>
      <c r="C928">
        <v>11.99</v>
      </c>
      <c r="D928">
        <v>7949</v>
      </c>
      <c r="E928" t="s">
        <v>62</v>
      </c>
      <c r="F928" t="s">
        <v>30</v>
      </c>
      <c r="G928">
        <v>301</v>
      </c>
      <c r="H928" t="s">
        <v>28</v>
      </c>
      <c r="I928">
        <v>1657</v>
      </c>
      <c r="J928">
        <v>7949</v>
      </c>
      <c r="K928" t="s">
        <v>59</v>
      </c>
      <c r="L928" t="s">
        <v>49</v>
      </c>
      <c r="M928">
        <v>906</v>
      </c>
      <c r="N928">
        <v>141</v>
      </c>
      <c r="O928" t="s">
        <v>30</v>
      </c>
      <c r="P928" t="s">
        <v>59</v>
      </c>
      <c r="Q928">
        <v>301</v>
      </c>
      <c r="R928" t="s">
        <v>27</v>
      </c>
      <c r="S928">
        <v>11.99</v>
      </c>
    </row>
    <row r="929" spans="1:19" x14ac:dyDescent="0.3">
      <c r="A929">
        <f>'Raw Data'!D929-'Raw Data'!C929</f>
        <v>104</v>
      </c>
      <c r="B929" s="2" t="str">
        <f>_xlfn.IFS('Raw Data'!E929&gt;10,"Premium",'Raw Data'!E929&lt;10,"Basic")</f>
        <v>Basic</v>
      </c>
      <c r="C929">
        <v>7.99</v>
      </c>
      <c r="D929">
        <v>5337</v>
      </c>
      <c r="E929" t="s">
        <v>55</v>
      </c>
      <c r="F929" t="s">
        <v>52</v>
      </c>
      <c r="G929">
        <v>357</v>
      </c>
      <c r="H929" t="s">
        <v>28</v>
      </c>
      <c r="I929">
        <v>2209</v>
      </c>
      <c r="J929">
        <v>5337</v>
      </c>
      <c r="K929" t="s">
        <v>74</v>
      </c>
      <c r="L929" t="s">
        <v>64</v>
      </c>
      <c r="M929">
        <v>245</v>
      </c>
      <c r="N929">
        <v>116</v>
      </c>
      <c r="O929" t="s">
        <v>52</v>
      </c>
      <c r="P929" t="s">
        <v>74</v>
      </c>
      <c r="Q929">
        <v>357</v>
      </c>
      <c r="R929" t="s">
        <v>41</v>
      </c>
      <c r="S929">
        <v>7.99</v>
      </c>
    </row>
    <row r="930" spans="1:19" x14ac:dyDescent="0.3">
      <c r="A930">
        <f>'Raw Data'!D930-'Raw Data'!C930</f>
        <v>503</v>
      </c>
      <c r="B930" s="2" t="str">
        <f>_xlfn.IFS('Raw Data'!E930&gt;10,"Premium",'Raw Data'!E930&lt;10,"Basic")</f>
        <v>Basic</v>
      </c>
      <c r="C930">
        <v>7.99</v>
      </c>
      <c r="D930">
        <v>8477</v>
      </c>
      <c r="E930" t="s">
        <v>33</v>
      </c>
      <c r="F930" t="s">
        <v>60</v>
      </c>
      <c r="G930">
        <v>48</v>
      </c>
      <c r="H930" t="s">
        <v>28</v>
      </c>
      <c r="I930">
        <v>1327</v>
      </c>
      <c r="J930">
        <v>8477</v>
      </c>
      <c r="K930" t="s">
        <v>25</v>
      </c>
      <c r="L930" t="s">
        <v>26</v>
      </c>
      <c r="M930">
        <v>33</v>
      </c>
      <c r="N930">
        <v>7</v>
      </c>
      <c r="O930" t="s">
        <v>60</v>
      </c>
      <c r="P930" t="s">
        <v>25</v>
      </c>
      <c r="Q930">
        <v>48</v>
      </c>
      <c r="R930" t="s">
        <v>34</v>
      </c>
      <c r="S930">
        <v>7.99</v>
      </c>
    </row>
    <row r="931" spans="1:19" x14ac:dyDescent="0.3">
      <c r="A931">
        <f>'Raw Data'!D931-'Raw Data'!C931</f>
        <v>462</v>
      </c>
      <c r="B931" s="2" t="str">
        <f>_xlfn.IFS('Raw Data'!E931&gt;10,"Premium",'Raw Data'!E931&lt;10,"Basic")</f>
        <v>Basic</v>
      </c>
      <c r="C931">
        <v>7.99</v>
      </c>
      <c r="D931">
        <v>7673</v>
      </c>
      <c r="E931" t="s">
        <v>24</v>
      </c>
      <c r="F931" t="s">
        <v>68</v>
      </c>
      <c r="G931">
        <v>351</v>
      </c>
      <c r="H931" t="s">
        <v>28</v>
      </c>
      <c r="I931">
        <v>4337</v>
      </c>
      <c r="J931">
        <v>7673</v>
      </c>
      <c r="K931" t="s">
        <v>63</v>
      </c>
      <c r="L931" t="s">
        <v>64</v>
      </c>
      <c r="M931">
        <v>70</v>
      </c>
      <c r="N931">
        <v>41</v>
      </c>
      <c r="O931" t="s">
        <v>68</v>
      </c>
      <c r="P931" t="s">
        <v>63</v>
      </c>
      <c r="Q931">
        <v>351</v>
      </c>
      <c r="R931" t="s">
        <v>50</v>
      </c>
      <c r="S931">
        <v>7.99</v>
      </c>
    </row>
    <row r="932" spans="1:19" x14ac:dyDescent="0.3">
      <c r="A932">
        <f>'Raw Data'!D932-'Raw Data'!C932</f>
        <v>404</v>
      </c>
      <c r="B932" s="2" t="str">
        <f>_xlfn.IFS('Raw Data'!E932&gt;10,"Premium",'Raw Data'!E932&lt;10,"Basic")</f>
        <v>Premium</v>
      </c>
      <c r="C932">
        <v>11.99</v>
      </c>
      <c r="D932">
        <v>6113</v>
      </c>
      <c r="E932" t="s">
        <v>62</v>
      </c>
      <c r="F932" t="s">
        <v>68</v>
      </c>
      <c r="G932">
        <v>491</v>
      </c>
      <c r="H932" t="s">
        <v>28</v>
      </c>
      <c r="I932">
        <v>398</v>
      </c>
      <c r="J932">
        <v>6113</v>
      </c>
      <c r="K932" t="s">
        <v>44</v>
      </c>
      <c r="L932" t="s">
        <v>64</v>
      </c>
      <c r="M932">
        <v>779</v>
      </c>
      <c r="N932">
        <v>86</v>
      </c>
      <c r="O932" t="s">
        <v>68</v>
      </c>
      <c r="P932" t="s">
        <v>44</v>
      </c>
      <c r="Q932">
        <v>491</v>
      </c>
      <c r="R932" t="s">
        <v>27</v>
      </c>
      <c r="S932">
        <v>11.99</v>
      </c>
    </row>
    <row r="933" spans="1:19" x14ac:dyDescent="0.3">
      <c r="A933">
        <f>'Raw Data'!D933-'Raw Data'!C933</f>
        <v>597</v>
      </c>
      <c r="B933" s="2" t="str">
        <f>_xlfn.IFS('Raw Data'!E933&gt;10,"Premium",'Raw Data'!E933&lt;10,"Basic")</f>
        <v>Premium</v>
      </c>
      <c r="C933">
        <v>11.99</v>
      </c>
      <c r="D933">
        <v>7457</v>
      </c>
      <c r="E933" t="s">
        <v>43</v>
      </c>
      <c r="F933" t="s">
        <v>60</v>
      </c>
      <c r="G933">
        <v>164</v>
      </c>
      <c r="H933" t="s">
        <v>28</v>
      </c>
      <c r="I933">
        <v>1508</v>
      </c>
      <c r="J933">
        <v>7457</v>
      </c>
      <c r="K933" t="s">
        <v>44</v>
      </c>
      <c r="L933" t="s">
        <v>40</v>
      </c>
      <c r="M933">
        <v>536</v>
      </c>
      <c r="N933">
        <v>150</v>
      </c>
      <c r="O933" t="s">
        <v>60</v>
      </c>
      <c r="P933" t="s">
        <v>44</v>
      </c>
      <c r="Q933">
        <v>164</v>
      </c>
      <c r="R933" t="s">
        <v>41</v>
      </c>
      <c r="S933">
        <v>11.99</v>
      </c>
    </row>
    <row r="934" spans="1:19" x14ac:dyDescent="0.3">
      <c r="A934">
        <f>'Raw Data'!D934-'Raw Data'!C934</f>
        <v>366</v>
      </c>
      <c r="B934" s="2" t="str">
        <f>_xlfn.IFS('Raw Data'!E934&gt;10,"Premium",'Raw Data'!E934&lt;10,"Basic")</f>
        <v>Basic</v>
      </c>
      <c r="C934">
        <v>7.99</v>
      </c>
      <c r="D934">
        <v>6639</v>
      </c>
      <c r="E934" t="s">
        <v>24</v>
      </c>
      <c r="F934" t="s">
        <v>30</v>
      </c>
      <c r="G934">
        <v>304</v>
      </c>
      <c r="H934" t="s">
        <v>28</v>
      </c>
      <c r="I934">
        <v>249</v>
      </c>
      <c r="J934">
        <v>6639</v>
      </c>
      <c r="K934" t="s">
        <v>63</v>
      </c>
      <c r="L934" t="s">
        <v>26</v>
      </c>
      <c r="M934">
        <v>902</v>
      </c>
      <c r="N934">
        <v>20</v>
      </c>
      <c r="O934" t="s">
        <v>30</v>
      </c>
      <c r="P934" t="s">
        <v>63</v>
      </c>
      <c r="Q934">
        <v>304</v>
      </c>
      <c r="R934" t="s">
        <v>41</v>
      </c>
      <c r="S934">
        <v>7.99</v>
      </c>
    </row>
    <row r="935" spans="1:19" x14ac:dyDescent="0.3">
      <c r="A935">
        <f>'Raw Data'!D935-'Raw Data'!C935</f>
        <v>483</v>
      </c>
      <c r="B935" s="2" t="str">
        <f>_xlfn.IFS('Raw Data'!E935&gt;10,"Premium",'Raw Data'!E935&lt;10,"Basic")</f>
        <v>Basic</v>
      </c>
      <c r="C935">
        <v>7.99</v>
      </c>
      <c r="D935">
        <v>5220</v>
      </c>
      <c r="E935" t="s">
        <v>55</v>
      </c>
      <c r="F935" t="s">
        <v>52</v>
      </c>
      <c r="G935">
        <v>166</v>
      </c>
      <c r="H935" t="s">
        <v>28</v>
      </c>
      <c r="I935">
        <v>954</v>
      </c>
      <c r="J935">
        <v>5220</v>
      </c>
      <c r="K935" t="s">
        <v>25</v>
      </c>
      <c r="L935" t="s">
        <v>26</v>
      </c>
      <c r="M935">
        <v>493</v>
      </c>
      <c r="N935">
        <v>168</v>
      </c>
      <c r="O935" t="s">
        <v>52</v>
      </c>
      <c r="P935" t="s">
        <v>25</v>
      </c>
      <c r="Q935">
        <v>166</v>
      </c>
      <c r="R935" t="s">
        <v>56</v>
      </c>
      <c r="S935">
        <v>7.99</v>
      </c>
    </row>
    <row r="936" spans="1:19" x14ac:dyDescent="0.3">
      <c r="A936">
        <f>'Raw Data'!D936-'Raw Data'!C936</f>
        <v>-12</v>
      </c>
      <c r="B936" s="2" t="str">
        <f>_xlfn.IFS('Raw Data'!E936&gt;10,"Premium",'Raw Data'!E936&lt;10,"Basic")</f>
        <v>Basic</v>
      </c>
      <c r="C936">
        <v>7.99</v>
      </c>
      <c r="D936">
        <v>6970</v>
      </c>
      <c r="E936" t="s">
        <v>79</v>
      </c>
      <c r="F936" t="s">
        <v>30</v>
      </c>
      <c r="G936">
        <v>225</v>
      </c>
      <c r="H936" t="s">
        <v>28</v>
      </c>
      <c r="I936">
        <v>3313</v>
      </c>
      <c r="J936">
        <v>6970</v>
      </c>
      <c r="K936" t="s">
        <v>39</v>
      </c>
      <c r="L936" t="s">
        <v>49</v>
      </c>
      <c r="M936">
        <v>589</v>
      </c>
      <c r="N936">
        <v>103</v>
      </c>
      <c r="O936" t="s">
        <v>30</v>
      </c>
      <c r="P936" t="s">
        <v>39</v>
      </c>
      <c r="Q936">
        <v>225</v>
      </c>
      <c r="R936" t="s">
        <v>27</v>
      </c>
      <c r="S936">
        <v>7.99</v>
      </c>
    </row>
    <row r="937" spans="1:19" x14ac:dyDescent="0.3">
      <c r="A937">
        <f>'Raw Data'!D937-'Raw Data'!C937</f>
        <v>72</v>
      </c>
      <c r="B937" s="2" t="str">
        <f>_xlfn.IFS('Raw Data'!E937&gt;10,"Premium",'Raw Data'!E937&lt;10,"Basic")</f>
        <v>Basic</v>
      </c>
      <c r="C937">
        <v>7.99</v>
      </c>
      <c r="D937">
        <v>6705</v>
      </c>
      <c r="E937" t="s">
        <v>79</v>
      </c>
      <c r="F937" t="s">
        <v>30</v>
      </c>
      <c r="G937">
        <v>163</v>
      </c>
      <c r="H937" t="s">
        <v>28</v>
      </c>
      <c r="I937">
        <v>1790</v>
      </c>
      <c r="J937">
        <v>6705</v>
      </c>
      <c r="K937" t="s">
        <v>63</v>
      </c>
      <c r="L937" t="s">
        <v>40</v>
      </c>
      <c r="M937">
        <v>206</v>
      </c>
      <c r="N937">
        <v>132</v>
      </c>
      <c r="O937" t="s">
        <v>30</v>
      </c>
      <c r="P937" t="s">
        <v>63</v>
      </c>
      <c r="Q937">
        <v>163</v>
      </c>
      <c r="R937" t="s">
        <v>27</v>
      </c>
      <c r="S937">
        <v>7.99</v>
      </c>
    </row>
    <row r="938" spans="1:19" x14ac:dyDescent="0.3">
      <c r="A938">
        <f>'Raw Data'!D938-'Raw Data'!C938</f>
        <v>624</v>
      </c>
      <c r="B938" s="2" t="str">
        <f>_xlfn.IFS('Raw Data'!E938&gt;10,"Premium",'Raw Data'!E938&lt;10,"Basic")</f>
        <v>Premium</v>
      </c>
      <c r="C938">
        <v>15.99</v>
      </c>
      <c r="D938">
        <v>2477</v>
      </c>
      <c r="E938" t="s">
        <v>43</v>
      </c>
      <c r="F938" t="s">
        <v>30</v>
      </c>
      <c r="G938">
        <v>419</v>
      </c>
      <c r="H938" t="s">
        <v>28</v>
      </c>
      <c r="I938">
        <v>2864</v>
      </c>
      <c r="J938">
        <v>2477</v>
      </c>
      <c r="K938" t="s">
        <v>25</v>
      </c>
      <c r="L938" t="s">
        <v>40</v>
      </c>
      <c r="M938">
        <v>752</v>
      </c>
      <c r="N938">
        <v>21</v>
      </c>
      <c r="O938" t="s">
        <v>30</v>
      </c>
      <c r="P938" t="s">
        <v>25</v>
      </c>
      <c r="Q938">
        <v>419</v>
      </c>
      <c r="R938" t="s">
        <v>27</v>
      </c>
      <c r="S938">
        <v>15.99</v>
      </c>
    </row>
    <row r="939" spans="1:19" x14ac:dyDescent="0.3">
      <c r="A939">
        <f>'Raw Data'!D939-'Raw Data'!C939</f>
        <v>635</v>
      </c>
      <c r="B939" s="2" t="str">
        <f>_xlfn.IFS('Raw Data'!E939&gt;10,"Premium",'Raw Data'!E939&lt;10,"Basic")</f>
        <v>Premium</v>
      </c>
      <c r="C939">
        <v>11.99</v>
      </c>
      <c r="D939">
        <v>6236</v>
      </c>
      <c r="E939" t="s">
        <v>24</v>
      </c>
      <c r="F939" t="s">
        <v>36</v>
      </c>
      <c r="G939">
        <v>293</v>
      </c>
      <c r="H939" t="s">
        <v>28</v>
      </c>
      <c r="I939">
        <v>1872</v>
      </c>
      <c r="J939">
        <v>6236</v>
      </c>
      <c r="K939" t="s">
        <v>48</v>
      </c>
      <c r="L939" t="s">
        <v>49</v>
      </c>
      <c r="M939">
        <v>514</v>
      </c>
      <c r="N939">
        <v>68</v>
      </c>
      <c r="O939" t="s">
        <v>36</v>
      </c>
      <c r="P939" t="s">
        <v>48</v>
      </c>
      <c r="Q939">
        <v>293</v>
      </c>
      <c r="R939" t="s">
        <v>41</v>
      </c>
      <c r="S939">
        <v>11.99</v>
      </c>
    </row>
    <row r="940" spans="1:19" x14ac:dyDescent="0.3">
      <c r="A940">
        <f>'Raw Data'!D940-'Raw Data'!C940</f>
        <v>699</v>
      </c>
      <c r="B940" s="2" t="str">
        <f>_xlfn.IFS('Raw Data'!E940&gt;10,"Premium",'Raw Data'!E940&lt;10,"Basic")</f>
        <v>Basic</v>
      </c>
      <c r="C940">
        <v>7.99</v>
      </c>
      <c r="D940">
        <v>4079</v>
      </c>
      <c r="E940" t="s">
        <v>55</v>
      </c>
      <c r="F940" t="s">
        <v>60</v>
      </c>
      <c r="G940">
        <v>171</v>
      </c>
      <c r="H940" t="s">
        <v>28</v>
      </c>
      <c r="I940">
        <v>2521</v>
      </c>
      <c r="J940">
        <v>4079</v>
      </c>
      <c r="K940" t="s">
        <v>63</v>
      </c>
      <c r="L940" t="s">
        <v>40</v>
      </c>
      <c r="M940">
        <v>858</v>
      </c>
      <c r="N940">
        <v>58</v>
      </c>
      <c r="O940" t="s">
        <v>60</v>
      </c>
      <c r="P940" t="s">
        <v>63</v>
      </c>
      <c r="Q940">
        <v>171</v>
      </c>
      <c r="R940" t="s">
        <v>34</v>
      </c>
      <c r="S940">
        <v>7.99</v>
      </c>
    </row>
    <row r="941" spans="1:19" x14ac:dyDescent="0.3">
      <c r="A941">
        <f>'Raw Data'!D941-'Raw Data'!C941</f>
        <v>679</v>
      </c>
      <c r="B941" s="2" t="str">
        <f>_xlfn.IFS('Raw Data'!E941&gt;10,"Premium",'Raw Data'!E941&lt;10,"Basic")</f>
        <v>Basic</v>
      </c>
      <c r="C941">
        <v>7.99</v>
      </c>
      <c r="D941">
        <v>7927</v>
      </c>
      <c r="E941" t="s">
        <v>46</v>
      </c>
      <c r="F941" t="s">
        <v>68</v>
      </c>
      <c r="G941">
        <v>438</v>
      </c>
      <c r="H941" t="s">
        <v>28</v>
      </c>
      <c r="I941">
        <v>4426</v>
      </c>
      <c r="J941">
        <v>7927</v>
      </c>
      <c r="K941" t="s">
        <v>63</v>
      </c>
      <c r="L941" t="s">
        <v>49</v>
      </c>
      <c r="M941">
        <v>970</v>
      </c>
      <c r="N941">
        <v>59</v>
      </c>
      <c r="O941" t="s">
        <v>68</v>
      </c>
      <c r="P941" t="s">
        <v>63</v>
      </c>
      <c r="Q941">
        <v>438</v>
      </c>
      <c r="R941" t="s">
        <v>50</v>
      </c>
      <c r="S941">
        <v>7.99</v>
      </c>
    </row>
    <row r="942" spans="1:19" x14ac:dyDescent="0.3">
      <c r="A942">
        <f>'Raw Data'!D942-'Raw Data'!C942</f>
        <v>85</v>
      </c>
      <c r="B942" s="2" t="str">
        <f>_xlfn.IFS('Raw Data'!E942&gt;10,"Premium",'Raw Data'!E942&lt;10,"Basic")</f>
        <v>Premium</v>
      </c>
      <c r="C942">
        <v>11.99</v>
      </c>
      <c r="D942">
        <v>5059</v>
      </c>
      <c r="E942" t="s">
        <v>62</v>
      </c>
      <c r="F942" t="s">
        <v>60</v>
      </c>
      <c r="G942">
        <v>247</v>
      </c>
      <c r="H942" t="s">
        <v>28</v>
      </c>
      <c r="I942">
        <v>3100</v>
      </c>
      <c r="J942">
        <v>5059</v>
      </c>
      <c r="K942" t="s">
        <v>59</v>
      </c>
      <c r="L942" t="s">
        <v>40</v>
      </c>
      <c r="M942">
        <v>510</v>
      </c>
      <c r="N942">
        <v>87</v>
      </c>
      <c r="O942" t="s">
        <v>60</v>
      </c>
      <c r="P942" t="s">
        <v>59</v>
      </c>
      <c r="Q942">
        <v>247</v>
      </c>
      <c r="R942" t="s">
        <v>41</v>
      </c>
      <c r="S942">
        <v>11.99</v>
      </c>
    </row>
    <row r="943" spans="1:19" x14ac:dyDescent="0.3">
      <c r="A943">
        <f>'Raw Data'!D943-'Raw Data'!C943</f>
        <v>363</v>
      </c>
      <c r="B943" s="2" t="str">
        <f>_xlfn.IFS('Raw Data'!E943&gt;10,"Premium",'Raw Data'!E943&lt;10,"Basic")</f>
        <v>Premium</v>
      </c>
      <c r="C943">
        <v>11.99</v>
      </c>
      <c r="D943">
        <v>4210</v>
      </c>
      <c r="E943" t="s">
        <v>55</v>
      </c>
      <c r="F943" t="s">
        <v>30</v>
      </c>
      <c r="G943">
        <v>85</v>
      </c>
      <c r="H943" t="s">
        <v>28</v>
      </c>
      <c r="I943">
        <v>4273</v>
      </c>
      <c r="J943">
        <v>4210</v>
      </c>
      <c r="K943" t="s">
        <v>44</v>
      </c>
      <c r="L943" t="s">
        <v>40</v>
      </c>
      <c r="M943">
        <v>770</v>
      </c>
      <c r="N943">
        <v>132</v>
      </c>
      <c r="O943" t="s">
        <v>30</v>
      </c>
      <c r="P943" t="s">
        <v>44</v>
      </c>
      <c r="Q943">
        <v>85</v>
      </c>
      <c r="R943" t="s">
        <v>50</v>
      </c>
      <c r="S943">
        <v>11.99</v>
      </c>
    </row>
    <row r="944" spans="1:19" x14ac:dyDescent="0.3">
      <c r="A944">
        <f>'Raw Data'!D944-'Raw Data'!C944</f>
        <v>689</v>
      </c>
      <c r="B944" s="2" t="str">
        <f>_xlfn.IFS('Raw Data'!E944&gt;10,"Premium",'Raw Data'!E944&lt;10,"Basic")</f>
        <v>Premium</v>
      </c>
      <c r="C944">
        <v>11.99</v>
      </c>
      <c r="D944">
        <v>5054</v>
      </c>
      <c r="E944" t="s">
        <v>46</v>
      </c>
      <c r="F944" t="s">
        <v>60</v>
      </c>
      <c r="G944">
        <v>203</v>
      </c>
      <c r="H944" t="s">
        <v>28</v>
      </c>
      <c r="I944">
        <v>1254</v>
      </c>
      <c r="J944">
        <v>5054</v>
      </c>
      <c r="K944" t="s">
        <v>39</v>
      </c>
      <c r="L944" t="s">
        <v>49</v>
      </c>
      <c r="M944">
        <v>903</v>
      </c>
      <c r="N944">
        <v>19</v>
      </c>
      <c r="O944" t="s">
        <v>60</v>
      </c>
      <c r="P944" t="s">
        <v>39</v>
      </c>
      <c r="Q944">
        <v>203</v>
      </c>
      <c r="R944" t="s">
        <v>27</v>
      </c>
      <c r="S944">
        <v>11.99</v>
      </c>
    </row>
    <row r="945" spans="1:19" x14ac:dyDescent="0.3">
      <c r="A945">
        <f>'Raw Data'!D945-'Raw Data'!C945</f>
        <v>105</v>
      </c>
      <c r="B945" s="2" t="str">
        <f>_xlfn.IFS('Raw Data'!E945&gt;10,"Premium",'Raw Data'!E945&lt;10,"Basic")</f>
        <v>Premium</v>
      </c>
      <c r="C945">
        <v>15.99</v>
      </c>
      <c r="D945">
        <v>5836</v>
      </c>
      <c r="E945" t="s">
        <v>43</v>
      </c>
      <c r="F945" t="s">
        <v>30</v>
      </c>
      <c r="G945">
        <v>219</v>
      </c>
      <c r="H945" t="s">
        <v>28</v>
      </c>
      <c r="I945">
        <v>4817</v>
      </c>
      <c r="J945">
        <v>5836</v>
      </c>
      <c r="K945" t="s">
        <v>74</v>
      </c>
      <c r="L945" t="s">
        <v>64</v>
      </c>
      <c r="M945">
        <v>347</v>
      </c>
      <c r="N945">
        <v>55</v>
      </c>
      <c r="O945" t="s">
        <v>30</v>
      </c>
      <c r="P945" t="s">
        <v>74</v>
      </c>
      <c r="Q945">
        <v>219</v>
      </c>
      <c r="R945" t="s">
        <v>41</v>
      </c>
      <c r="S945">
        <v>15.99</v>
      </c>
    </row>
    <row r="946" spans="1:19" x14ac:dyDescent="0.3">
      <c r="A946">
        <f>'Raw Data'!D946-'Raw Data'!C946</f>
        <v>300</v>
      </c>
      <c r="B946" s="2" t="str">
        <f>_xlfn.IFS('Raw Data'!E946&gt;10,"Premium",'Raw Data'!E946&lt;10,"Basic")</f>
        <v>Basic</v>
      </c>
      <c r="C946">
        <v>7.99</v>
      </c>
      <c r="D946">
        <v>8612</v>
      </c>
      <c r="E946" t="s">
        <v>62</v>
      </c>
      <c r="F946" t="s">
        <v>36</v>
      </c>
      <c r="G946">
        <v>285</v>
      </c>
      <c r="H946" t="s">
        <v>28</v>
      </c>
      <c r="I946">
        <v>2330</v>
      </c>
      <c r="J946">
        <v>8612</v>
      </c>
      <c r="K946" t="s">
        <v>63</v>
      </c>
      <c r="L946" t="s">
        <v>64</v>
      </c>
      <c r="M946">
        <v>600</v>
      </c>
      <c r="N946">
        <v>109</v>
      </c>
      <c r="O946" t="s">
        <v>36</v>
      </c>
      <c r="P946" t="s">
        <v>63</v>
      </c>
      <c r="Q946">
        <v>285</v>
      </c>
      <c r="R946" t="s">
        <v>41</v>
      </c>
      <c r="S946">
        <v>7.99</v>
      </c>
    </row>
    <row r="947" spans="1:19" x14ac:dyDescent="0.3">
      <c r="A947">
        <f>'Raw Data'!D947-'Raw Data'!C947</f>
        <v>370</v>
      </c>
      <c r="B947" s="2" t="str">
        <f>_xlfn.IFS('Raw Data'!E947&gt;10,"Premium",'Raw Data'!E947&lt;10,"Basic")</f>
        <v>Premium</v>
      </c>
      <c r="C947">
        <v>15.99</v>
      </c>
      <c r="D947">
        <v>7445</v>
      </c>
      <c r="E947" t="s">
        <v>55</v>
      </c>
      <c r="F947" t="s">
        <v>30</v>
      </c>
      <c r="G947">
        <v>115</v>
      </c>
      <c r="H947" t="s">
        <v>28</v>
      </c>
      <c r="I947">
        <v>244</v>
      </c>
      <c r="J947">
        <v>7445</v>
      </c>
      <c r="K947" t="s">
        <v>25</v>
      </c>
      <c r="L947" t="s">
        <v>49</v>
      </c>
      <c r="M947">
        <v>583</v>
      </c>
      <c r="N947">
        <v>127</v>
      </c>
      <c r="O947" t="s">
        <v>30</v>
      </c>
      <c r="P947" t="s">
        <v>25</v>
      </c>
      <c r="Q947">
        <v>115</v>
      </c>
      <c r="R947" t="s">
        <v>56</v>
      </c>
      <c r="S947">
        <v>15.99</v>
      </c>
    </row>
    <row r="948" spans="1:19" x14ac:dyDescent="0.3">
      <c r="A948">
        <f>'Raw Data'!D948-'Raw Data'!C948</f>
        <v>42</v>
      </c>
      <c r="B948" s="2" t="str">
        <f>_xlfn.IFS('Raw Data'!E948&gt;10,"Premium",'Raw Data'!E948&lt;10,"Basic")</f>
        <v>Basic</v>
      </c>
      <c r="C948">
        <v>7.99</v>
      </c>
      <c r="D948">
        <v>6135</v>
      </c>
      <c r="E948" t="s">
        <v>33</v>
      </c>
      <c r="F948" t="s">
        <v>36</v>
      </c>
      <c r="G948">
        <v>322</v>
      </c>
      <c r="H948" t="s">
        <v>28</v>
      </c>
      <c r="I948">
        <v>1539</v>
      </c>
      <c r="J948">
        <v>6135</v>
      </c>
      <c r="K948" t="s">
        <v>59</v>
      </c>
      <c r="L948" t="s">
        <v>49</v>
      </c>
      <c r="M948">
        <v>446</v>
      </c>
      <c r="N948">
        <v>114</v>
      </c>
      <c r="O948" t="s">
        <v>36</v>
      </c>
      <c r="P948" t="s">
        <v>59</v>
      </c>
      <c r="Q948">
        <v>322</v>
      </c>
      <c r="R948" t="s">
        <v>56</v>
      </c>
      <c r="S948">
        <v>7.99</v>
      </c>
    </row>
    <row r="949" spans="1:19" x14ac:dyDescent="0.3">
      <c r="A949">
        <f>'Raw Data'!D949-'Raw Data'!C949</f>
        <v>228</v>
      </c>
      <c r="B949" s="2" t="str">
        <f>_xlfn.IFS('Raw Data'!E949&gt;10,"Premium",'Raw Data'!E949&lt;10,"Basic")</f>
        <v>Basic</v>
      </c>
      <c r="C949">
        <v>7.99</v>
      </c>
      <c r="D949">
        <v>3168</v>
      </c>
      <c r="E949" t="s">
        <v>24</v>
      </c>
      <c r="F949" t="s">
        <v>60</v>
      </c>
      <c r="G949">
        <v>348</v>
      </c>
      <c r="H949" t="s">
        <v>28</v>
      </c>
      <c r="I949">
        <v>2657</v>
      </c>
      <c r="J949">
        <v>3168</v>
      </c>
      <c r="K949" t="s">
        <v>59</v>
      </c>
      <c r="L949" t="s">
        <v>26</v>
      </c>
      <c r="M949">
        <v>797</v>
      </c>
      <c r="N949">
        <v>81</v>
      </c>
      <c r="O949" t="s">
        <v>60</v>
      </c>
      <c r="P949" t="s">
        <v>59</v>
      </c>
      <c r="Q949">
        <v>348</v>
      </c>
      <c r="R949" t="s">
        <v>50</v>
      </c>
      <c r="S949">
        <v>7.99</v>
      </c>
    </row>
    <row r="950" spans="1:19" x14ac:dyDescent="0.3">
      <c r="A950">
        <f>'Raw Data'!D950-'Raw Data'!C950</f>
        <v>210</v>
      </c>
      <c r="B950" s="2" t="str">
        <f>_xlfn.IFS('Raw Data'!E950&gt;10,"Premium",'Raw Data'!E950&lt;10,"Basic")</f>
        <v>Premium</v>
      </c>
      <c r="C950">
        <v>11.99</v>
      </c>
      <c r="D950">
        <v>2981</v>
      </c>
      <c r="E950" t="s">
        <v>43</v>
      </c>
      <c r="F950" t="s">
        <v>52</v>
      </c>
      <c r="G950">
        <v>482</v>
      </c>
      <c r="H950" t="s">
        <v>28</v>
      </c>
      <c r="I950">
        <v>4851</v>
      </c>
      <c r="J950">
        <v>2981</v>
      </c>
      <c r="K950" t="s">
        <v>74</v>
      </c>
      <c r="L950" t="s">
        <v>40</v>
      </c>
      <c r="M950">
        <v>665</v>
      </c>
      <c r="N950">
        <v>96</v>
      </c>
      <c r="O950" t="s">
        <v>52</v>
      </c>
      <c r="P950" t="s">
        <v>74</v>
      </c>
      <c r="Q950">
        <v>482</v>
      </c>
      <c r="R950" t="s">
        <v>50</v>
      </c>
      <c r="S950">
        <v>11.99</v>
      </c>
    </row>
    <row r="951" spans="1:19" x14ac:dyDescent="0.3">
      <c r="A951">
        <f>'Raw Data'!D951-'Raw Data'!C951</f>
        <v>640</v>
      </c>
      <c r="B951" s="2" t="str">
        <f>_xlfn.IFS('Raw Data'!E951&gt;10,"Premium",'Raw Data'!E951&lt;10,"Basic")</f>
        <v>Basic</v>
      </c>
      <c r="C951">
        <v>7.99</v>
      </c>
      <c r="D951">
        <v>7739</v>
      </c>
      <c r="E951" t="s">
        <v>43</v>
      </c>
      <c r="F951" t="s">
        <v>36</v>
      </c>
      <c r="G951">
        <v>384</v>
      </c>
      <c r="H951" t="s">
        <v>28</v>
      </c>
      <c r="I951">
        <v>2341</v>
      </c>
      <c r="J951">
        <v>7739</v>
      </c>
      <c r="K951" t="s">
        <v>74</v>
      </c>
      <c r="L951" t="s">
        <v>64</v>
      </c>
      <c r="M951">
        <v>188</v>
      </c>
      <c r="N951">
        <v>140</v>
      </c>
      <c r="O951" t="s">
        <v>36</v>
      </c>
      <c r="P951" t="s">
        <v>74</v>
      </c>
      <c r="Q951">
        <v>384</v>
      </c>
      <c r="R951" t="s">
        <v>67</v>
      </c>
      <c r="S951">
        <v>7.99</v>
      </c>
    </row>
    <row r="952" spans="1:19" x14ac:dyDescent="0.3">
      <c r="A952">
        <f>'Raw Data'!D952-'Raw Data'!C952</f>
        <v>278</v>
      </c>
      <c r="B952" s="2" t="str">
        <f>_xlfn.IFS('Raw Data'!E952&gt;10,"Premium",'Raw Data'!E952&lt;10,"Basic")</f>
        <v>Premium</v>
      </c>
      <c r="C952">
        <v>15.99</v>
      </c>
      <c r="D952">
        <v>5905</v>
      </c>
      <c r="E952" t="s">
        <v>62</v>
      </c>
      <c r="F952" t="s">
        <v>68</v>
      </c>
      <c r="G952">
        <v>178</v>
      </c>
      <c r="H952" t="s">
        <v>28</v>
      </c>
      <c r="I952">
        <v>3356</v>
      </c>
      <c r="J952">
        <v>5905</v>
      </c>
      <c r="K952" t="s">
        <v>48</v>
      </c>
      <c r="L952" t="s">
        <v>26</v>
      </c>
      <c r="M952">
        <v>489</v>
      </c>
      <c r="N952">
        <v>6</v>
      </c>
      <c r="O952" t="s">
        <v>68</v>
      </c>
      <c r="P952" t="s">
        <v>48</v>
      </c>
      <c r="Q952">
        <v>178</v>
      </c>
      <c r="R952" t="s">
        <v>50</v>
      </c>
      <c r="S952">
        <v>15.99</v>
      </c>
    </row>
    <row r="953" spans="1:19" x14ac:dyDescent="0.3">
      <c r="A953">
        <f>'Raw Data'!D953-'Raw Data'!C953</f>
        <v>545</v>
      </c>
      <c r="B953" s="2" t="str">
        <f>_xlfn.IFS('Raw Data'!E953&gt;10,"Premium",'Raw Data'!E953&lt;10,"Basic")</f>
        <v>Premium</v>
      </c>
      <c r="C953">
        <v>11.99</v>
      </c>
      <c r="D953">
        <v>1443</v>
      </c>
      <c r="E953" t="s">
        <v>33</v>
      </c>
      <c r="F953" t="s">
        <v>68</v>
      </c>
      <c r="G953">
        <v>91</v>
      </c>
      <c r="H953" t="s">
        <v>28</v>
      </c>
      <c r="I953">
        <v>228</v>
      </c>
      <c r="J953">
        <v>1443</v>
      </c>
      <c r="K953" t="s">
        <v>25</v>
      </c>
      <c r="L953" t="s">
        <v>49</v>
      </c>
      <c r="M953">
        <v>377</v>
      </c>
      <c r="N953">
        <v>14</v>
      </c>
      <c r="O953" t="s">
        <v>68</v>
      </c>
      <c r="P953" t="s">
        <v>25</v>
      </c>
      <c r="Q953">
        <v>91</v>
      </c>
      <c r="R953" t="s">
        <v>34</v>
      </c>
      <c r="S953">
        <v>11.99</v>
      </c>
    </row>
    <row r="954" spans="1:19" x14ac:dyDescent="0.3">
      <c r="A954">
        <f>'Raw Data'!D954-'Raw Data'!C954</f>
        <v>4</v>
      </c>
      <c r="B954" s="2" t="str">
        <f>_xlfn.IFS('Raw Data'!E954&gt;10,"Premium",'Raw Data'!E954&lt;10,"Basic")</f>
        <v>Premium</v>
      </c>
      <c r="C954">
        <v>11.99</v>
      </c>
      <c r="D954">
        <v>6181</v>
      </c>
      <c r="E954" t="s">
        <v>55</v>
      </c>
      <c r="F954" t="s">
        <v>30</v>
      </c>
      <c r="G954">
        <v>175</v>
      </c>
      <c r="H954" t="s">
        <v>28</v>
      </c>
      <c r="I954">
        <v>2821</v>
      </c>
      <c r="J954">
        <v>6181</v>
      </c>
      <c r="K954" t="s">
        <v>44</v>
      </c>
      <c r="L954" t="s">
        <v>49</v>
      </c>
      <c r="M954">
        <v>424</v>
      </c>
      <c r="N954">
        <v>125</v>
      </c>
      <c r="O954" t="s">
        <v>30</v>
      </c>
      <c r="P954" t="s">
        <v>44</v>
      </c>
      <c r="Q954">
        <v>175</v>
      </c>
      <c r="R954" t="s">
        <v>67</v>
      </c>
      <c r="S954">
        <v>11.99</v>
      </c>
    </row>
    <row r="955" spans="1:19" x14ac:dyDescent="0.3">
      <c r="A955">
        <f>'Raw Data'!D955-'Raw Data'!C955</f>
        <v>391</v>
      </c>
      <c r="B955" s="2" t="str">
        <f>_xlfn.IFS('Raw Data'!E955&gt;10,"Premium",'Raw Data'!E955&lt;10,"Basic")</f>
        <v>Premium</v>
      </c>
      <c r="C955">
        <v>11.99</v>
      </c>
      <c r="D955">
        <v>8406</v>
      </c>
      <c r="E955" t="s">
        <v>24</v>
      </c>
      <c r="F955" t="s">
        <v>30</v>
      </c>
      <c r="G955">
        <v>187</v>
      </c>
      <c r="H955" t="s">
        <v>28</v>
      </c>
      <c r="I955">
        <v>4380</v>
      </c>
      <c r="J955">
        <v>8406</v>
      </c>
      <c r="K955" t="s">
        <v>44</v>
      </c>
      <c r="L955" t="s">
        <v>26</v>
      </c>
      <c r="M955">
        <v>491</v>
      </c>
      <c r="N955">
        <v>197</v>
      </c>
      <c r="O955" t="s">
        <v>30</v>
      </c>
      <c r="P955" t="s">
        <v>44</v>
      </c>
      <c r="Q955">
        <v>187</v>
      </c>
      <c r="R955" t="s">
        <v>67</v>
      </c>
      <c r="S955">
        <v>11.99</v>
      </c>
    </row>
    <row r="956" spans="1:19" x14ac:dyDescent="0.3">
      <c r="A956">
        <f>'Raw Data'!D956-'Raw Data'!C956</f>
        <v>186</v>
      </c>
      <c r="B956" s="2" t="str">
        <f>_xlfn.IFS('Raw Data'!E956&gt;10,"Premium",'Raw Data'!E956&lt;10,"Basic")</f>
        <v>Premium</v>
      </c>
      <c r="C956">
        <v>11.99</v>
      </c>
      <c r="D956">
        <v>5389</v>
      </c>
      <c r="E956" t="s">
        <v>33</v>
      </c>
      <c r="F956" t="s">
        <v>60</v>
      </c>
      <c r="G956">
        <v>352</v>
      </c>
      <c r="H956" t="s">
        <v>28</v>
      </c>
      <c r="I956">
        <v>2131</v>
      </c>
      <c r="J956">
        <v>5389</v>
      </c>
      <c r="K956" t="s">
        <v>63</v>
      </c>
      <c r="L956" t="s">
        <v>64</v>
      </c>
      <c r="M956">
        <v>521</v>
      </c>
      <c r="N956">
        <v>128</v>
      </c>
      <c r="O956" t="s">
        <v>60</v>
      </c>
      <c r="P956" t="s">
        <v>63</v>
      </c>
      <c r="Q956">
        <v>352</v>
      </c>
      <c r="R956" t="s">
        <v>56</v>
      </c>
      <c r="S956">
        <v>11.99</v>
      </c>
    </row>
    <row r="957" spans="1:19" x14ac:dyDescent="0.3">
      <c r="A957">
        <f>'Raw Data'!D957-'Raw Data'!C957</f>
        <v>406</v>
      </c>
      <c r="B957" s="2" t="str">
        <f>_xlfn.IFS('Raw Data'!E957&gt;10,"Premium",'Raw Data'!E957&lt;10,"Basic")</f>
        <v>Basic</v>
      </c>
      <c r="C957">
        <v>7.99</v>
      </c>
      <c r="D957">
        <v>4586</v>
      </c>
      <c r="E957" t="s">
        <v>24</v>
      </c>
      <c r="F957" t="s">
        <v>36</v>
      </c>
      <c r="G957">
        <v>448</v>
      </c>
      <c r="H957" t="s">
        <v>28</v>
      </c>
      <c r="I957">
        <v>3589</v>
      </c>
      <c r="J957">
        <v>4586</v>
      </c>
      <c r="K957" t="s">
        <v>63</v>
      </c>
      <c r="L957" t="s">
        <v>40</v>
      </c>
      <c r="M957">
        <v>506</v>
      </c>
      <c r="N957">
        <v>193</v>
      </c>
      <c r="O957" t="s">
        <v>36</v>
      </c>
      <c r="P957" t="s">
        <v>63</v>
      </c>
      <c r="Q957">
        <v>448</v>
      </c>
      <c r="R957" t="s">
        <v>50</v>
      </c>
      <c r="S957">
        <v>7.99</v>
      </c>
    </row>
    <row r="958" spans="1:19" x14ac:dyDescent="0.3">
      <c r="A958">
        <f>'Raw Data'!D958-'Raw Data'!C958</f>
        <v>257</v>
      </c>
      <c r="B958" s="2" t="str">
        <f>_xlfn.IFS('Raw Data'!E958&gt;10,"Premium",'Raw Data'!E958&lt;10,"Basic")</f>
        <v>Premium</v>
      </c>
      <c r="C958">
        <v>15.99</v>
      </c>
      <c r="D958">
        <v>4020</v>
      </c>
      <c r="E958" t="s">
        <v>43</v>
      </c>
      <c r="F958" t="s">
        <v>60</v>
      </c>
      <c r="G958">
        <v>81</v>
      </c>
      <c r="H958" t="s">
        <v>28</v>
      </c>
      <c r="I958">
        <v>4162</v>
      </c>
      <c r="J958">
        <v>4020</v>
      </c>
      <c r="K958" t="s">
        <v>44</v>
      </c>
      <c r="L958" t="s">
        <v>40</v>
      </c>
      <c r="M958">
        <v>390</v>
      </c>
      <c r="N958">
        <v>43</v>
      </c>
      <c r="O958" t="s">
        <v>60</v>
      </c>
      <c r="P958" t="s">
        <v>44</v>
      </c>
      <c r="Q958">
        <v>81</v>
      </c>
      <c r="R958" t="s">
        <v>41</v>
      </c>
      <c r="S958">
        <v>15.99</v>
      </c>
    </row>
    <row r="959" spans="1:19" x14ac:dyDescent="0.3">
      <c r="A959">
        <f>'Raw Data'!D959-'Raw Data'!C959</f>
        <v>349</v>
      </c>
      <c r="B959" s="2" t="str">
        <f>_xlfn.IFS('Raw Data'!E959&gt;10,"Premium",'Raw Data'!E959&lt;10,"Basic")</f>
        <v>Premium</v>
      </c>
      <c r="C959">
        <v>15.99</v>
      </c>
      <c r="D959">
        <v>1635</v>
      </c>
      <c r="E959" t="s">
        <v>43</v>
      </c>
      <c r="F959" t="s">
        <v>30</v>
      </c>
      <c r="G959">
        <v>321</v>
      </c>
      <c r="H959" t="s">
        <v>28</v>
      </c>
      <c r="I959">
        <v>1013</v>
      </c>
      <c r="J959">
        <v>1635</v>
      </c>
      <c r="K959" t="s">
        <v>59</v>
      </c>
      <c r="L959" t="s">
        <v>64</v>
      </c>
      <c r="M959">
        <v>276</v>
      </c>
      <c r="N959">
        <v>182</v>
      </c>
      <c r="O959" t="s">
        <v>30</v>
      </c>
      <c r="P959" t="s">
        <v>59</v>
      </c>
      <c r="Q959">
        <v>321</v>
      </c>
      <c r="R959" t="s">
        <v>41</v>
      </c>
      <c r="S959">
        <v>15.99</v>
      </c>
    </row>
    <row r="960" spans="1:19" x14ac:dyDescent="0.3">
      <c r="A960">
        <f>'Raw Data'!D960-'Raw Data'!C960</f>
        <v>177</v>
      </c>
      <c r="B960" s="2" t="str">
        <f>_xlfn.IFS('Raw Data'!E960&gt;10,"Premium",'Raw Data'!E960&lt;10,"Basic")</f>
        <v>Basic</v>
      </c>
      <c r="C960">
        <v>7.99</v>
      </c>
      <c r="D960">
        <v>9257</v>
      </c>
      <c r="E960" t="s">
        <v>55</v>
      </c>
      <c r="F960" t="s">
        <v>52</v>
      </c>
      <c r="G960">
        <v>114</v>
      </c>
      <c r="H960" t="s">
        <v>28</v>
      </c>
      <c r="I960">
        <v>2731</v>
      </c>
      <c r="J960">
        <v>9257</v>
      </c>
      <c r="K960" t="s">
        <v>59</v>
      </c>
      <c r="L960" t="s">
        <v>40</v>
      </c>
      <c r="M960">
        <v>896</v>
      </c>
      <c r="N960">
        <v>9</v>
      </c>
      <c r="O960" t="s">
        <v>52</v>
      </c>
      <c r="P960" t="s">
        <v>59</v>
      </c>
      <c r="Q960">
        <v>114</v>
      </c>
      <c r="R960" t="s">
        <v>41</v>
      </c>
      <c r="S960">
        <v>7.99</v>
      </c>
    </row>
    <row r="961" spans="1:19" x14ac:dyDescent="0.3">
      <c r="A961">
        <f>'Raw Data'!D961-'Raw Data'!C961</f>
        <v>620</v>
      </c>
      <c r="B961" s="2" t="str">
        <f>_xlfn.IFS('Raw Data'!E961&gt;10,"Premium",'Raw Data'!E961&lt;10,"Basic")</f>
        <v>Basic</v>
      </c>
      <c r="C961">
        <v>7.99</v>
      </c>
      <c r="D961">
        <v>6380</v>
      </c>
      <c r="E961" t="s">
        <v>33</v>
      </c>
      <c r="F961" t="s">
        <v>52</v>
      </c>
      <c r="G961">
        <v>493</v>
      </c>
      <c r="H961" t="s">
        <v>28</v>
      </c>
      <c r="I961">
        <v>833</v>
      </c>
      <c r="J961">
        <v>6380</v>
      </c>
      <c r="K961" t="s">
        <v>48</v>
      </c>
      <c r="L961" t="s">
        <v>64</v>
      </c>
      <c r="M961">
        <v>29</v>
      </c>
      <c r="N961">
        <v>82</v>
      </c>
      <c r="O961" t="s">
        <v>52</v>
      </c>
      <c r="P961" t="s">
        <v>48</v>
      </c>
      <c r="Q961">
        <v>493</v>
      </c>
      <c r="R961" t="s">
        <v>27</v>
      </c>
      <c r="S961">
        <v>7.99</v>
      </c>
    </row>
    <row r="962" spans="1:19" x14ac:dyDescent="0.3">
      <c r="A962">
        <f>'Raw Data'!D962-'Raw Data'!C962</f>
        <v>498</v>
      </c>
      <c r="B962" s="2" t="str">
        <f>_xlfn.IFS('Raw Data'!E962&gt;10,"Premium",'Raw Data'!E962&lt;10,"Basic")</f>
        <v>Premium</v>
      </c>
      <c r="C962">
        <v>11.99</v>
      </c>
      <c r="D962">
        <v>6385</v>
      </c>
      <c r="E962" t="s">
        <v>46</v>
      </c>
      <c r="F962" t="s">
        <v>52</v>
      </c>
      <c r="G962">
        <v>475</v>
      </c>
      <c r="H962" t="s">
        <v>28</v>
      </c>
      <c r="I962">
        <v>2428</v>
      </c>
      <c r="J962">
        <v>6385</v>
      </c>
      <c r="K962" t="s">
        <v>63</v>
      </c>
      <c r="L962" t="s">
        <v>64</v>
      </c>
      <c r="M962">
        <v>523</v>
      </c>
      <c r="N962">
        <v>30</v>
      </c>
      <c r="O962" t="s">
        <v>52</v>
      </c>
      <c r="P962" t="s">
        <v>63</v>
      </c>
      <c r="Q962">
        <v>475</v>
      </c>
      <c r="R962" t="s">
        <v>34</v>
      </c>
      <c r="S962">
        <v>11.99</v>
      </c>
    </row>
    <row r="963" spans="1:19" x14ac:dyDescent="0.3">
      <c r="A963">
        <f>'Raw Data'!D963-'Raw Data'!C963</f>
        <v>355</v>
      </c>
      <c r="B963" s="2" t="str">
        <f>_xlfn.IFS('Raw Data'!E963&gt;10,"Premium",'Raw Data'!E963&lt;10,"Basic")</f>
        <v>Premium</v>
      </c>
      <c r="C963">
        <v>11.99</v>
      </c>
      <c r="D963">
        <v>6858</v>
      </c>
      <c r="E963" t="s">
        <v>46</v>
      </c>
      <c r="F963" t="s">
        <v>68</v>
      </c>
      <c r="G963">
        <v>287</v>
      </c>
      <c r="H963" t="s">
        <v>28</v>
      </c>
      <c r="I963">
        <v>4555</v>
      </c>
      <c r="J963">
        <v>6858</v>
      </c>
      <c r="K963" t="s">
        <v>48</v>
      </c>
      <c r="L963" t="s">
        <v>40</v>
      </c>
      <c r="M963">
        <v>918</v>
      </c>
      <c r="N963">
        <v>82</v>
      </c>
      <c r="O963" t="s">
        <v>68</v>
      </c>
      <c r="P963" t="s">
        <v>48</v>
      </c>
      <c r="Q963">
        <v>287</v>
      </c>
      <c r="R963" t="s">
        <v>34</v>
      </c>
      <c r="S963">
        <v>11.99</v>
      </c>
    </row>
    <row r="964" spans="1:19" x14ac:dyDescent="0.3">
      <c r="A964">
        <f>'Raw Data'!D964-'Raw Data'!C964</f>
        <v>630</v>
      </c>
      <c r="B964" s="2" t="str">
        <f>_xlfn.IFS('Raw Data'!E964&gt;10,"Premium",'Raw Data'!E964&lt;10,"Basic")</f>
        <v>Premium</v>
      </c>
      <c r="C964">
        <v>15.99</v>
      </c>
      <c r="D964">
        <v>8875</v>
      </c>
      <c r="E964" t="s">
        <v>24</v>
      </c>
      <c r="F964" t="s">
        <v>36</v>
      </c>
      <c r="G964">
        <v>138</v>
      </c>
      <c r="H964" t="s">
        <v>28</v>
      </c>
      <c r="I964">
        <v>4777</v>
      </c>
      <c r="J964">
        <v>8875</v>
      </c>
      <c r="K964" t="s">
        <v>44</v>
      </c>
      <c r="L964" t="s">
        <v>64</v>
      </c>
      <c r="M964">
        <v>40</v>
      </c>
      <c r="N964">
        <v>166</v>
      </c>
      <c r="O964" t="s">
        <v>36</v>
      </c>
      <c r="P964" t="s">
        <v>44</v>
      </c>
      <c r="Q964">
        <v>138</v>
      </c>
      <c r="R964" t="s">
        <v>67</v>
      </c>
      <c r="S964">
        <v>15.99</v>
      </c>
    </row>
    <row r="965" spans="1:19" x14ac:dyDescent="0.3">
      <c r="A965">
        <f>'Raw Data'!D965-'Raw Data'!C965</f>
        <v>242</v>
      </c>
      <c r="B965" s="2" t="str">
        <f>_xlfn.IFS('Raw Data'!E965&gt;10,"Premium",'Raw Data'!E965&lt;10,"Basic")</f>
        <v>Premium</v>
      </c>
      <c r="C965">
        <v>15.99</v>
      </c>
      <c r="D965">
        <v>3334</v>
      </c>
      <c r="E965" t="s">
        <v>24</v>
      </c>
      <c r="F965" t="s">
        <v>36</v>
      </c>
      <c r="G965">
        <v>198</v>
      </c>
      <c r="H965" t="s">
        <v>28</v>
      </c>
      <c r="I965">
        <v>459</v>
      </c>
      <c r="J965">
        <v>3334</v>
      </c>
      <c r="K965" t="s">
        <v>74</v>
      </c>
      <c r="L965" t="s">
        <v>26</v>
      </c>
      <c r="M965">
        <v>614</v>
      </c>
      <c r="N965">
        <v>69</v>
      </c>
      <c r="O965" t="s">
        <v>36</v>
      </c>
      <c r="P965" t="s">
        <v>74</v>
      </c>
      <c r="Q965">
        <v>198</v>
      </c>
      <c r="R965" t="s">
        <v>50</v>
      </c>
      <c r="S965">
        <v>15.99</v>
      </c>
    </row>
    <row r="966" spans="1:19" x14ac:dyDescent="0.3">
      <c r="A966">
        <f>'Raw Data'!D966-'Raw Data'!C966</f>
        <v>492</v>
      </c>
      <c r="B966" s="2" t="str">
        <f>_xlfn.IFS('Raw Data'!E966&gt;10,"Premium",'Raw Data'!E966&lt;10,"Basic")</f>
        <v>Premium</v>
      </c>
      <c r="C966">
        <v>15.99</v>
      </c>
      <c r="D966">
        <v>5850</v>
      </c>
      <c r="E966" t="s">
        <v>24</v>
      </c>
      <c r="F966" t="s">
        <v>52</v>
      </c>
      <c r="G966">
        <v>164</v>
      </c>
      <c r="H966" t="s">
        <v>28</v>
      </c>
      <c r="I966">
        <v>2644</v>
      </c>
      <c r="J966">
        <v>5850</v>
      </c>
      <c r="K966" t="s">
        <v>74</v>
      </c>
      <c r="L966" t="s">
        <v>64</v>
      </c>
      <c r="M966">
        <v>833</v>
      </c>
      <c r="N966">
        <v>89</v>
      </c>
      <c r="O966" t="s">
        <v>52</v>
      </c>
      <c r="P966" t="s">
        <v>74</v>
      </c>
      <c r="Q966">
        <v>164</v>
      </c>
      <c r="R966" t="s">
        <v>50</v>
      </c>
      <c r="S966">
        <v>15.99</v>
      </c>
    </row>
    <row r="967" spans="1:19" x14ac:dyDescent="0.3">
      <c r="A967">
        <f>'Raw Data'!D967-'Raw Data'!C967</f>
        <v>140</v>
      </c>
      <c r="B967" s="2" t="str">
        <f>_xlfn.IFS('Raw Data'!E967&gt;10,"Premium",'Raw Data'!E967&lt;10,"Basic")</f>
        <v>Premium</v>
      </c>
      <c r="C967">
        <v>15.99</v>
      </c>
      <c r="D967">
        <v>8593</v>
      </c>
      <c r="E967" t="s">
        <v>55</v>
      </c>
      <c r="F967" t="s">
        <v>60</v>
      </c>
      <c r="G967">
        <v>65</v>
      </c>
      <c r="H967" t="s">
        <v>28</v>
      </c>
      <c r="I967">
        <v>2678</v>
      </c>
      <c r="J967">
        <v>8593</v>
      </c>
      <c r="K967" t="s">
        <v>74</v>
      </c>
      <c r="L967" t="s">
        <v>64</v>
      </c>
      <c r="M967">
        <v>238</v>
      </c>
      <c r="N967">
        <v>39</v>
      </c>
      <c r="O967" t="s">
        <v>60</v>
      </c>
      <c r="P967" t="s">
        <v>74</v>
      </c>
      <c r="Q967">
        <v>65</v>
      </c>
      <c r="R967" t="s">
        <v>34</v>
      </c>
      <c r="S967">
        <v>15.99</v>
      </c>
    </row>
    <row r="968" spans="1:19" x14ac:dyDescent="0.3">
      <c r="A968">
        <f>'Raw Data'!D968-'Raw Data'!C968</f>
        <v>526</v>
      </c>
      <c r="B968" s="2" t="str">
        <f>_xlfn.IFS('Raw Data'!E968&gt;10,"Premium",'Raw Data'!E968&lt;10,"Basic")</f>
        <v>Basic</v>
      </c>
      <c r="C968">
        <v>7.99</v>
      </c>
      <c r="D968">
        <v>6278</v>
      </c>
      <c r="E968" t="s">
        <v>33</v>
      </c>
      <c r="F968" t="s">
        <v>60</v>
      </c>
      <c r="G968">
        <v>388</v>
      </c>
      <c r="H968" t="s">
        <v>28</v>
      </c>
      <c r="I968">
        <v>1129</v>
      </c>
      <c r="J968">
        <v>6278</v>
      </c>
      <c r="K968" t="s">
        <v>25</v>
      </c>
      <c r="L968" t="s">
        <v>40</v>
      </c>
      <c r="M968">
        <v>861</v>
      </c>
      <c r="N968">
        <v>59</v>
      </c>
      <c r="O968" t="s">
        <v>60</v>
      </c>
      <c r="P968" t="s">
        <v>25</v>
      </c>
      <c r="Q968">
        <v>388</v>
      </c>
      <c r="R968" t="s">
        <v>27</v>
      </c>
      <c r="S968">
        <v>7.99</v>
      </c>
    </row>
    <row r="969" spans="1:19" x14ac:dyDescent="0.3">
      <c r="A969">
        <f>'Raw Data'!D969-'Raw Data'!C969</f>
        <v>326</v>
      </c>
      <c r="B969" s="2" t="str">
        <f>_xlfn.IFS('Raw Data'!E969&gt;10,"Premium",'Raw Data'!E969&lt;10,"Basic")</f>
        <v>Premium</v>
      </c>
      <c r="C969">
        <v>15.99</v>
      </c>
      <c r="D969">
        <v>1388</v>
      </c>
      <c r="E969" t="s">
        <v>79</v>
      </c>
      <c r="F969" t="s">
        <v>52</v>
      </c>
      <c r="G969">
        <v>412</v>
      </c>
      <c r="H969" t="s">
        <v>28</v>
      </c>
      <c r="I969">
        <v>1258</v>
      </c>
      <c r="J969">
        <v>1388</v>
      </c>
      <c r="K969" t="s">
        <v>25</v>
      </c>
      <c r="L969" t="s">
        <v>64</v>
      </c>
      <c r="M969">
        <v>999</v>
      </c>
      <c r="N969">
        <v>127</v>
      </c>
      <c r="O969" t="s">
        <v>52</v>
      </c>
      <c r="P969" t="s">
        <v>25</v>
      </c>
      <c r="Q969">
        <v>412</v>
      </c>
      <c r="R969" t="s">
        <v>27</v>
      </c>
      <c r="S969">
        <v>15.99</v>
      </c>
    </row>
    <row r="970" spans="1:19" x14ac:dyDescent="0.3">
      <c r="A970">
        <f>'Raw Data'!D970-'Raw Data'!C970</f>
        <v>211</v>
      </c>
      <c r="B970" s="2" t="str">
        <f>_xlfn.IFS('Raw Data'!E970&gt;10,"Premium",'Raw Data'!E970&lt;10,"Basic")</f>
        <v>Premium</v>
      </c>
      <c r="C970">
        <v>15.99</v>
      </c>
      <c r="D970">
        <v>2521</v>
      </c>
      <c r="E970" t="s">
        <v>24</v>
      </c>
      <c r="F970" t="s">
        <v>68</v>
      </c>
      <c r="G970">
        <v>267</v>
      </c>
      <c r="H970" t="s">
        <v>28</v>
      </c>
      <c r="I970">
        <v>3213</v>
      </c>
      <c r="J970">
        <v>2521</v>
      </c>
      <c r="K970" t="s">
        <v>25</v>
      </c>
      <c r="L970" t="s">
        <v>64</v>
      </c>
      <c r="M970">
        <v>118</v>
      </c>
      <c r="N970">
        <v>6</v>
      </c>
      <c r="O970" t="s">
        <v>68</v>
      </c>
      <c r="P970" t="s">
        <v>25</v>
      </c>
      <c r="Q970">
        <v>267</v>
      </c>
      <c r="R970" t="s">
        <v>56</v>
      </c>
      <c r="S970">
        <v>15.99</v>
      </c>
    </row>
    <row r="971" spans="1:19" x14ac:dyDescent="0.3">
      <c r="A971">
        <f>'Raw Data'!D971-'Raw Data'!C971</f>
        <v>690</v>
      </c>
      <c r="B971" s="2" t="str">
        <f>_xlfn.IFS('Raw Data'!E971&gt;10,"Premium",'Raw Data'!E971&lt;10,"Basic")</f>
        <v>Premium</v>
      </c>
      <c r="C971">
        <v>15.99</v>
      </c>
      <c r="D971">
        <v>1269</v>
      </c>
      <c r="E971" t="s">
        <v>24</v>
      </c>
      <c r="F971" t="s">
        <v>52</v>
      </c>
      <c r="G971">
        <v>29</v>
      </c>
      <c r="H971" t="s">
        <v>28</v>
      </c>
      <c r="I971">
        <v>4127</v>
      </c>
      <c r="J971">
        <v>1269</v>
      </c>
      <c r="K971" t="s">
        <v>25</v>
      </c>
      <c r="L971" t="s">
        <v>64</v>
      </c>
      <c r="M971">
        <v>404</v>
      </c>
      <c r="N971">
        <v>177</v>
      </c>
      <c r="O971" t="s">
        <v>52</v>
      </c>
      <c r="P971" t="s">
        <v>25</v>
      </c>
      <c r="Q971">
        <v>29</v>
      </c>
      <c r="R971" t="s">
        <v>50</v>
      </c>
      <c r="S971">
        <v>15.99</v>
      </c>
    </row>
    <row r="972" spans="1:19" x14ac:dyDescent="0.3">
      <c r="A972">
        <f>'Raw Data'!D972-'Raw Data'!C972</f>
        <v>90</v>
      </c>
      <c r="B972" s="2" t="str">
        <f>_xlfn.IFS('Raw Data'!E972&gt;10,"Premium",'Raw Data'!E972&lt;10,"Basic")</f>
        <v>Premium</v>
      </c>
      <c r="C972">
        <v>15.99</v>
      </c>
      <c r="D972">
        <v>9959</v>
      </c>
      <c r="E972" t="s">
        <v>24</v>
      </c>
      <c r="F972" t="s">
        <v>36</v>
      </c>
      <c r="G972">
        <v>454</v>
      </c>
      <c r="H972" t="s">
        <v>28</v>
      </c>
      <c r="I972">
        <v>1961</v>
      </c>
      <c r="J972">
        <v>9959</v>
      </c>
      <c r="K972" t="s">
        <v>63</v>
      </c>
      <c r="L972" t="s">
        <v>40</v>
      </c>
      <c r="M972">
        <v>938</v>
      </c>
      <c r="N972">
        <v>75</v>
      </c>
      <c r="O972" t="s">
        <v>36</v>
      </c>
      <c r="P972" t="s">
        <v>63</v>
      </c>
      <c r="Q972">
        <v>454</v>
      </c>
      <c r="R972" t="s">
        <v>34</v>
      </c>
      <c r="S972">
        <v>15.99</v>
      </c>
    </row>
    <row r="973" spans="1:19" x14ac:dyDescent="0.3">
      <c r="A973">
        <f>'Raw Data'!D973-'Raw Data'!C973</f>
        <v>182</v>
      </c>
      <c r="B973" s="2" t="str">
        <f>_xlfn.IFS('Raw Data'!E973&gt;10,"Premium",'Raw Data'!E973&lt;10,"Basic")</f>
        <v>Premium</v>
      </c>
      <c r="C973">
        <v>15.99</v>
      </c>
      <c r="D973">
        <v>7549</v>
      </c>
      <c r="E973" t="s">
        <v>79</v>
      </c>
      <c r="F973" t="s">
        <v>52</v>
      </c>
      <c r="G973">
        <v>119</v>
      </c>
      <c r="H973" t="s">
        <v>28</v>
      </c>
      <c r="I973">
        <v>1708</v>
      </c>
      <c r="J973">
        <v>7549</v>
      </c>
      <c r="K973" t="s">
        <v>74</v>
      </c>
      <c r="L973" t="s">
        <v>49</v>
      </c>
      <c r="M973">
        <v>112</v>
      </c>
      <c r="N973">
        <v>181</v>
      </c>
      <c r="O973" t="s">
        <v>52</v>
      </c>
      <c r="P973" t="s">
        <v>74</v>
      </c>
      <c r="Q973">
        <v>119</v>
      </c>
      <c r="R973" t="s">
        <v>34</v>
      </c>
      <c r="S973">
        <v>15.99</v>
      </c>
    </row>
    <row r="974" spans="1:19" x14ac:dyDescent="0.3">
      <c r="A974">
        <f>'Raw Data'!D974-'Raw Data'!C974</f>
        <v>303</v>
      </c>
      <c r="B974" s="2" t="str">
        <f>_xlfn.IFS('Raw Data'!E974&gt;10,"Premium",'Raw Data'!E974&lt;10,"Basic")</f>
        <v>Premium</v>
      </c>
      <c r="C974">
        <v>11.99</v>
      </c>
      <c r="D974">
        <v>4747</v>
      </c>
      <c r="E974" t="s">
        <v>24</v>
      </c>
      <c r="F974" t="s">
        <v>68</v>
      </c>
      <c r="G974">
        <v>311</v>
      </c>
      <c r="H974" t="s">
        <v>28</v>
      </c>
      <c r="I974">
        <v>2288</v>
      </c>
      <c r="J974">
        <v>4747</v>
      </c>
      <c r="K974" t="s">
        <v>44</v>
      </c>
      <c r="L974" t="s">
        <v>49</v>
      </c>
      <c r="M974">
        <v>430</v>
      </c>
      <c r="N974">
        <v>188</v>
      </c>
      <c r="O974" t="s">
        <v>68</v>
      </c>
      <c r="P974" t="s">
        <v>44</v>
      </c>
      <c r="Q974">
        <v>311</v>
      </c>
      <c r="R974" t="s">
        <v>67</v>
      </c>
      <c r="S974">
        <v>11.99</v>
      </c>
    </row>
    <row r="975" spans="1:19" x14ac:dyDescent="0.3">
      <c r="A975">
        <f>'Raw Data'!D975-'Raw Data'!C975</f>
        <v>342</v>
      </c>
      <c r="B975" s="2" t="str">
        <f>_xlfn.IFS('Raw Data'!E975&gt;10,"Premium",'Raw Data'!E975&lt;10,"Basic")</f>
        <v>Premium</v>
      </c>
      <c r="C975">
        <v>15.99</v>
      </c>
      <c r="D975">
        <v>8320</v>
      </c>
      <c r="E975" t="s">
        <v>62</v>
      </c>
      <c r="F975" t="s">
        <v>30</v>
      </c>
      <c r="G975">
        <v>122</v>
      </c>
      <c r="H975" t="s">
        <v>28</v>
      </c>
      <c r="I975">
        <v>4570</v>
      </c>
      <c r="J975">
        <v>8320</v>
      </c>
      <c r="K975" t="s">
        <v>25</v>
      </c>
      <c r="L975" t="s">
        <v>26</v>
      </c>
      <c r="M975">
        <v>626</v>
      </c>
      <c r="N975">
        <v>69</v>
      </c>
      <c r="O975" t="s">
        <v>30</v>
      </c>
      <c r="P975" t="s">
        <v>25</v>
      </c>
      <c r="Q975">
        <v>122</v>
      </c>
      <c r="R975" t="s">
        <v>41</v>
      </c>
      <c r="S975">
        <v>15.99</v>
      </c>
    </row>
    <row r="976" spans="1:19" x14ac:dyDescent="0.3">
      <c r="A976">
        <f>'Raw Data'!D976-'Raw Data'!C976</f>
        <v>217</v>
      </c>
      <c r="B976" s="2" t="str">
        <f>_xlfn.IFS('Raw Data'!E976&gt;10,"Premium",'Raw Data'!E976&lt;10,"Basic")</f>
        <v>Premium</v>
      </c>
      <c r="C976">
        <v>15.99</v>
      </c>
      <c r="D976">
        <v>1333</v>
      </c>
      <c r="E976" t="s">
        <v>43</v>
      </c>
      <c r="F976" t="s">
        <v>60</v>
      </c>
      <c r="G976">
        <v>300</v>
      </c>
      <c r="H976" t="s">
        <v>28</v>
      </c>
      <c r="I976">
        <v>2547</v>
      </c>
      <c r="J976">
        <v>1333</v>
      </c>
      <c r="K976" t="s">
        <v>39</v>
      </c>
      <c r="L976" t="s">
        <v>49</v>
      </c>
      <c r="M976">
        <v>819</v>
      </c>
      <c r="N976">
        <v>143</v>
      </c>
      <c r="O976" t="s">
        <v>60</v>
      </c>
      <c r="P976" t="s">
        <v>39</v>
      </c>
      <c r="Q976">
        <v>300</v>
      </c>
      <c r="R976" t="s">
        <v>34</v>
      </c>
      <c r="S976">
        <v>15.99</v>
      </c>
    </row>
    <row r="977" spans="1:19" x14ac:dyDescent="0.3">
      <c r="A977">
        <f>'Raw Data'!D977-'Raw Data'!C977</f>
        <v>80</v>
      </c>
      <c r="B977" s="2" t="str">
        <f>_xlfn.IFS('Raw Data'!E977&gt;10,"Premium",'Raw Data'!E977&lt;10,"Basic")</f>
        <v>Premium</v>
      </c>
      <c r="C977">
        <v>15.99</v>
      </c>
      <c r="D977">
        <v>5254</v>
      </c>
      <c r="E977" t="s">
        <v>79</v>
      </c>
      <c r="F977" t="s">
        <v>52</v>
      </c>
      <c r="G977">
        <v>59</v>
      </c>
      <c r="H977" t="s">
        <v>28</v>
      </c>
      <c r="I977">
        <v>4655</v>
      </c>
      <c r="J977">
        <v>5254</v>
      </c>
      <c r="K977" t="s">
        <v>39</v>
      </c>
      <c r="L977" t="s">
        <v>40</v>
      </c>
      <c r="M977">
        <v>718</v>
      </c>
      <c r="N977">
        <v>3</v>
      </c>
      <c r="O977" t="s">
        <v>52</v>
      </c>
      <c r="P977" t="s">
        <v>39</v>
      </c>
      <c r="Q977">
        <v>59</v>
      </c>
      <c r="R977" t="s">
        <v>34</v>
      </c>
      <c r="S977">
        <v>15.99</v>
      </c>
    </row>
    <row r="978" spans="1:19" x14ac:dyDescent="0.3">
      <c r="A978">
        <f>'Raw Data'!D978-'Raw Data'!C978</f>
        <v>535</v>
      </c>
      <c r="B978" s="2" t="str">
        <f>_xlfn.IFS('Raw Data'!E978&gt;10,"Premium",'Raw Data'!E978&lt;10,"Basic")</f>
        <v>Premium</v>
      </c>
      <c r="C978">
        <v>15.99</v>
      </c>
      <c r="D978">
        <v>6842</v>
      </c>
      <c r="E978" t="s">
        <v>33</v>
      </c>
      <c r="F978" t="s">
        <v>68</v>
      </c>
      <c r="G978">
        <v>34</v>
      </c>
      <c r="H978" t="s">
        <v>28</v>
      </c>
      <c r="I978">
        <v>1656</v>
      </c>
      <c r="J978">
        <v>6842</v>
      </c>
      <c r="K978" t="s">
        <v>39</v>
      </c>
      <c r="L978" t="s">
        <v>40</v>
      </c>
      <c r="M978">
        <v>109</v>
      </c>
      <c r="N978">
        <v>174</v>
      </c>
      <c r="O978" t="s">
        <v>68</v>
      </c>
      <c r="P978" t="s">
        <v>39</v>
      </c>
      <c r="Q978">
        <v>34</v>
      </c>
      <c r="R978" t="s">
        <v>27</v>
      </c>
      <c r="S978">
        <v>15.99</v>
      </c>
    </row>
    <row r="979" spans="1:19" x14ac:dyDescent="0.3">
      <c r="A979">
        <f>'Raw Data'!D979-'Raw Data'!C979</f>
        <v>366</v>
      </c>
      <c r="B979" s="2" t="str">
        <f>_xlfn.IFS('Raw Data'!E979&gt;10,"Premium",'Raw Data'!E979&lt;10,"Basic")</f>
        <v>Premium</v>
      </c>
      <c r="C979">
        <v>11.99</v>
      </c>
      <c r="D979">
        <v>9333</v>
      </c>
      <c r="E979" t="s">
        <v>62</v>
      </c>
      <c r="F979" t="s">
        <v>36</v>
      </c>
      <c r="G979">
        <v>23</v>
      </c>
      <c r="H979" t="s">
        <v>28</v>
      </c>
      <c r="I979">
        <v>2761</v>
      </c>
      <c r="J979">
        <v>9333</v>
      </c>
      <c r="K979" t="s">
        <v>48</v>
      </c>
      <c r="L979" t="s">
        <v>64</v>
      </c>
      <c r="M979">
        <v>544</v>
      </c>
      <c r="N979">
        <v>25</v>
      </c>
      <c r="O979" t="s">
        <v>36</v>
      </c>
      <c r="P979" t="s">
        <v>48</v>
      </c>
      <c r="Q979">
        <v>23</v>
      </c>
      <c r="R979" t="s">
        <v>34</v>
      </c>
      <c r="S979">
        <v>11.99</v>
      </c>
    </row>
    <row r="980" spans="1:19" x14ac:dyDescent="0.3">
      <c r="A980">
        <f>'Raw Data'!D980-'Raw Data'!C980</f>
        <v>130</v>
      </c>
      <c r="B980" s="2" t="str">
        <f>_xlfn.IFS('Raw Data'!E980&gt;10,"Premium",'Raw Data'!E980&lt;10,"Basic")</f>
        <v>Premium</v>
      </c>
      <c r="C980">
        <v>15.99</v>
      </c>
      <c r="D980">
        <v>9122</v>
      </c>
      <c r="E980" t="s">
        <v>24</v>
      </c>
      <c r="F980" t="s">
        <v>36</v>
      </c>
      <c r="G980">
        <v>168</v>
      </c>
      <c r="H980" t="s">
        <v>28</v>
      </c>
      <c r="I980">
        <v>773</v>
      </c>
      <c r="J980">
        <v>9122</v>
      </c>
      <c r="K980" t="s">
        <v>74</v>
      </c>
      <c r="L980" t="s">
        <v>26</v>
      </c>
      <c r="M980">
        <v>25</v>
      </c>
      <c r="N980">
        <v>171</v>
      </c>
      <c r="O980" t="s">
        <v>36</v>
      </c>
      <c r="P980" t="s">
        <v>74</v>
      </c>
      <c r="Q980">
        <v>168</v>
      </c>
      <c r="R980" t="s">
        <v>27</v>
      </c>
      <c r="S980">
        <v>15.99</v>
      </c>
    </row>
    <row r="981" spans="1:19" x14ac:dyDescent="0.3">
      <c r="A981">
        <f>'Raw Data'!D981-'Raw Data'!C981</f>
        <v>9</v>
      </c>
      <c r="B981" s="2" t="str">
        <f>_xlfn.IFS('Raw Data'!E981&gt;10,"Premium",'Raw Data'!E981&lt;10,"Basic")</f>
        <v>Premium</v>
      </c>
      <c r="C981">
        <v>11.99</v>
      </c>
      <c r="D981">
        <v>6221</v>
      </c>
      <c r="E981" t="s">
        <v>24</v>
      </c>
      <c r="F981" t="s">
        <v>52</v>
      </c>
      <c r="G981">
        <v>306</v>
      </c>
      <c r="H981" t="s">
        <v>28</v>
      </c>
      <c r="I981">
        <v>1652</v>
      </c>
      <c r="J981">
        <v>6221</v>
      </c>
      <c r="K981" t="s">
        <v>25</v>
      </c>
      <c r="L981" t="s">
        <v>49</v>
      </c>
      <c r="M981">
        <v>513</v>
      </c>
      <c r="N981">
        <v>70</v>
      </c>
      <c r="O981" t="s">
        <v>52</v>
      </c>
      <c r="P981" t="s">
        <v>25</v>
      </c>
      <c r="Q981">
        <v>306</v>
      </c>
      <c r="R981" t="s">
        <v>50</v>
      </c>
      <c r="S981">
        <v>11.99</v>
      </c>
    </row>
    <row r="982" spans="1:19" x14ac:dyDescent="0.3">
      <c r="A982">
        <f>'Raw Data'!D982-'Raw Data'!C982</f>
        <v>401</v>
      </c>
      <c r="B982" s="2" t="str">
        <f>_xlfn.IFS('Raw Data'!E982&gt;10,"Premium",'Raw Data'!E982&lt;10,"Basic")</f>
        <v>Premium</v>
      </c>
      <c r="C982">
        <v>15.99</v>
      </c>
      <c r="D982">
        <v>9957</v>
      </c>
      <c r="E982" t="s">
        <v>46</v>
      </c>
      <c r="F982" t="s">
        <v>68</v>
      </c>
      <c r="G982">
        <v>433</v>
      </c>
      <c r="H982" t="s">
        <v>28</v>
      </c>
      <c r="I982">
        <v>1037</v>
      </c>
      <c r="J982">
        <v>9957</v>
      </c>
      <c r="K982" t="s">
        <v>74</v>
      </c>
      <c r="L982" t="s">
        <v>40</v>
      </c>
      <c r="M982">
        <v>1000</v>
      </c>
      <c r="N982">
        <v>48</v>
      </c>
      <c r="O982" t="s">
        <v>68</v>
      </c>
      <c r="P982" t="s">
        <v>74</v>
      </c>
      <c r="Q982">
        <v>433</v>
      </c>
      <c r="R982" t="s">
        <v>50</v>
      </c>
      <c r="S982">
        <v>15.99</v>
      </c>
    </row>
    <row r="983" spans="1:19" x14ac:dyDescent="0.3">
      <c r="A983">
        <f>'Raw Data'!D983-'Raw Data'!C983</f>
        <v>-5</v>
      </c>
      <c r="B983" s="2" t="str">
        <f>_xlfn.IFS('Raw Data'!E983&gt;10,"Premium",'Raw Data'!E983&lt;10,"Basic")</f>
        <v>Premium</v>
      </c>
      <c r="C983">
        <v>11.99</v>
      </c>
      <c r="D983">
        <v>4680</v>
      </c>
      <c r="E983" t="s">
        <v>79</v>
      </c>
      <c r="F983" t="s">
        <v>30</v>
      </c>
      <c r="G983">
        <v>221</v>
      </c>
      <c r="H983" t="s">
        <v>28</v>
      </c>
      <c r="I983">
        <v>4505</v>
      </c>
      <c r="J983">
        <v>4680</v>
      </c>
      <c r="K983" t="s">
        <v>25</v>
      </c>
      <c r="L983" t="s">
        <v>64</v>
      </c>
      <c r="M983">
        <v>749</v>
      </c>
      <c r="N983">
        <v>66</v>
      </c>
      <c r="O983" t="s">
        <v>30</v>
      </c>
      <c r="P983" t="s">
        <v>25</v>
      </c>
      <c r="Q983">
        <v>221</v>
      </c>
      <c r="R983" t="s">
        <v>34</v>
      </c>
      <c r="S983">
        <v>11.99</v>
      </c>
    </row>
    <row r="984" spans="1:19" x14ac:dyDescent="0.3">
      <c r="A984">
        <f>'Raw Data'!D984-'Raw Data'!C984</f>
        <v>34</v>
      </c>
      <c r="B984" s="2" t="str">
        <f>_xlfn.IFS('Raw Data'!E984&gt;10,"Premium",'Raw Data'!E984&lt;10,"Basic")</f>
        <v>Premium</v>
      </c>
      <c r="C984">
        <v>15.99</v>
      </c>
      <c r="D984">
        <v>5974</v>
      </c>
      <c r="E984" t="s">
        <v>46</v>
      </c>
      <c r="F984" t="s">
        <v>52</v>
      </c>
      <c r="G984">
        <v>236</v>
      </c>
      <c r="H984" t="s">
        <v>28</v>
      </c>
      <c r="I984">
        <v>3648</v>
      </c>
      <c r="J984">
        <v>5974</v>
      </c>
      <c r="K984" t="s">
        <v>44</v>
      </c>
      <c r="L984" t="s">
        <v>64</v>
      </c>
      <c r="M984">
        <v>600</v>
      </c>
      <c r="N984">
        <v>199</v>
      </c>
      <c r="O984" t="s">
        <v>52</v>
      </c>
      <c r="P984" t="s">
        <v>44</v>
      </c>
      <c r="Q984">
        <v>236</v>
      </c>
      <c r="R984" t="s">
        <v>34</v>
      </c>
      <c r="S984">
        <v>15.99</v>
      </c>
    </row>
    <row r="985" spans="1:19" x14ac:dyDescent="0.3">
      <c r="A985">
        <f>'Raw Data'!D985-'Raw Data'!C985</f>
        <v>221</v>
      </c>
      <c r="B985" s="2" t="str">
        <f>_xlfn.IFS('Raw Data'!E985&gt;10,"Premium",'Raw Data'!E985&lt;10,"Basic")</f>
        <v>Premium</v>
      </c>
      <c r="C985">
        <v>11.99</v>
      </c>
      <c r="D985">
        <v>6938</v>
      </c>
      <c r="E985" t="s">
        <v>24</v>
      </c>
      <c r="F985" t="s">
        <v>52</v>
      </c>
      <c r="G985">
        <v>75</v>
      </c>
      <c r="H985" t="s">
        <v>28</v>
      </c>
      <c r="I985">
        <v>4015</v>
      </c>
      <c r="J985">
        <v>6938</v>
      </c>
      <c r="K985" t="s">
        <v>63</v>
      </c>
      <c r="L985" t="s">
        <v>49</v>
      </c>
      <c r="M985">
        <v>897</v>
      </c>
      <c r="N985">
        <v>59</v>
      </c>
      <c r="O985" t="s">
        <v>52</v>
      </c>
      <c r="P985" t="s">
        <v>63</v>
      </c>
      <c r="Q985">
        <v>75</v>
      </c>
      <c r="R985" t="s">
        <v>27</v>
      </c>
      <c r="S985">
        <v>11.99</v>
      </c>
    </row>
    <row r="986" spans="1:19" x14ac:dyDescent="0.3">
      <c r="A986">
        <f>'Raw Data'!D986-'Raw Data'!C986</f>
        <v>254</v>
      </c>
      <c r="B986" s="2" t="str">
        <f>_xlfn.IFS('Raw Data'!E986&gt;10,"Premium",'Raw Data'!E986&lt;10,"Basic")</f>
        <v>Premium</v>
      </c>
      <c r="C986">
        <v>15.99</v>
      </c>
      <c r="D986">
        <v>1175</v>
      </c>
      <c r="E986" t="s">
        <v>62</v>
      </c>
      <c r="F986" t="s">
        <v>36</v>
      </c>
      <c r="G986">
        <v>325</v>
      </c>
      <c r="H986" t="s">
        <v>28</v>
      </c>
      <c r="I986">
        <v>2050</v>
      </c>
      <c r="J986">
        <v>1175</v>
      </c>
      <c r="K986" t="s">
        <v>63</v>
      </c>
      <c r="L986" t="s">
        <v>49</v>
      </c>
      <c r="M986">
        <v>412</v>
      </c>
      <c r="N986">
        <v>117</v>
      </c>
      <c r="O986" t="s">
        <v>36</v>
      </c>
      <c r="P986" t="s">
        <v>63</v>
      </c>
      <c r="Q986">
        <v>325</v>
      </c>
      <c r="R986" t="s">
        <v>27</v>
      </c>
      <c r="S986">
        <v>15.99</v>
      </c>
    </row>
    <row r="987" spans="1:19" x14ac:dyDescent="0.3">
      <c r="A987">
        <f>'Raw Data'!D987-'Raw Data'!C987</f>
        <v>266</v>
      </c>
      <c r="B987" s="2" t="str">
        <f>_xlfn.IFS('Raw Data'!E987&gt;10,"Premium",'Raw Data'!E987&lt;10,"Basic")</f>
        <v>Basic</v>
      </c>
      <c r="C987">
        <v>7.99</v>
      </c>
      <c r="D987">
        <v>1260</v>
      </c>
      <c r="E987" t="s">
        <v>46</v>
      </c>
      <c r="F987" t="s">
        <v>30</v>
      </c>
      <c r="G987">
        <v>217</v>
      </c>
      <c r="H987" t="s">
        <v>28</v>
      </c>
      <c r="I987">
        <v>2390</v>
      </c>
      <c r="J987">
        <v>1260</v>
      </c>
      <c r="K987" t="s">
        <v>63</v>
      </c>
      <c r="L987" t="s">
        <v>40</v>
      </c>
      <c r="M987">
        <v>669</v>
      </c>
      <c r="N987">
        <v>155</v>
      </c>
      <c r="O987" t="s">
        <v>30</v>
      </c>
      <c r="P987" t="s">
        <v>63</v>
      </c>
      <c r="Q987">
        <v>217</v>
      </c>
      <c r="R987" t="s">
        <v>41</v>
      </c>
      <c r="S987">
        <v>7.99</v>
      </c>
    </row>
    <row r="988" spans="1:19" x14ac:dyDescent="0.3">
      <c r="A988">
        <f>'Raw Data'!D988-'Raw Data'!C988</f>
        <v>564</v>
      </c>
      <c r="B988" s="2" t="str">
        <f>_xlfn.IFS('Raw Data'!E988&gt;10,"Premium",'Raw Data'!E988&lt;10,"Basic")</f>
        <v>Basic</v>
      </c>
      <c r="C988">
        <v>7.99</v>
      </c>
      <c r="D988">
        <v>4645</v>
      </c>
      <c r="E988" t="s">
        <v>24</v>
      </c>
      <c r="F988" t="s">
        <v>30</v>
      </c>
      <c r="G988">
        <v>178</v>
      </c>
      <c r="H988" t="s">
        <v>28</v>
      </c>
      <c r="I988">
        <v>3079</v>
      </c>
      <c r="J988">
        <v>4645</v>
      </c>
      <c r="K988" t="s">
        <v>63</v>
      </c>
      <c r="L988" t="s">
        <v>64</v>
      </c>
      <c r="M988">
        <v>323</v>
      </c>
      <c r="N988">
        <v>130</v>
      </c>
      <c r="O988" t="s">
        <v>30</v>
      </c>
      <c r="P988" t="s">
        <v>63</v>
      </c>
      <c r="Q988">
        <v>178</v>
      </c>
      <c r="R988" t="s">
        <v>67</v>
      </c>
      <c r="S988">
        <v>7.99</v>
      </c>
    </row>
    <row r="989" spans="1:19" x14ac:dyDescent="0.3">
      <c r="A989">
        <f>'Raw Data'!D989-'Raw Data'!C989</f>
        <v>228</v>
      </c>
      <c r="B989" s="2" t="str">
        <f>_xlfn.IFS('Raw Data'!E989&gt;10,"Premium",'Raw Data'!E989&lt;10,"Basic")</f>
        <v>Premium</v>
      </c>
      <c r="C989">
        <v>15.99</v>
      </c>
      <c r="D989">
        <v>1637</v>
      </c>
      <c r="E989" t="s">
        <v>43</v>
      </c>
      <c r="F989" t="s">
        <v>60</v>
      </c>
      <c r="G989">
        <v>74</v>
      </c>
      <c r="H989" t="s">
        <v>28</v>
      </c>
      <c r="I989">
        <v>4111</v>
      </c>
      <c r="J989">
        <v>1637</v>
      </c>
      <c r="K989" t="s">
        <v>44</v>
      </c>
      <c r="L989" t="s">
        <v>64</v>
      </c>
      <c r="M989">
        <v>646</v>
      </c>
      <c r="N989">
        <v>38</v>
      </c>
      <c r="O989" t="s">
        <v>60</v>
      </c>
      <c r="P989" t="s">
        <v>44</v>
      </c>
      <c r="Q989">
        <v>74</v>
      </c>
      <c r="R989" t="s">
        <v>27</v>
      </c>
      <c r="S989">
        <v>15.99</v>
      </c>
    </row>
    <row r="990" spans="1:19" x14ac:dyDescent="0.3">
      <c r="A990">
        <f>'Raw Data'!D990-'Raw Data'!C990</f>
        <v>683</v>
      </c>
      <c r="B990" s="2" t="str">
        <f>_xlfn.IFS('Raw Data'!E990&gt;10,"Premium",'Raw Data'!E990&lt;10,"Basic")</f>
        <v>Premium</v>
      </c>
      <c r="C990">
        <v>15.99</v>
      </c>
      <c r="D990">
        <v>7960</v>
      </c>
      <c r="E990" t="s">
        <v>62</v>
      </c>
      <c r="F990" t="s">
        <v>52</v>
      </c>
      <c r="G990">
        <v>373</v>
      </c>
      <c r="H990" t="s">
        <v>28</v>
      </c>
      <c r="I990">
        <v>3221</v>
      </c>
      <c r="J990">
        <v>7960</v>
      </c>
      <c r="K990" t="s">
        <v>39</v>
      </c>
      <c r="L990" t="s">
        <v>49</v>
      </c>
      <c r="M990">
        <v>507</v>
      </c>
      <c r="N990">
        <v>130</v>
      </c>
      <c r="O990" t="s">
        <v>52</v>
      </c>
      <c r="P990" t="s">
        <v>39</v>
      </c>
      <c r="Q990">
        <v>373</v>
      </c>
      <c r="R990" t="s">
        <v>56</v>
      </c>
      <c r="S990">
        <v>15.99</v>
      </c>
    </row>
    <row r="991" spans="1:19" x14ac:dyDescent="0.3">
      <c r="A991">
        <f>'Raw Data'!D991-'Raw Data'!C991</f>
        <v>247</v>
      </c>
      <c r="B991" s="2" t="str">
        <f>_xlfn.IFS('Raw Data'!E991&gt;10,"Premium",'Raw Data'!E991&lt;10,"Basic")</f>
        <v>Premium</v>
      </c>
      <c r="C991">
        <v>15.99</v>
      </c>
      <c r="D991">
        <v>9693</v>
      </c>
      <c r="E991" t="s">
        <v>62</v>
      </c>
      <c r="F991" t="s">
        <v>52</v>
      </c>
      <c r="G991">
        <v>64</v>
      </c>
      <c r="H991" t="s">
        <v>28</v>
      </c>
      <c r="I991">
        <v>2461</v>
      </c>
      <c r="J991">
        <v>9693</v>
      </c>
      <c r="K991" t="s">
        <v>44</v>
      </c>
      <c r="L991" t="s">
        <v>26</v>
      </c>
      <c r="M991">
        <v>881</v>
      </c>
      <c r="N991">
        <v>15</v>
      </c>
      <c r="O991" t="s">
        <v>52</v>
      </c>
      <c r="P991" t="s">
        <v>44</v>
      </c>
      <c r="Q991">
        <v>64</v>
      </c>
      <c r="R991" t="s">
        <v>41</v>
      </c>
      <c r="S991">
        <v>15.99</v>
      </c>
    </row>
    <row r="992" spans="1:19" x14ac:dyDescent="0.3">
      <c r="A992">
        <f>'Raw Data'!D992-'Raw Data'!C992</f>
        <v>300</v>
      </c>
      <c r="B992" s="2" t="str">
        <f>_xlfn.IFS('Raw Data'!E992&gt;10,"Premium",'Raw Data'!E992&lt;10,"Basic")</f>
        <v>Premium</v>
      </c>
      <c r="C992">
        <v>11.99</v>
      </c>
      <c r="D992">
        <v>8743</v>
      </c>
      <c r="E992" t="s">
        <v>24</v>
      </c>
      <c r="F992" t="s">
        <v>60</v>
      </c>
      <c r="G992">
        <v>129</v>
      </c>
      <c r="H992" t="s">
        <v>28</v>
      </c>
      <c r="I992">
        <v>2858</v>
      </c>
      <c r="J992">
        <v>8743</v>
      </c>
      <c r="K992" t="s">
        <v>48</v>
      </c>
      <c r="L992" t="s">
        <v>26</v>
      </c>
      <c r="M992">
        <v>594</v>
      </c>
      <c r="N992">
        <v>127</v>
      </c>
      <c r="O992" t="s">
        <v>60</v>
      </c>
      <c r="P992" t="s">
        <v>48</v>
      </c>
      <c r="Q992">
        <v>129</v>
      </c>
      <c r="R992" t="s">
        <v>34</v>
      </c>
      <c r="S992">
        <v>11.99</v>
      </c>
    </row>
    <row r="993" spans="1:19" x14ac:dyDescent="0.3">
      <c r="A993">
        <f>'Raw Data'!D993-'Raw Data'!C993</f>
        <v>461</v>
      </c>
      <c r="B993" s="2" t="str">
        <f>_xlfn.IFS('Raw Data'!E993&gt;10,"Premium",'Raw Data'!E993&lt;10,"Basic")</f>
        <v>Premium</v>
      </c>
      <c r="C993">
        <v>15.99</v>
      </c>
      <c r="D993">
        <v>3379</v>
      </c>
      <c r="E993" t="s">
        <v>43</v>
      </c>
      <c r="F993" t="s">
        <v>68</v>
      </c>
      <c r="G993">
        <v>297</v>
      </c>
      <c r="H993" t="s">
        <v>28</v>
      </c>
      <c r="I993">
        <v>4076</v>
      </c>
      <c r="J993">
        <v>3379</v>
      </c>
      <c r="K993" t="s">
        <v>48</v>
      </c>
      <c r="L993" t="s">
        <v>26</v>
      </c>
      <c r="M993">
        <v>667</v>
      </c>
      <c r="N993">
        <v>75</v>
      </c>
      <c r="O993" t="s">
        <v>68</v>
      </c>
      <c r="P993" t="s">
        <v>48</v>
      </c>
      <c r="Q993">
        <v>297</v>
      </c>
      <c r="R993" t="s">
        <v>34</v>
      </c>
      <c r="S993">
        <v>15.99</v>
      </c>
    </row>
    <row r="994" spans="1:19" x14ac:dyDescent="0.3">
      <c r="A994">
        <f>'Raw Data'!D994-'Raw Data'!C994</f>
        <v>389</v>
      </c>
      <c r="B994" s="2" t="str">
        <f>_xlfn.IFS('Raw Data'!E994&gt;10,"Premium",'Raw Data'!E994&lt;10,"Basic")</f>
        <v>Premium</v>
      </c>
      <c r="C994">
        <v>15.99</v>
      </c>
      <c r="D994">
        <v>7696</v>
      </c>
      <c r="E994" t="s">
        <v>24</v>
      </c>
      <c r="F994" t="s">
        <v>60</v>
      </c>
      <c r="G994">
        <v>235</v>
      </c>
      <c r="H994" t="s">
        <v>28</v>
      </c>
      <c r="I994">
        <v>2163</v>
      </c>
      <c r="J994">
        <v>7696</v>
      </c>
      <c r="K994" t="s">
        <v>44</v>
      </c>
      <c r="L994" t="s">
        <v>40</v>
      </c>
      <c r="M994">
        <v>709</v>
      </c>
      <c r="N994">
        <v>151</v>
      </c>
      <c r="O994" t="s">
        <v>60</v>
      </c>
      <c r="P994" t="s">
        <v>44</v>
      </c>
      <c r="Q994">
        <v>235</v>
      </c>
      <c r="R994" t="s">
        <v>34</v>
      </c>
      <c r="S994">
        <v>15.99</v>
      </c>
    </row>
    <row r="995" spans="1:19" x14ac:dyDescent="0.3">
      <c r="A995">
        <f>'Raw Data'!D995-'Raw Data'!C995</f>
        <v>371</v>
      </c>
      <c r="B995" s="2" t="str">
        <f>_xlfn.IFS('Raw Data'!E995&gt;10,"Premium",'Raw Data'!E995&lt;10,"Basic")</f>
        <v>Premium</v>
      </c>
      <c r="C995">
        <v>15.99</v>
      </c>
      <c r="D995">
        <v>8552</v>
      </c>
      <c r="E995" t="s">
        <v>24</v>
      </c>
      <c r="F995" t="s">
        <v>68</v>
      </c>
      <c r="G995">
        <v>390</v>
      </c>
      <c r="H995" t="s">
        <v>28</v>
      </c>
      <c r="I995">
        <v>3726</v>
      </c>
      <c r="J995">
        <v>8552</v>
      </c>
      <c r="K995" t="s">
        <v>44</v>
      </c>
      <c r="L995" t="s">
        <v>40</v>
      </c>
      <c r="M995">
        <v>537</v>
      </c>
      <c r="N995">
        <v>101</v>
      </c>
      <c r="O995" t="s">
        <v>68</v>
      </c>
      <c r="P995" t="s">
        <v>44</v>
      </c>
      <c r="Q995">
        <v>390</v>
      </c>
      <c r="R995" t="s">
        <v>50</v>
      </c>
      <c r="S995">
        <v>15.99</v>
      </c>
    </row>
    <row r="996" spans="1:19" x14ac:dyDescent="0.3">
      <c r="A996">
        <f>'Raw Data'!D996-'Raw Data'!C996</f>
        <v>645</v>
      </c>
      <c r="B996" s="2" t="str">
        <f>_xlfn.IFS('Raw Data'!E996&gt;10,"Premium",'Raw Data'!E996&lt;10,"Basic")</f>
        <v>Premium</v>
      </c>
      <c r="C996">
        <v>11.99</v>
      </c>
      <c r="D996">
        <v>5065</v>
      </c>
      <c r="E996" t="s">
        <v>79</v>
      </c>
      <c r="F996" t="s">
        <v>68</v>
      </c>
      <c r="G996">
        <v>362</v>
      </c>
      <c r="H996" t="s">
        <v>28</v>
      </c>
      <c r="I996">
        <v>47</v>
      </c>
      <c r="J996">
        <v>5065</v>
      </c>
      <c r="K996" t="s">
        <v>44</v>
      </c>
      <c r="L996" t="s">
        <v>64</v>
      </c>
      <c r="M996">
        <v>490</v>
      </c>
      <c r="N996">
        <v>22</v>
      </c>
      <c r="O996" t="s">
        <v>68</v>
      </c>
      <c r="P996" t="s">
        <v>44</v>
      </c>
      <c r="Q996">
        <v>362</v>
      </c>
      <c r="R996" t="s">
        <v>34</v>
      </c>
      <c r="S996">
        <v>11.99</v>
      </c>
    </row>
    <row r="997" spans="1:19" x14ac:dyDescent="0.3">
      <c r="A997">
        <f>'Raw Data'!D997-'Raw Data'!C997</f>
        <v>215</v>
      </c>
      <c r="B997" s="2" t="str">
        <f>_xlfn.IFS('Raw Data'!E997&gt;10,"Premium",'Raw Data'!E997&lt;10,"Basic")</f>
        <v>Basic</v>
      </c>
      <c r="C997">
        <v>7.99</v>
      </c>
      <c r="D997">
        <v>6878</v>
      </c>
      <c r="E997" t="s">
        <v>43</v>
      </c>
      <c r="F997" t="s">
        <v>30</v>
      </c>
      <c r="G997">
        <v>136</v>
      </c>
      <c r="H997" t="s">
        <v>28</v>
      </c>
      <c r="I997">
        <v>4742</v>
      </c>
      <c r="J997">
        <v>6878</v>
      </c>
      <c r="K997" t="s">
        <v>39</v>
      </c>
      <c r="L997" t="s">
        <v>40</v>
      </c>
      <c r="M997">
        <v>20</v>
      </c>
      <c r="N997">
        <v>18</v>
      </c>
      <c r="O997" t="s">
        <v>30</v>
      </c>
      <c r="P997" t="s">
        <v>39</v>
      </c>
      <c r="Q997">
        <v>136</v>
      </c>
      <c r="R997" t="s">
        <v>27</v>
      </c>
      <c r="S997">
        <v>7.99</v>
      </c>
    </row>
    <row r="998" spans="1:19" x14ac:dyDescent="0.3">
      <c r="A998">
        <f>'Raw Data'!D998-'Raw Data'!C998</f>
        <v>214</v>
      </c>
      <c r="B998" s="2" t="str">
        <f>_xlfn.IFS('Raw Data'!E998&gt;10,"Premium",'Raw Data'!E998&lt;10,"Basic")</f>
        <v>Premium</v>
      </c>
      <c r="C998">
        <v>11.99</v>
      </c>
      <c r="D998">
        <v>5681</v>
      </c>
      <c r="E998" t="s">
        <v>79</v>
      </c>
      <c r="F998" t="s">
        <v>52</v>
      </c>
      <c r="G998">
        <v>159</v>
      </c>
      <c r="H998" t="s">
        <v>28</v>
      </c>
      <c r="I998">
        <v>2910</v>
      </c>
      <c r="J998">
        <v>5681</v>
      </c>
      <c r="K998" t="s">
        <v>48</v>
      </c>
      <c r="L998" t="s">
        <v>64</v>
      </c>
      <c r="M998">
        <v>824</v>
      </c>
      <c r="N998">
        <v>31</v>
      </c>
      <c r="O998" t="s">
        <v>52</v>
      </c>
      <c r="P998" t="s">
        <v>48</v>
      </c>
      <c r="Q998">
        <v>159</v>
      </c>
      <c r="R998" t="s">
        <v>56</v>
      </c>
      <c r="S998">
        <v>11.99</v>
      </c>
    </row>
    <row r="999" spans="1:19" x14ac:dyDescent="0.3">
      <c r="A999">
        <f>'Raw Data'!D999-'Raw Data'!C999</f>
        <v>268</v>
      </c>
      <c r="B999" s="2" t="str">
        <f>_xlfn.IFS('Raw Data'!E999&gt;10,"Premium",'Raw Data'!E999&lt;10,"Basic")</f>
        <v>Premium</v>
      </c>
      <c r="C999">
        <v>11.99</v>
      </c>
      <c r="D999">
        <v>4448</v>
      </c>
      <c r="E999" t="s">
        <v>43</v>
      </c>
      <c r="F999" t="s">
        <v>30</v>
      </c>
      <c r="G999">
        <v>99</v>
      </c>
      <c r="H999" t="s">
        <v>28</v>
      </c>
      <c r="I999">
        <v>1180</v>
      </c>
      <c r="J999">
        <v>4448</v>
      </c>
      <c r="K999" t="s">
        <v>59</v>
      </c>
      <c r="L999" t="s">
        <v>49</v>
      </c>
      <c r="M999">
        <v>319</v>
      </c>
      <c r="N999">
        <v>187</v>
      </c>
      <c r="O999" t="s">
        <v>30</v>
      </c>
      <c r="P999" t="s">
        <v>59</v>
      </c>
      <c r="Q999">
        <v>99</v>
      </c>
      <c r="R999" t="s">
        <v>56</v>
      </c>
      <c r="S999">
        <v>11.99</v>
      </c>
    </row>
    <row r="1000" spans="1:19" x14ac:dyDescent="0.3">
      <c r="A1000">
        <f>'Raw Data'!D1000-'Raw Data'!C1000</f>
        <v>384</v>
      </c>
      <c r="B1000" s="2" t="str">
        <f>_xlfn.IFS('Raw Data'!E1000&gt;10,"Premium",'Raw Data'!E1000&lt;10,"Basic")</f>
        <v>Premium</v>
      </c>
      <c r="C1000">
        <v>11.99</v>
      </c>
      <c r="D1000">
        <v>5795</v>
      </c>
      <c r="E1000" t="s">
        <v>24</v>
      </c>
      <c r="F1000" t="s">
        <v>36</v>
      </c>
      <c r="G1000">
        <v>157</v>
      </c>
      <c r="H1000" t="s">
        <v>28</v>
      </c>
      <c r="I1000">
        <v>1965</v>
      </c>
      <c r="J1000">
        <v>5795</v>
      </c>
      <c r="K1000" t="s">
        <v>63</v>
      </c>
      <c r="L1000" t="s">
        <v>40</v>
      </c>
      <c r="M1000">
        <v>754</v>
      </c>
      <c r="N1000">
        <v>23</v>
      </c>
      <c r="O1000" t="s">
        <v>36</v>
      </c>
      <c r="P1000" t="s">
        <v>63</v>
      </c>
      <c r="Q1000">
        <v>157</v>
      </c>
      <c r="R1000" t="s">
        <v>50</v>
      </c>
      <c r="S1000">
        <v>11.99</v>
      </c>
    </row>
    <row r="1001" spans="1:19" x14ac:dyDescent="0.3">
      <c r="A1001">
        <f>'Raw Data'!D1001-'Raw Data'!C1001</f>
        <v>438</v>
      </c>
      <c r="B1001" s="2" t="str">
        <f>_xlfn.IFS('Raw Data'!E1001&gt;10,"Premium",'Raw Data'!E1001&lt;10,"Basic")</f>
        <v>Premium</v>
      </c>
      <c r="C1001">
        <v>11.99</v>
      </c>
      <c r="D1001">
        <v>5320</v>
      </c>
      <c r="E1001" t="s">
        <v>46</v>
      </c>
      <c r="F1001" t="s">
        <v>36</v>
      </c>
      <c r="G1001">
        <v>123</v>
      </c>
      <c r="H1001" t="s">
        <v>28</v>
      </c>
      <c r="I1001">
        <v>3179</v>
      </c>
      <c r="J1001">
        <v>5320</v>
      </c>
      <c r="K1001" t="s">
        <v>25</v>
      </c>
      <c r="L1001" t="s">
        <v>26</v>
      </c>
      <c r="M1001">
        <v>718</v>
      </c>
      <c r="N1001">
        <v>25</v>
      </c>
      <c r="O1001" t="s">
        <v>36</v>
      </c>
      <c r="P1001" t="s">
        <v>25</v>
      </c>
      <c r="Q1001">
        <v>123</v>
      </c>
      <c r="R1001" t="s">
        <v>34</v>
      </c>
      <c r="S1001">
        <v>11.99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1E30A-1E3A-4382-95A5-516BBCF6B54E}">
  <sheetPr codeName="Sheet3"/>
  <dimension ref="A1:X110"/>
  <sheetViews>
    <sheetView tabSelected="1" topLeftCell="E25" zoomScale="97" zoomScaleNormal="80" workbookViewId="0">
      <selection activeCell="A30" sqref="A30:B30"/>
    </sheetView>
  </sheetViews>
  <sheetFormatPr defaultRowHeight="14.4" x14ac:dyDescent="0.3"/>
  <cols>
    <col min="1" max="1" width="15.88671875" bestFit="1" customWidth="1"/>
    <col min="2" max="2" width="16.5546875" bestFit="1" customWidth="1"/>
    <col min="3" max="3" width="8.21875" bestFit="1" customWidth="1"/>
    <col min="4" max="4" width="12.77734375" bestFit="1" customWidth="1"/>
    <col min="5" max="5" width="6.77734375" bestFit="1" customWidth="1"/>
    <col min="6" max="6" width="6.6640625" bestFit="1" customWidth="1"/>
    <col min="7" max="7" width="9.109375" bestFit="1" customWidth="1"/>
    <col min="8" max="8" width="5.44140625" bestFit="1" customWidth="1"/>
    <col min="9" max="9" width="11.109375" bestFit="1" customWidth="1"/>
    <col min="10" max="10" width="20" bestFit="1" customWidth="1"/>
    <col min="11" max="11" width="18" bestFit="1" customWidth="1"/>
    <col min="12" max="12" width="15.88671875" bestFit="1" customWidth="1"/>
    <col min="13" max="13" width="17.5546875" bestFit="1" customWidth="1"/>
    <col min="16" max="16" width="26" bestFit="1" customWidth="1"/>
    <col min="17" max="17" width="12.88671875" bestFit="1" customWidth="1"/>
    <col min="18" max="18" width="27.21875" bestFit="1" customWidth="1"/>
    <col min="19" max="19" width="28.33203125" bestFit="1" customWidth="1"/>
    <col min="22" max="22" width="12.5546875" bestFit="1" customWidth="1"/>
    <col min="23" max="23" width="22.21875" bestFit="1" customWidth="1"/>
  </cols>
  <sheetData>
    <row r="1" spans="1:24" x14ac:dyDescent="0.3">
      <c r="A1" s="3" t="s">
        <v>403</v>
      </c>
      <c r="B1" t="s">
        <v>411</v>
      </c>
      <c r="C1" s="7" t="s">
        <v>410</v>
      </c>
      <c r="D1" s="6" t="s">
        <v>409</v>
      </c>
      <c r="G1" s="5" t="s">
        <v>408</v>
      </c>
      <c r="H1" s="5"/>
    </row>
    <row r="2" spans="1:24" x14ac:dyDescent="0.3">
      <c r="A2" s="4" t="s">
        <v>404</v>
      </c>
      <c r="B2">
        <v>323</v>
      </c>
      <c r="C2" s="7">
        <v>2580.7699999999877</v>
      </c>
      <c r="D2">
        <f>GETPIVOTDATA("Total Revenue",$A$1,"Revenue_Category","Basic")/GETPIVOTDATA("Total Users",$A$1,"Revenue_Category","Basic")</f>
        <v>7.989999999999962</v>
      </c>
    </row>
    <row r="3" spans="1:24" x14ac:dyDescent="0.3">
      <c r="A3" s="4" t="s">
        <v>405</v>
      </c>
      <c r="B3">
        <v>677</v>
      </c>
      <c r="C3" s="7">
        <v>9445.2299999998868</v>
      </c>
      <c r="D3">
        <f>GETPIVOTDATA("Total Revenue",$A$1,"Revenue_Category","Premium")/GETPIVOTDATA("Total Users",$A$1,"Revenue_Category","Premium")</f>
        <v>13.951595273264235</v>
      </c>
    </row>
    <row r="4" spans="1:24" x14ac:dyDescent="0.3">
      <c r="A4" s="4" t="s">
        <v>407</v>
      </c>
      <c r="B4">
        <v>1000</v>
      </c>
      <c r="C4" s="7">
        <v>12025.99999999984</v>
      </c>
    </row>
    <row r="6" spans="1:24" x14ac:dyDescent="0.3">
      <c r="A6" s="3" t="s">
        <v>21</v>
      </c>
      <c r="B6" t="s">
        <v>413</v>
      </c>
      <c r="Q6" s="9" t="s">
        <v>424</v>
      </c>
      <c r="R6" s="9"/>
      <c r="S6" s="9"/>
      <c r="T6" s="9"/>
      <c r="V6" s="12" t="s">
        <v>428</v>
      </c>
      <c r="W6" s="12"/>
      <c r="X6" s="12"/>
    </row>
    <row r="7" spans="1:24" x14ac:dyDescent="0.3">
      <c r="A7" s="16" t="s">
        <v>412</v>
      </c>
      <c r="B7" s="16"/>
      <c r="Q7" s="3" t="s">
        <v>427</v>
      </c>
      <c r="R7" t="s">
        <v>426</v>
      </c>
      <c r="S7" t="s">
        <v>425</v>
      </c>
      <c r="V7" s="3" t="s">
        <v>15</v>
      </c>
      <c r="W7" t="s">
        <v>414</v>
      </c>
    </row>
    <row r="8" spans="1:24" x14ac:dyDescent="0.3">
      <c r="A8" s="3" t="s">
        <v>415</v>
      </c>
      <c r="B8" t="s">
        <v>414</v>
      </c>
      <c r="H8" s="7" t="s">
        <v>410</v>
      </c>
      <c r="I8" s="6" t="s">
        <v>409</v>
      </c>
      <c r="Q8" s="4" t="s">
        <v>52</v>
      </c>
      <c r="R8">
        <v>19790</v>
      </c>
      <c r="S8">
        <v>94100</v>
      </c>
      <c r="V8" s="4">
        <v>0</v>
      </c>
      <c r="W8">
        <v>277.81818181818181</v>
      </c>
    </row>
    <row r="9" spans="1:24" x14ac:dyDescent="0.3">
      <c r="A9" s="4" t="s">
        <v>24</v>
      </c>
      <c r="B9">
        <v>242.91333333333333</v>
      </c>
      <c r="H9" s="7">
        <v>2580.7699999999877</v>
      </c>
      <c r="I9">
        <f>GETPIVOTDATA("Total Revenue",$A$1,"Revenue_Category","Basic")/GETPIVOTDATA("Total Users",$A$1,"Revenue_Category","Basic")</f>
        <v>7.989999999999962</v>
      </c>
      <c r="Q9" s="4" t="s">
        <v>36</v>
      </c>
      <c r="R9">
        <v>18631</v>
      </c>
      <c r="S9">
        <v>100542</v>
      </c>
      <c r="V9" s="4">
        <v>1</v>
      </c>
      <c r="W9">
        <v>325.14285714285717</v>
      </c>
    </row>
    <row r="10" spans="1:24" x14ac:dyDescent="0.3">
      <c r="A10" s="4" t="s">
        <v>62</v>
      </c>
      <c r="B10">
        <v>263.43835616438355</v>
      </c>
      <c r="H10" s="7">
        <v>9445.2299999998868</v>
      </c>
      <c r="I10">
        <f>GETPIVOTDATA("Total Revenue",$A$1,"Revenue_Category","Premium")/GETPIVOTDATA("Total Users",$A$1,"Revenue_Category","Premium")</f>
        <v>13.951595273264235</v>
      </c>
      <c r="Q10" s="4" t="s">
        <v>30</v>
      </c>
      <c r="R10">
        <v>20452</v>
      </c>
      <c r="S10">
        <v>110132</v>
      </c>
      <c r="V10" s="4">
        <v>2</v>
      </c>
      <c r="W10">
        <v>371.2</v>
      </c>
    </row>
    <row r="11" spans="1:24" x14ac:dyDescent="0.3">
      <c r="A11" s="4" t="s">
        <v>46</v>
      </c>
      <c r="B11">
        <v>260.09230769230771</v>
      </c>
      <c r="Q11" s="4" t="s">
        <v>60</v>
      </c>
      <c r="R11">
        <v>22023</v>
      </c>
      <c r="S11">
        <v>104205</v>
      </c>
      <c r="V11" s="4">
        <v>3</v>
      </c>
      <c r="W11">
        <v>233.73333333333332</v>
      </c>
    </row>
    <row r="12" spans="1:24" x14ac:dyDescent="0.3">
      <c r="A12" s="4" t="s">
        <v>33</v>
      </c>
      <c r="B12">
        <v>249.56338028169014</v>
      </c>
      <c r="Q12" s="4" t="s">
        <v>68</v>
      </c>
      <c r="R12">
        <v>18850</v>
      </c>
      <c r="S12">
        <v>106918</v>
      </c>
      <c r="V12" s="4">
        <v>4</v>
      </c>
      <c r="W12">
        <v>320.22222222222223</v>
      </c>
    </row>
    <row r="13" spans="1:24" x14ac:dyDescent="0.3">
      <c r="A13" s="4" t="s">
        <v>55</v>
      </c>
      <c r="B13">
        <v>256.32484076433121</v>
      </c>
      <c r="Q13" s="4" t="s">
        <v>406</v>
      </c>
      <c r="V13" s="4">
        <v>5</v>
      </c>
      <c r="W13">
        <v>324</v>
      </c>
    </row>
    <row r="14" spans="1:24" x14ac:dyDescent="0.3">
      <c r="A14" s="4" t="s">
        <v>79</v>
      </c>
      <c r="B14">
        <v>258.15068493150687</v>
      </c>
      <c r="Q14" s="4" t="s">
        <v>407</v>
      </c>
      <c r="R14">
        <v>99746</v>
      </c>
      <c r="S14">
        <v>515897</v>
      </c>
      <c r="V14" s="4">
        <v>6</v>
      </c>
      <c r="W14">
        <v>272.5</v>
      </c>
    </row>
    <row r="15" spans="1:24" x14ac:dyDescent="0.3">
      <c r="A15" s="4" t="s">
        <v>43</v>
      </c>
      <c r="B15">
        <v>251.42635658914728</v>
      </c>
      <c r="V15" s="4">
        <v>7</v>
      </c>
      <c r="W15">
        <v>276.16666666666669</v>
      </c>
    </row>
    <row r="16" spans="1:24" x14ac:dyDescent="0.3">
      <c r="A16" s="4" t="s">
        <v>406</v>
      </c>
      <c r="V16" s="4">
        <v>8</v>
      </c>
      <c r="W16">
        <v>219.85714285714286</v>
      </c>
    </row>
    <row r="17" spans="1:23" x14ac:dyDescent="0.3">
      <c r="A17" s="4" t="s">
        <v>407</v>
      </c>
      <c r="B17">
        <v>254.51599999999999</v>
      </c>
      <c r="V17" s="4">
        <v>9</v>
      </c>
      <c r="W17">
        <v>234.16666666666666</v>
      </c>
    </row>
    <row r="18" spans="1:23" x14ac:dyDescent="0.3">
      <c r="V18" s="4">
        <v>10</v>
      </c>
      <c r="W18">
        <v>259.5</v>
      </c>
    </row>
    <row r="19" spans="1:23" x14ac:dyDescent="0.3">
      <c r="V19" s="4">
        <v>11</v>
      </c>
      <c r="W19">
        <v>229.94117647058823</v>
      </c>
    </row>
    <row r="20" spans="1:23" x14ac:dyDescent="0.3">
      <c r="A20" s="8" t="s">
        <v>416</v>
      </c>
      <c r="V20" s="4">
        <v>12</v>
      </c>
      <c r="W20">
        <v>320.5</v>
      </c>
    </row>
    <row r="21" spans="1:23" x14ac:dyDescent="0.3">
      <c r="A21" s="3" t="s">
        <v>418</v>
      </c>
      <c r="B21" s="3" t="s">
        <v>6</v>
      </c>
      <c r="K21" s="13" t="s">
        <v>429</v>
      </c>
      <c r="L21" s="13"/>
      <c r="V21" s="4">
        <v>13</v>
      </c>
      <c r="W21">
        <v>226.54545454545453</v>
      </c>
    </row>
    <row r="22" spans="1:23" x14ac:dyDescent="0.3">
      <c r="A22" s="3" t="s">
        <v>21</v>
      </c>
      <c r="B22" t="s">
        <v>24</v>
      </c>
      <c r="C22" t="s">
        <v>62</v>
      </c>
      <c r="D22" t="s">
        <v>46</v>
      </c>
      <c r="E22" t="s">
        <v>33</v>
      </c>
      <c r="F22" t="s">
        <v>55</v>
      </c>
      <c r="G22" t="s">
        <v>79</v>
      </c>
      <c r="H22" t="s">
        <v>43</v>
      </c>
      <c r="I22" t="s">
        <v>407</v>
      </c>
      <c r="K22" s="3" t="s">
        <v>430</v>
      </c>
      <c r="L22" t="s">
        <v>418</v>
      </c>
      <c r="R22" s="13" t="s">
        <v>431</v>
      </c>
      <c r="S22" s="13"/>
      <c r="V22" s="4">
        <v>14</v>
      </c>
      <c r="W22">
        <v>255.58333333333334</v>
      </c>
    </row>
    <row r="23" spans="1:23" x14ac:dyDescent="0.3">
      <c r="A23" s="4" t="s">
        <v>52</v>
      </c>
      <c r="B23" s="21">
        <v>26</v>
      </c>
      <c r="C23" s="21">
        <v>23</v>
      </c>
      <c r="D23" s="21">
        <v>36</v>
      </c>
      <c r="E23" s="21">
        <v>25</v>
      </c>
      <c r="F23" s="21">
        <v>23</v>
      </c>
      <c r="G23" s="21">
        <v>24</v>
      </c>
      <c r="H23" s="21">
        <v>23</v>
      </c>
      <c r="I23" s="21">
        <v>180</v>
      </c>
      <c r="K23" s="4" t="s">
        <v>35</v>
      </c>
      <c r="L23" s="21">
        <v>189</v>
      </c>
      <c r="M23" s="22">
        <f>GETPIVOTDATA("User_ID",$K$22,"First_Device_Used","Desktop")/GETPIVOTDATA("User_ID",$K$22)</f>
        <v>0.189</v>
      </c>
      <c r="R23" s="3" t="s">
        <v>432</v>
      </c>
      <c r="S23" t="s">
        <v>414</v>
      </c>
      <c r="V23" s="4">
        <v>15</v>
      </c>
      <c r="W23">
        <v>335.57142857142856</v>
      </c>
    </row>
    <row r="24" spans="1:23" x14ac:dyDescent="0.3">
      <c r="A24" s="4" t="s">
        <v>36</v>
      </c>
      <c r="B24" s="21">
        <v>33</v>
      </c>
      <c r="C24" s="21">
        <v>29</v>
      </c>
      <c r="D24" s="21">
        <v>21</v>
      </c>
      <c r="E24" s="21">
        <v>31</v>
      </c>
      <c r="F24" s="21">
        <v>36</v>
      </c>
      <c r="G24" s="21">
        <v>27</v>
      </c>
      <c r="H24" s="21">
        <v>23</v>
      </c>
      <c r="I24" s="21">
        <v>200</v>
      </c>
      <c r="K24" s="4" t="s">
        <v>57</v>
      </c>
      <c r="L24" s="21">
        <v>178</v>
      </c>
      <c r="M24" s="22">
        <f>GETPIVOTDATA("User_ID",$K$22,"First_Device_Used","Laptop")/GETPIVOTDATA("User_ID",$K$22)</f>
        <v>0.17799999999999999</v>
      </c>
      <c r="R24" s="4" t="s">
        <v>75</v>
      </c>
      <c r="S24">
        <v>247.07968127490039</v>
      </c>
      <c r="V24" s="4">
        <v>16</v>
      </c>
      <c r="W24">
        <v>152.33333333333334</v>
      </c>
    </row>
    <row r="25" spans="1:23" x14ac:dyDescent="0.3">
      <c r="A25" s="4" t="s">
        <v>30</v>
      </c>
      <c r="B25" s="21">
        <v>32</v>
      </c>
      <c r="C25" s="21">
        <v>29</v>
      </c>
      <c r="D25" s="21">
        <v>22</v>
      </c>
      <c r="E25" s="21">
        <v>27</v>
      </c>
      <c r="F25" s="21">
        <v>34</v>
      </c>
      <c r="G25" s="21">
        <v>32</v>
      </c>
      <c r="H25" s="21">
        <v>31</v>
      </c>
      <c r="I25" s="21">
        <v>207</v>
      </c>
      <c r="K25" s="4" t="s">
        <v>51</v>
      </c>
      <c r="L25" s="21">
        <v>209</v>
      </c>
      <c r="M25" s="22">
        <f>GETPIVOTDATA("User_ID",$K$22,"First_Device_Used","Smart TV")/GETPIVOTDATA("User_ID",$K$22)</f>
        <v>0.20899999999999999</v>
      </c>
      <c r="R25" s="4" t="s">
        <v>37</v>
      </c>
      <c r="S25">
        <v>255.39453125</v>
      </c>
      <c r="V25" s="4">
        <v>17</v>
      </c>
      <c r="W25">
        <v>187.81818181818181</v>
      </c>
    </row>
    <row r="26" spans="1:23" x14ac:dyDescent="0.3">
      <c r="A26" s="4" t="s">
        <v>60</v>
      </c>
      <c r="B26" s="21">
        <v>34</v>
      </c>
      <c r="C26" s="21">
        <v>26</v>
      </c>
      <c r="D26" s="21">
        <v>22</v>
      </c>
      <c r="E26" s="21">
        <v>31</v>
      </c>
      <c r="F26" s="21">
        <v>32</v>
      </c>
      <c r="G26" s="21">
        <v>36</v>
      </c>
      <c r="H26" s="21">
        <v>27</v>
      </c>
      <c r="I26" s="21">
        <v>208</v>
      </c>
      <c r="K26" s="4" t="s">
        <v>29</v>
      </c>
      <c r="L26" s="21">
        <v>209</v>
      </c>
      <c r="M26" s="22">
        <f>GETPIVOTDATA("User_ID",$K$22,"First_Device_Used","Smartphone")/GETPIVOTDATA("User_ID",$K$22)</f>
        <v>0.20899999999999999</v>
      </c>
      <c r="R26" s="4" t="s">
        <v>31</v>
      </c>
      <c r="S26">
        <v>245.98154981549814</v>
      </c>
      <c r="V26" s="4">
        <v>18</v>
      </c>
      <c r="W26">
        <v>240.5</v>
      </c>
    </row>
    <row r="27" spans="1:23" x14ac:dyDescent="0.3">
      <c r="A27" s="4" t="s">
        <v>68</v>
      </c>
      <c r="B27" s="21">
        <v>25</v>
      </c>
      <c r="C27" s="21">
        <v>39</v>
      </c>
      <c r="D27" s="21">
        <v>29</v>
      </c>
      <c r="E27" s="21">
        <v>28</v>
      </c>
      <c r="F27" s="21">
        <v>32</v>
      </c>
      <c r="G27" s="21">
        <v>27</v>
      </c>
      <c r="H27" s="21">
        <v>25</v>
      </c>
      <c r="I27" s="21">
        <v>205</v>
      </c>
      <c r="K27" s="4" t="s">
        <v>65</v>
      </c>
      <c r="L27" s="21">
        <v>215</v>
      </c>
      <c r="M27" s="22">
        <f>GETPIVOTDATA("User_ID",$K$22,"First_Device_Used","Tablet")/GETPIVOTDATA("User_ID",$K$22)</f>
        <v>0.215</v>
      </c>
      <c r="R27" s="4" t="s">
        <v>53</v>
      </c>
      <c r="S27">
        <v>272.32882882882882</v>
      </c>
      <c r="V27" s="4">
        <v>19</v>
      </c>
      <c r="W27">
        <v>299.16666666666669</v>
      </c>
    </row>
    <row r="28" spans="1:23" x14ac:dyDescent="0.3">
      <c r="A28" s="4" t="s">
        <v>407</v>
      </c>
      <c r="B28" s="21">
        <v>150</v>
      </c>
      <c r="C28" s="21">
        <v>146</v>
      </c>
      <c r="D28" s="21">
        <v>130</v>
      </c>
      <c r="E28" s="21">
        <v>142</v>
      </c>
      <c r="F28" s="21">
        <v>157</v>
      </c>
      <c r="G28" s="21">
        <v>146</v>
      </c>
      <c r="H28" s="21">
        <v>129</v>
      </c>
      <c r="I28" s="21">
        <v>1000</v>
      </c>
      <c r="K28" s="4" t="s">
        <v>407</v>
      </c>
      <c r="L28" s="21">
        <v>1000</v>
      </c>
      <c r="R28" s="4" t="s">
        <v>407</v>
      </c>
      <c r="S28">
        <v>254.51599999999999</v>
      </c>
      <c r="V28" s="4">
        <v>20</v>
      </c>
      <c r="W28">
        <v>225</v>
      </c>
    </row>
    <row r="29" spans="1:23" x14ac:dyDescent="0.3">
      <c r="V29" s="4">
        <v>21</v>
      </c>
      <c r="W29">
        <v>166.71428571428572</v>
      </c>
    </row>
    <row r="30" spans="1:23" x14ac:dyDescent="0.3">
      <c r="A30" s="17" t="s">
        <v>419</v>
      </c>
      <c r="B30" s="17"/>
      <c r="K30" s="14" t="s">
        <v>433</v>
      </c>
      <c r="L30" s="14"/>
      <c r="R30" s="4"/>
      <c r="V30" s="4">
        <v>22</v>
      </c>
      <c r="W30">
        <v>335.2</v>
      </c>
    </row>
    <row r="31" spans="1:23" x14ac:dyDescent="0.3">
      <c r="A31" s="3" t="s">
        <v>417</v>
      </c>
      <c r="B31" t="s">
        <v>418</v>
      </c>
      <c r="C31" t="s">
        <v>420</v>
      </c>
      <c r="R31" s="4"/>
      <c r="V31" s="4">
        <v>23</v>
      </c>
      <c r="W31">
        <v>188.4</v>
      </c>
    </row>
    <row r="32" spans="1:23" x14ac:dyDescent="0.3">
      <c r="A32" s="4" t="s">
        <v>28</v>
      </c>
      <c r="B32">
        <v>1000</v>
      </c>
      <c r="C32">
        <v>2444.2170000000001</v>
      </c>
      <c r="P32" s="14" t="s">
        <v>434</v>
      </c>
      <c r="Q32" s="14"/>
      <c r="R32" s="14"/>
      <c r="V32" s="4">
        <v>24</v>
      </c>
      <c r="W32">
        <v>268</v>
      </c>
    </row>
    <row r="33" spans="1:23" x14ac:dyDescent="0.3">
      <c r="A33" s="4" t="s">
        <v>421</v>
      </c>
      <c r="P33" s="3" t="s">
        <v>418</v>
      </c>
      <c r="Q33" s="3" t="s">
        <v>18</v>
      </c>
      <c r="V33" s="4">
        <v>25</v>
      </c>
      <c r="W33">
        <v>181</v>
      </c>
    </row>
    <row r="34" spans="1:23" x14ac:dyDescent="0.3">
      <c r="A34" s="4" t="s">
        <v>407</v>
      </c>
      <c r="B34">
        <v>1000</v>
      </c>
      <c r="C34">
        <v>2444.2170000000001</v>
      </c>
      <c r="P34" s="3" t="s">
        <v>437</v>
      </c>
      <c r="Q34" t="s">
        <v>28</v>
      </c>
      <c r="R34" t="s">
        <v>407</v>
      </c>
      <c r="V34" s="4">
        <v>26</v>
      </c>
      <c r="W34">
        <v>212.71428571428572</v>
      </c>
    </row>
    <row r="35" spans="1:23" x14ac:dyDescent="0.3">
      <c r="P35" s="4" t="s">
        <v>435</v>
      </c>
      <c r="Q35">
        <v>501</v>
      </c>
      <c r="R35">
        <v>501</v>
      </c>
      <c r="V35" s="4">
        <v>27</v>
      </c>
      <c r="W35">
        <v>246.375</v>
      </c>
    </row>
    <row r="36" spans="1:23" x14ac:dyDescent="0.3">
      <c r="P36" s="4" t="s">
        <v>436</v>
      </c>
      <c r="Q36">
        <v>499</v>
      </c>
      <c r="R36">
        <v>499</v>
      </c>
      <c r="V36" s="4">
        <v>28</v>
      </c>
      <c r="W36">
        <v>302.42857142857144</v>
      </c>
    </row>
    <row r="37" spans="1:23" x14ac:dyDescent="0.3">
      <c r="P37" s="4" t="s">
        <v>407</v>
      </c>
      <c r="Q37">
        <v>1000</v>
      </c>
      <c r="R37">
        <v>1000</v>
      </c>
      <c r="V37" s="4">
        <v>29</v>
      </c>
      <c r="W37">
        <v>261.71428571428572</v>
      </c>
    </row>
    <row r="38" spans="1:23" x14ac:dyDescent="0.3">
      <c r="V38" s="4">
        <v>30</v>
      </c>
      <c r="W38">
        <v>227.09090909090909</v>
      </c>
    </row>
    <row r="39" spans="1:23" x14ac:dyDescent="0.3">
      <c r="V39" s="4">
        <v>31</v>
      </c>
      <c r="W39">
        <v>259.72727272727275</v>
      </c>
    </row>
    <row r="40" spans="1:23" x14ac:dyDescent="0.3">
      <c r="V40" s="4">
        <v>32</v>
      </c>
      <c r="W40">
        <v>217</v>
      </c>
    </row>
    <row r="41" spans="1:23" x14ac:dyDescent="0.3">
      <c r="V41" s="4">
        <v>33</v>
      </c>
      <c r="W41">
        <v>265.85714285714283</v>
      </c>
    </row>
    <row r="42" spans="1:23" x14ac:dyDescent="0.3">
      <c r="V42" s="4">
        <v>34</v>
      </c>
      <c r="W42">
        <v>204.83333333333334</v>
      </c>
    </row>
    <row r="43" spans="1:23" x14ac:dyDescent="0.3">
      <c r="A43" s="10" t="s">
        <v>422</v>
      </c>
      <c r="B43" s="10"/>
      <c r="H43" s="15" t="s">
        <v>438</v>
      </c>
      <c r="I43" s="15"/>
      <c r="J43" s="15"/>
      <c r="V43" s="4">
        <v>35</v>
      </c>
      <c r="W43">
        <v>303.39999999999998</v>
      </c>
    </row>
    <row r="44" spans="1:23" x14ac:dyDescent="0.3">
      <c r="A44" s="3" t="s">
        <v>418</v>
      </c>
      <c r="B44" s="3" t="s">
        <v>423</v>
      </c>
      <c r="H44" s="3" t="s">
        <v>12</v>
      </c>
      <c r="I44" s="3" t="s">
        <v>418</v>
      </c>
      <c r="J44" t="s">
        <v>439</v>
      </c>
      <c r="V44" s="4">
        <v>36</v>
      </c>
      <c r="W44">
        <v>334.92307692307691</v>
      </c>
    </row>
    <row r="45" spans="1:23" x14ac:dyDescent="0.3">
      <c r="A45" s="3" t="s">
        <v>12</v>
      </c>
      <c r="B45" t="s">
        <v>49</v>
      </c>
      <c r="C45" t="s">
        <v>64</v>
      </c>
      <c r="D45" t="s">
        <v>40</v>
      </c>
      <c r="E45" t="s">
        <v>26</v>
      </c>
      <c r="F45" t="s">
        <v>406</v>
      </c>
      <c r="G45" t="s">
        <v>407</v>
      </c>
      <c r="H45" s="4" t="s">
        <v>59</v>
      </c>
      <c r="I45">
        <v>140</v>
      </c>
      <c r="J45">
        <v>1726.600000000001</v>
      </c>
      <c r="V45" s="4">
        <v>37</v>
      </c>
      <c r="W45">
        <v>264.21428571428572</v>
      </c>
    </row>
    <row r="46" spans="1:23" x14ac:dyDescent="0.3">
      <c r="A46" s="4" t="s">
        <v>59</v>
      </c>
      <c r="B46">
        <v>22</v>
      </c>
      <c r="C46">
        <v>44</v>
      </c>
      <c r="D46">
        <v>38</v>
      </c>
      <c r="E46">
        <v>36</v>
      </c>
      <c r="G46">
        <v>140</v>
      </c>
      <c r="H46" s="4" t="s">
        <v>39</v>
      </c>
      <c r="I46">
        <v>139</v>
      </c>
      <c r="J46">
        <v>1678.610000000001</v>
      </c>
      <c r="V46" s="4">
        <v>38</v>
      </c>
      <c r="W46">
        <v>302.125</v>
      </c>
    </row>
    <row r="47" spans="1:23" x14ac:dyDescent="0.3">
      <c r="A47" s="4" t="s">
        <v>39</v>
      </c>
      <c r="B47">
        <v>34</v>
      </c>
      <c r="C47">
        <v>27</v>
      </c>
      <c r="D47">
        <v>36</v>
      </c>
      <c r="E47">
        <v>42</v>
      </c>
      <c r="G47">
        <v>139</v>
      </c>
      <c r="H47" s="4" t="s">
        <v>74</v>
      </c>
      <c r="I47">
        <v>151</v>
      </c>
      <c r="J47">
        <v>1782.4900000000011</v>
      </c>
      <c r="V47" s="4">
        <v>39</v>
      </c>
      <c r="W47">
        <v>334.88888888888891</v>
      </c>
    </row>
    <row r="48" spans="1:23" x14ac:dyDescent="0.3">
      <c r="A48" s="4" t="s">
        <v>74</v>
      </c>
      <c r="B48">
        <v>39</v>
      </c>
      <c r="C48">
        <v>41</v>
      </c>
      <c r="D48">
        <v>31</v>
      </c>
      <c r="E48">
        <v>40</v>
      </c>
      <c r="G48">
        <v>151</v>
      </c>
      <c r="H48" s="4" t="s">
        <v>63</v>
      </c>
      <c r="I48">
        <v>146</v>
      </c>
      <c r="J48">
        <v>1738.5400000000011</v>
      </c>
      <c r="V48" s="4">
        <v>40</v>
      </c>
      <c r="W48">
        <v>193.71428571428572</v>
      </c>
    </row>
    <row r="49" spans="1:23" x14ac:dyDescent="0.3">
      <c r="A49" s="4" t="s">
        <v>63</v>
      </c>
      <c r="B49">
        <v>31</v>
      </c>
      <c r="C49">
        <v>35</v>
      </c>
      <c r="D49">
        <v>43</v>
      </c>
      <c r="E49">
        <v>37</v>
      </c>
      <c r="G49">
        <v>146</v>
      </c>
      <c r="H49" s="4" t="s">
        <v>48</v>
      </c>
      <c r="I49">
        <v>116</v>
      </c>
      <c r="J49">
        <v>1402.8400000000008</v>
      </c>
      <c r="V49" s="4">
        <v>41</v>
      </c>
      <c r="W49">
        <v>265.1764705882353</v>
      </c>
    </row>
    <row r="50" spans="1:23" x14ac:dyDescent="0.3">
      <c r="A50" s="4" t="s">
        <v>48</v>
      </c>
      <c r="B50">
        <v>25</v>
      </c>
      <c r="C50">
        <v>29</v>
      </c>
      <c r="D50">
        <v>39</v>
      </c>
      <c r="E50">
        <v>23</v>
      </c>
      <c r="G50">
        <v>116</v>
      </c>
      <c r="H50" s="4" t="s">
        <v>44</v>
      </c>
      <c r="I50">
        <v>150</v>
      </c>
      <c r="J50">
        <v>1806.5000000000011</v>
      </c>
      <c r="V50" s="4">
        <v>42</v>
      </c>
      <c r="W50">
        <v>286.77777777777777</v>
      </c>
    </row>
    <row r="51" spans="1:23" x14ac:dyDescent="0.3">
      <c r="A51" s="4" t="s">
        <v>44</v>
      </c>
      <c r="B51">
        <v>33</v>
      </c>
      <c r="C51">
        <v>38</v>
      </c>
      <c r="D51">
        <v>31</v>
      </c>
      <c r="E51">
        <v>48</v>
      </c>
      <c r="G51">
        <v>150</v>
      </c>
      <c r="H51" s="4" t="s">
        <v>25</v>
      </c>
      <c r="I51">
        <v>158</v>
      </c>
      <c r="J51">
        <v>1890.4200000000012</v>
      </c>
      <c r="V51" s="4">
        <v>43</v>
      </c>
      <c r="W51">
        <v>249.27272727272728</v>
      </c>
    </row>
    <row r="52" spans="1:23" x14ac:dyDescent="0.3">
      <c r="A52" s="4" t="s">
        <v>25</v>
      </c>
      <c r="B52">
        <v>44</v>
      </c>
      <c r="C52">
        <v>40</v>
      </c>
      <c r="D52">
        <v>31</v>
      </c>
      <c r="E52">
        <v>43</v>
      </c>
      <c r="G52">
        <v>158</v>
      </c>
      <c r="H52" s="4" t="s">
        <v>407</v>
      </c>
      <c r="I52">
        <v>1000</v>
      </c>
      <c r="J52">
        <v>12025.999999999822</v>
      </c>
      <c r="V52" s="4">
        <v>44</v>
      </c>
      <c r="W52">
        <v>303.06666666666666</v>
      </c>
    </row>
    <row r="53" spans="1:23" x14ac:dyDescent="0.3">
      <c r="A53" s="4" t="s">
        <v>406</v>
      </c>
      <c r="V53" s="4">
        <v>45</v>
      </c>
      <c r="W53">
        <v>242.75</v>
      </c>
    </row>
    <row r="54" spans="1:23" x14ac:dyDescent="0.3">
      <c r="A54" s="4" t="s">
        <v>407</v>
      </c>
      <c r="B54">
        <v>228</v>
      </c>
      <c r="C54">
        <v>254</v>
      </c>
      <c r="D54">
        <v>249</v>
      </c>
      <c r="E54">
        <v>269</v>
      </c>
      <c r="G54">
        <v>1000</v>
      </c>
      <c r="V54" s="4">
        <v>46</v>
      </c>
      <c r="W54">
        <v>117.5</v>
      </c>
    </row>
    <row r="55" spans="1:23" x14ac:dyDescent="0.3">
      <c r="V55" s="4">
        <v>47</v>
      </c>
      <c r="W55">
        <v>213</v>
      </c>
    </row>
    <row r="56" spans="1:23" x14ac:dyDescent="0.3">
      <c r="V56" s="4">
        <v>48</v>
      </c>
      <c r="W56">
        <v>197.875</v>
      </c>
    </row>
    <row r="57" spans="1:23" x14ac:dyDescent="0.3">
      <c r="V57" s="4">
        <v>49</v>
      </c>
      <c r="W57">
        <v>237.75</v>
      </c>
    </row>
    <row r="58" spans="1:23" x14ac:dyDescent="0.3">
      <c r="V58" s="4">
        <v>50</v>
      </c>
      <c r="W58">
        <v>327.41666666666669</v>
      </c>
    </row>
    <row r="59" spans="1:23" x14ac:dyDescent="0.3">
      <c r="V59" s="4">
        <v>51</v>
      </c>
      <c r="W59">
        <v>256.39999999999998</v>
      </c>
    </row>
    <row r="60" spans="1:23" x14ac:dyDescent="0.3">
      <c r="H60" s="15" t="s">
        <v>440</v>
      </c>
      <c r="I60" s="15"/>
      <c r="J60" s="15"/>
      <c r="V60" s="4">
        <v>52</v>
      </c>
      <c r="W60">
        <v>195.07692307692307</v>
      </c>
    </row>
    <row r="61" spans="1:23" x14ac:dyDescent="0.3">
      <c r="H61" s="3" t="s">
        <v>441</v>
      </c>
      <c r="I61" t="s">
        <v>414</v>
      </c>
      <c r="V61" s="4">
        <v>53</v>
      </c>
      <c r="W61">
        <v>214.18181818181819</v>
      </c>
    </row>
    <row r="62" spans="1:23" x14ac:dyDescent="0.3">
      <c r="H62" s="4" t="s">
        <v>56</v>
      </c>
      <c r="I62">
        <v>248.38095238095238</v>
      </c>
      <c r="V62" s="4">
        <v>54</v>
      </c>
      <c r="W62">
        <v>302.55555555555554</v>
      </c>
    </row>
    <row r="63" spans="1:23" x14ac:dyDescent="0.3">
      <c r="H63" s="4" t="s">
        <v>67</v>
      </c>
      <c r="I63">
        <v>273.46198830409355</v>
      </c>
      <c r="V63" s="4">
        <v>55</v>
      </c>
      <c r="W63">
        <v>224.57142857142858</v>
      </c>
    </row>
    <row r="64" spans="1:23" x14ac:dyDescent="0.3">
      <c r="H64" s="4" t="s">
        <v>34</v>
      </c>
      <c r="I64">
        <v>244.79640718562874</v>
      </c>
      <c r="V64" s="4">
        <v>56</v>
      </c>
      <c r="W64">
        <v>215.76923076923077</v>
      </c>
    </row>
    <row r="65" spans="8:23" x14ac:dyDescent="0.3">
      <c r="H65" s="4" t="s">
        <v>27</v>
      </c>
      <c r="I65">
        <v>253.35802469135803</v>
      </c>
      <c r="V65" s="4">
        <v>57</v>
      </c>
      <c r="W65">
        <v>223.28571428571428</v>
      </c>
    </row>
    <row r="66" spans="8:23" x14ac:dyDescent="0.3">
      <c r="H66" s="4" t="s">
        <v>41</v>
      </c>
      <c r="I66">
        <v>243.33519553072625</v>
      </c>
      <c r="V66" s="4">
        <v>58</v>
      </c>
      <c r="W66">
        <v>291.125</v>
      </c>
    </row>
    <row r="67" spans="8:23" x14ac:dyDescent="0.3">
      <c r="H67" s="4" t="s">
        <v>50</v>
      </c>
      <c r="I67">
        <v>264.99346405228761</v>
      </c>
      <c r="V67" s="4">
        <v>59</v>
      </c>
      <c r="W67">
        <v>252.4</v>
      </c>
    </row>
    <row r="68" spans="8:23" x14ac:dyDescent="0.3">
      <c r="H68" s="4" t="s">
        <v>407</v>
      </c>
      <c r="I68">
        <v>254.51599999999999</v>
      </c>
      <c r="V68" s="4">
        <v>60</v>
      </c>
      <c r="W68">
        <v>254.46153846153845</v>
      </c>
    </row>
    <row r="69" spans="8:23" x14ac:dyDescent="0.3">
      <c r="V69" s="4">
        <v>61</v>
      </c>
      <c r="W69">
        <v>340.66666666666669</v>
      </c>
    </row>
    <row r="70" spans="8:23" x14ac:dyDescent="0.3">
      <c r="V70" s="4">
        <v>62</v>
      </c>
      <c r="W70">
        <v>336.09090909090907</v>
      </c>
    </row>
    <row r="71" spans="8:23" x14ac:dyDescent="0.3">
      <c r="V71" s="4">
        <v>63</v>
      </c>
      <c r="W71">
        <v>231</v>
      </c>
    </row>
    <row r="72" spans="8:23" x14ac:dyDescent="0.3">
      <c r="V72" s="4">
        <v>64</v>
      </c>
      <c r="W72">
        <v>309.61538461538464</v>
      </c>
    </row>
    <row r="73" spans="8:23" x14ac:dyDescent="0.3">
      <c r="V73" s="4">
        <v>65</v>
      </c>
      <c r="W73">
        <v>295.25</v>
      </c>
    </row>
    <row r="74" spans="8:23" x14ac:dyDescent="0.3">
      <c r="V74" s="4">
        <v>66</v>
      </c>
      <c r="W74">
        <v>262.9375</v>
      </c>
    </row>
    <row r="75" spans="8:23" x14ac:dyDescent="0.3">
      <c r="V75" s="4">
        <v>67</v>
      </c>
      <c r="W75">
        <v>286.2</v>
      </c>
    </row>
    <row r="76" spans="8:23" x14ac:dyDescent="0.3">
      <c r="V76" s="4">
        <v>68</v>
      </c>
      <c r="W76">
        <v>245.25</v>
      </c>
    </row>
    <row r="77" spans="8:23" x14ac:dyDescent="0.3">
      <c r="V77" s="4">
        <v>69</v>
      </c>
      <c r="W77">
        <v>215.85714285714286</v>
      </c>
    </row>
    <row r="78" spans="8:23" x14ac:dyDescent="0.3">
      <c r="V78" s="4">
        <v>70</v>
      </c>
      <c r="W78">
        <v>218.77777777777777</v>
      </c>
    </row>
    <row r="79" spans="8:23" x14ac:dyDescent="0.3">
      <c r="V79" s="4">
        <v>71</v>
      </c>
      <c r="W79">
        <v>267.69230769230768</v>
      </c>
    </row>
    <row r="80" spans="8:23" x14ac:dyDescent="0.3">
      <c r="V80" s="4">
        <v>72</v>
      </c>
      <c r="W80">
        <v>253.5</v>
      </c>
    </row>
    <row r="81" spans="22:23" x14ac:dyDescent="0.3">
      <c r="V81" s="4">
        <v>73</v>
      </c>
      <c r="W81">
        <v>276.54545454545456</v>
      </c>
    </row>
    <row r="82" spans="22:23" x14ac:dyDescent="0.3">
      <c r="V82" s="4">
        <v>74</v>
      </c>
      <c r="W82">
        <v>245</v>
      </c>
    </row>
    <row r="83" spans="22:23" x14ac:dyDescent="0.3">
      <c r="V83" s="4">
        <v>75</v>
      </c>
      <c r="W83">
        <v>247</v>
      </c>
    </row>
    <row r="84" spans="22:23" x14ac:dyDescent="0.3">
      <c r="V84" s="4">
        <v>76</v>
      </c>
      <c r="W84">
        <v>221.66666666666666</v>
      </c>
    </row>
    <row r="85" spans="22:23" x14ac:dyDescent="0.3">
      <c r="V85" s="4">
        <v>77</v>
      </c>
      <c r="W85">
        <v>226</v>
      </c>
    </row>
    <row r="86" spans="22:23" x14ac:dyDescent="0.3">
      <c r="V86" s="4">
        <v>78</v>
      </c>
      <c r="W86">
        <v>266.5625</v>
      </c>
    </row>
    <row r="87" spans="22:23" x14ac:dyDescent="0.3">
      <c r="V87" s="4">
        <v>79</v>
      </c>
      <c r="W87">
        <v>280.81818181818181</v>
      </c>
    </row>
    <row r="88" spans="22:23" x14ac:dyDescent="0.3">
      <c r="V88" s="4">
        <v>80</v>
      </c>
      <c r="W88">
        <v>230.71428571428572</v>
      </c>
    </row>
    <row r="89" spans="22:23" x14ac:dyDescent="0.3">
      <c r="V89" s="4">
        <v>81</v>
      </c>
      <c r="W89">
        <v>230.5</v>
      </c>
    </row>
    <row r="90" spans="22:23" x14ac:dyDescent="0.3">
      <c r="V90" s="4">
        <v>82</v>
      </c>
      <c r="W90">
        <v>228.25</v>
      </c>
    </row>
    <row r="91" spans="22:23" x14ac:dyDescent="0.3">
      <c r="V91" s="4">
        <v>83</v>
      </c>
      <c r="W91">
        <v>297.66666666666669</v>
      </c>
    </row>
    <row r="92" spans="22:23" x14ac:dyDescent="0.3">
      <c r="V92" s="4">
        <v>84</v>
      </c>
      <c r="W92">
        <v>320.60000000000002</v>
      </c>
    </row>
    <row r="93" spans="22:23" x14ac:dyDescent="0.3">
      <c r="V93" s="4">
        <v>85</v>
      </c>
      <c r="W93">
        <v>228.9</v>
      </c>
    </row>
    <row r="94" spans="22:23" x14ac:dyDescent="0.3">
      <c r="V94" s="4">
        <v>86</v>
      </c>
      <c r="W94">
        <v>161.36363636363637</v>
      </c>
    </row>
    <row r="95" spans="22:23" x14ac:dyDescent="0.3">
      <c r="V95" s="4">
        <v>87</v>
      </c>
      <c r="W95">
        <v>223.55555555555554</v>
      </c>
    </row>
    <row r="96" spans="22:23" x14ac:dyDescent="0.3">
      <c r="V96" s="4">
        <v>88</v>
      </c>
      <c r="W96">
        <v>201.4</v>
      </c>
    </row>
    <row r="97" spans="22:23" x14ac:dyDescent="0.3">
      <c r="V97" s="4">
        <v>89</v>
      </c>
      <c r="W97">
        <v>231.90909090909091</v>
      </c>
    </row>
    <row r="98" spans="22:23" x14ac:dyDescent="0.3">
      <c r="V98" s="4">
        <v>90</v>
      </c>
      <c r="W98">
        <v>158.66666666666666</v>
      </c>
    </row>
    <row r="99" spans="22:23" x14ac:dyDescent="0.3">
      <c r="V99" s="4">
        <v>91</v>
      </c>
      <c r="W99">
        <v>335.33333333333331</v>
      </c>
    </row>
    <row r="100" spans="22:23" x14ac:dyDescent="0.3">
      <c r="V100" s="4">
        <v>92</v>
      </c>
      <c r="W100">
        <v>286.92307692307691</v>
      </c>
    </row>
    <row r="101" spans="22:23" x14ac:dyDescent="0.3">
      <c r="V101" s="4">
        <v>93</v>
      </c>
      <c r="W101">
        <v>350</v>
      </c>
    </row>
    <row r="102" spans="22:23" x14ac:dyDescent="0.3">
      <c r="V102" s="4">
        <v>94</v>
      </c>
      <c r="W102">
        <v>302.28571428571428</v>
      </c>
    </row>
    <row r="103" spans="22:23" x14ac:dyDescent="0.3">
      <c r="V103" s="4">
        <v>95</v>
      </c>
      <c r="W103">
        <v>257.64285714285717</v>
      </c>
    </row>
    <row r="104" spans="22:23" x14ac:dyDescent="0.3">
      <c r="V104" s="4">
        <v>96</v>
      </c>
      <c r="W104">
        <v>188.3</v>
      </c>
    </row>
    <row r="105" spans="22:23" x14ac:dyDescent="0.3">
      <c r="V105" s="4">
        <v>97</v>
      </c>
      <c r="W105">
        <v>158.9</v>
      </c>
    </row>
    <row r="106" spans="22:23" x14ac:dyDescent="0.3">
      <c r="V106" s="4">
        <v>98</v>
      </c>
      <c r="W106">
        <v>271.09090909090907</v>
      </c>
    </row>
    <row r="107" spans="22:23" x14ac:dyDescent="0.3">
      <c r="V107" s="4">
        <v>99</v>
      </c>
      <c r="W107">
        <v>201.46153846153845</v>
      </c>
    </row>
    <row r="108" spans="22:23" x14ac:dyDescent="0.3">
      <c r="V108" s="4">
        <v>100</v>
      </c>
      <c r="W108">
        <v>315.2</v>
      </c>
    </row>
    <row r="109" spans="22:23" x14ac:dyDescent="0.3">
      <c r="V109" s="4" t="s">
        <v>406</v>
      </c>
    </row>
    <row r="110" spans="22:23" x14ac:dyDescent="0.3">
      <c r="V110" s="4" t="s">
        <v>407</v>
      </c>
      <c r="W110">
        <v>254.51599999999999</v>
      </c>
    </row>
  </sheetData>
  <mergeCells count="9">
    <mergeCell ref="H43:J43"/>
    <mergeCell ref="H60:J60"/>
    <mergeCell ref="A7:B7"/>
    <mergeCell ref="A30:B30"/>
    <mergeCell ref="V6:X6"/>
    <mergeCell ref="K21:L21"/>
    <mergeCell ref="R22:S22"/>
    <mergeCell ref="K30:L30"/>
    <mergeCell ref="P32:R32"/>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EA3D0-B365-4320-A3FC-0D35AAF1DA7F}">
  <sheetPr codeName="Sheet4"/>
  <dimension ref="A1:AI310"/>
  <sheetViews>
    <sheetView showGridLines="0" showRowColHeaders="0" topLeftCell="D9" zoomScale="98" zoomScaleNormal="80" workbookViewId="0">
      <selection activeCell="S34" sqref="S34"/>
    </sheetView>
  </sheetViews>
  <sheetFormatPr defaultRowHeight="14.4" x14ac:dyDescent="0.3"/>
  <sheetData>
    <row r="1" spans="1:35" ht="28.8" x14ac:dyDescent="0.55000000000000004">
      <c r="A1" s="9"/>
      <c r="B1" s="9"/>
      <c r="C1" s="9"/>
      <c r="D1" s="9"/>
      <c r="E1" s="9"/>
      <c r="F1" s="9"/>
      <c r="G1" s="9"/>
      <c r="H1" s="9"/>
      <c r="I1" s="18" t="s">
        <v>442</v>
      </c>
      <c r="J1" s="18"/>
      <c r="K1" s="18"/>
      <c r="L1" s="18"/>
      <c r="M1" s="18"/>
      <c r="N1" s="18"/>
      <c r="O1" s="9"/>
      <c r="P1" s="9"/>
      <c r="Q1" s="9"/>
      <c r="R1" s="9"/>
      <c r="S1" s="9"/>
      <c r="T1" s="9"/>
      <c r="U1" s="9"/>
      <c r="V1" s="9"/>
      <c r="W1" s="9"/>
      <c r="X1" s="9"/>
      <c r="Y1" s="9"/>
      <c r="Z1" s="9"/>
      <c r="AA1" s="9"/>
      <c r="AB1" s="9"/>
      <c r="AC1" s="9"/>
      <c r="AD1" s="9"/>
      <c r="AE1" s="9"/>
      <c r="AF1" s="9"/>
      <c r="AG1" s="9"/>
      <c r="AH1" s="9"/>
      <c r="AI1" s="9"/>
    </row>
    <row r="2" spans="1:35"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5"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row>
    <row r="4" spans="1:35"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row>
    <row r="5" spans="1:35"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row>
    <row r="6" spans="1:35"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row>
    <row r="7" spans="1:35"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row>
    <row r="9" spans="1:35"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5"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row>
    <row r="11" spans="1:35"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row>
    <row r="12" spans="1:35"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row>
    <row r="13" spans="1:35"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row>
    <row r="14" spans="1:35"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row>
    <row r="15" spans="1:35"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row>
    <row r="16" spans="1:35"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row>
    <row r="17" spans="1:35"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row>
    <row r="18" spans="1:35"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row>
    <row r="19" spans="1:35"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row>
    <row r="20" spans="1:35"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row>
    <row r="21" spans="1:35"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row>
    <row r="22" spans="1:35"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row>
    <row r="23" spans="1:35"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row>
    <row r="24" spans="1:35"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row>
    <row r="25" spans="1:35"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row>
    <row r="26" spans="1:35"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row>
    <row r="27" spans="1:35"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row>
    <row r="28" spans="1:35"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row>
    <row r="29" spans="1:35"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row>
    <row r="30" spans="1:35" ht="21" x14ac:dyDescent="0.4">
      <c r="A30" s="9"/>
      <c r="B30" s="9"/>
      <c r="C30" s="11"/>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row>
    <row r="31" spans="1:35" ht="21" x14ac:dyDescent="0.4">
      <c r="A31" s="9"/>
      <c r="B31" s="9"/>
      <c r="C31" s="11"/>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row>
    <row r="32" spans="1:35" ht="21" x14ac:dyDescent="0.4">
      <c r="A32" s="9"/>
      <c r="B32" s="9"/>
      <c r="C32" s="19"/>
      <c r="D32" s="1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row>
    <row r="33" spans="1:35" ht="21" x14ac:dyDescent="0.4">
      <c r="A33" s="9"/>
      <c r="B33" s="9"/>
      <c r="C33" s="19"/>
      <c r="D33" s="1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row>
    <row r="34" spans="1:35" ht="21" x14ac:dyDescent="0.4">
      <c r="A34" s="9"/>
      <c r="B34" s="9"/>
      <c r="C34" s="20"/>
      <c r="D34" s="20"/>
      <c r="E34" s="20"/>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row>
    <row r="35" spans="1:35"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row>
    <row r="36" spans="1:35"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row>
    <row r="37" spans="1:35"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row>
    <row r="38" spans="1:35"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row>
    <row r="39" spans="1:35"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row>
    <row r="40" spans="1:35"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row>
    <row r="41" spans="1:35"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row>
    <row r="42" spans="1:35"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row>
    <row r="43" spans="1:35"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row>
    <row r="44" spans="1:35"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row>
    <row r="45" spans="1:35"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row>
    <row r="46" spans="1:35"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row>
    <row r="47" spans="1:35"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row>
    <row r="48" spans="1:35"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row>
    <row r="49" spans="1:35"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row>
    <row r="50" spans="1:35"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row>
    <row r="51" spans="1:35"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row>
    <row r="52" spans="1:35" x14ac:dyDescent="0.3">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row>
    <row r="53" spans="1:35"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row>
    <row r="54" spans="1:35"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row>
    <row r="55" spans="1:35"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row>
    <row r="56" spans="1:35"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row>
    <row r="57" spans="1:35"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row>
    <row r="58" spans="1:35" x14ac:dyDescent="0.3">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row>
    <row r="59" spans="1:35"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row>
    <row r="60" spans="1:35"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row>
    <row r="61" spans="1:35"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row>
    <row r="62" spans="1:35"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row>
    <row r="63" spans="1:35" x14ac:dyDescent="0.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row>
    <row r="64" spans="1:35" x14ac:dyDescent="0.3">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row>
    <row r="65" spans="1:35" x14ac:dyDescent="0.3">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row>
    <row r="66" spans="1:35" x14ac:dyDescent="0.3">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row>
    <row r="67" spans="1:35" x14ac:dyDescent="0.3">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row>
    <row r="68" spans="1:35" x14ac:dyDescent="0.3">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row>
    <row r="69" spans="1:35" x14ac:dyDescent="0.3">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row>
    <row r="70" spans="1:35" x14ac:dyDescent="0.3">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row>
    <row r="71" spans="1:35" x14ac:dyDescent="0.3">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row>
    <row r="72" spans="1:35" x14ac:dyDescent="0.3">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row>
    <row r="73" spans="1:35" x14ac:dyDescent="0.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row>
    <row r="74" spans="1:35" x14ac:dyDescent="0.3">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row>
    <row r="75" spans="1:35" x14ac:dyDescent="0.3">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row>
    <row r="76" spans="1:35" x14ac:dyDescent="0.3">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row>
    <row r="77" spans="1:35" x14ac:dyDescent="0.3">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row>
    <row r="78" spans="1:35" x14ac:dyDescent="0.3">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row>
    <row r="79" spans="1:35" x14ac:dyDescent="0.3">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row>
    <row r="80" spans="1:35" x14ac:dyDescent="0.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row>
    <row r="81" spans="1:35" x14ac:dyDescent="0.3">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row>
    <row r="82" spans="1:35" x14ac:dyDescent="0.3">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row>
    <row r="83" spans="1:35" x14ac:dyDescent="0.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row>
    <row r="84" spans="1:35" x14ac:dyDescent="0.3">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row>
    <row r="85" spans="1:35" x14ac:dyDescent="0.3">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row>
    <row r="86" spans="1:35" x14ac:dyDescent="0.3">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row>
    <row r="87" spans="1:35" x14ac:dyDescent="0.3">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row>
    <row r="88" spans="1:35" x14ac:dyDescent="0.3">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row>
    <row r="89" spans="1:35" x14ac:dyDescent="0.3">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row>
    <row r="90" spans="1:35" x14ac:dyDescent="0.3">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row>
    <row r="91" spans="1:35" x14ac:dyDescent="0.3">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row>
    <row r="92" spans="1:35" x14ac:dyDescent="0.3">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row>
    <row r="93" spans="1:35" x14ac:dyDescent="0.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row>
    <row r="94" spans="1:35" x14ac:dyDescent="0.3">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row>
    <row r="95" spans="1:35" x14ac:dyDescent="0.3">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row>
    <row r="96" spans="1:35" x14ac:dyDescent="0.3">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row>
    <row r="97" spans="1:35" x14ac:dyDescent="0.3">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row>
    <row r="98" spans="1:35" x14ac:dyDescent="0.3">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row>
    <row r="99" spans="1:35" x14ac:dyDescent="0.3">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row>
    <row r="100" spans="1:3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row>
    <row r="101" spans="1:35"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row>
    <row r="102" spans="1:35"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row>
    <row r="103" spans="1:35"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row>
    <row r="104" spans="1:35"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row>
    <row r="105" spans="1:35"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row>
    <row r="106" spans="1:35"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row>
    <row r="107" spans="1:35"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row>
    <row r="108" spans="1:35" x14ac:dyDescent="0.3">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row>
    <row r="109" spans="1:35" x14ac:dyDescent="0.3">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row>
    <row r="110" spans="1:35" x14ac:dyDescent="0.3">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row>
    <row r="111" spans="1:35" x14ac:dyDescent="0.3">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row>
    <row r="112" spans="1:35" x14ac:dyDescent="0.3">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row>
    <row r="113" spans="1:35" x14ac:dyDescent="0.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row>
    <row r="114" spans="1:35" x14ac:dyDescent="0.3">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row>
    <row r="115" spans="1:35"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row>
    <row r="116" spans="1:35" x14ac:dyDescent="0.3">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row>
    <row r="117" spans="1:35"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row>
    <row r="118" spans="1:35"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row>
    <row r="119" spans="1:35"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row>
    <row r="120" spans="1:35"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row>
    <row r="121" spans="1:35" x14ac:dyDescent="0.3">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row>
    <row r="122" spans="1:35" x14ac:dyDescent="0.3">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row>
    <row r="123" spans="1:35" x14ac:dyDescent="0.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row>
    <row r="124" spans="1:35" x14ac:dyDescent="0.3">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row>
    <row r="125" spans="1:35" x14ac:dyDescent="0.3">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row>
    <row r="126" spans="1:35"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row>
    <row r="127" spans="1:35" x14ac:dyDescent="0.3">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row>
    <row r="128" spans="1:35"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row>
    <row r="129" spans="1:35"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row>
    <row r="130" spans="1:35"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row>
    <row r="131" spans="1:35"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row>
    <row r="132" spans="1:35"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row>
    <row r="133" spans="1:35"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row>
    <row r="134" spans="1:35" x14ac:dyDescent="0.3">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row>
    <row r="135" spans="1:35" x14ac:dyDescent="0.3">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row>
    <row r="136" spans="1:35" x14ac:dyDescent="0.3">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row>
    <row r="137" spans="1:35" x14ac:dyDescent="0.3">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row>
    <row r="138" spans="1:35" x14ac:dyDescent="0.3">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row>
    <row r="139" spans="1:35" x14ac:dyDescent="0.3">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row>
    <row r="140" spans="1:35" x14ac:dyDescent="0.3">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row>
    <row r="141" spans="1:35" x14ac:dyDescent="0.3">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row>
    <row r="142" spans="1:35" x14ac:dyDescent="0.3">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row>
    <row r="143" spans="1:35" x14ac:dyDescent="0.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row>
    <row r="144" spans="1:35" x14ac:dyDescent="0.3">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row>
    <row r="145" spans="1:35" x14ac:dyDescent="0.3">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row>
    <row r="146" spans="1:35" x14ac:dyDescent="0.3">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row>
    <row r="147" spans="1:35" x14ac:dyDescent="0.3">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row>
    <row r="148" spans="1:35" x14ac:dyDescent="0.3">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row>
    <row r="149" spans="1:35" x14ac:dyDescent="0.3">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row>
    <row r="150" spans="1:35" x14ac:dyDescent="0.3">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row>
    <row r="151" spans="1:35" x14ac:dyDescent="0.3">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row>
    <row r="152" spans="1:35" x14ac:dyDescent="0.3">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row>
    <row r="153" spans="1:35" x14ac:dyDescent="0.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row>
    <row r="154" spans="1:35" x14ac:dyDescent="0.3">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row>
    <row r="155" spans="1:35" x14ac:dyDescent="0.3">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row>
    <row r="156" spans="1:35" x14ac:dyDescent="0.3">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row>
    <row r="157" spans="1:35" x14ac:dyDescent="0.3">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row>
    <row r="158" spans="1:35" x14ac:dyDescent="0.3">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row>
    <row r="159" spans="1:35" x14ac:dyDescent="0.3">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row>
    <row r="160" spans="1:35" x14ac:dyDescent="0.3">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row>
    <row r="161" spans="1:35" x14ac:dyDescent="0.3">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row>
    <row r="162" spans="1:35" x14ac:dyDescent="0.3">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row>
    <row r="163" spans="1:35" x14ac:dyDescent="0.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row>
    <row r="164" spans="1:35" x14ac:dyDescent="0.3">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row>
    <row r="165" spans="1:35" x14ac:dyDescent="0.3">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row>
    <row r="166" spans="1:35" x14ac:dyDescent="0.3">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row>
    <row r="167" spans="1:35" x14ac:dyDescent="0.3">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row>
    <row r="168" spans="1:35" x14ac:dyDescent="0.3">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row>
    <row r="169" spans="1:35" x14ac:dyDescent="0.3">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row>
    <row r="170" spans="1:35" x14ac:dyDescent="0.3">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row>
    <row r="171" spans="1:35" x14ac:dyDescent="0.3">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row>
    <row r="172" spans="1:35" x14ac:dyDescent="0.3">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row>
    <row r="173" spans="1:35" x14ac:dyDescent="0.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row>
    <row r="174" spans="1:35" x14ac:dyDescent="0.3">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row>
    <row r="175" spans="1:35" x14ac:dyDescent="0.3">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row>
    <row r="176" spans="1:35" x14ac:dyDescent="0.3">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row>
    <row r="177" spans="1:35" x14ac:dyDescent="0.3">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row>
    <row r="178" spans="1:35" x14ac:dyDescent="0.3">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row>
    <row r="179" spans="1:35" x14ac:dyDescent="0.3">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row>
    <row r="180" spans="1:35" x14ac:dyDescent="0.3">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row>
    <row r="181" spans="1:35" x14ac:dyDescent="0.3">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row>
    <row r="182" spans="1:35" x14ac:dyDescent="0.3">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row>
    <row r="183" spans="1:35" x14ac:dyDescent="0.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row>
    <row r="184" spans="1:35" x14ac:dyDescent="0.3">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row>
    <row r="185" spans="1:35" x14ac:dyDescent="0.3">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row>
    <row r="186" spans="1:35" x14ac:dyDescent="0.3">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row>
    <row r="187" spans="1:35" x14ac:dyDescent="0.3">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row>
    <row r="188" spans="1:35" x14ac:dyDescent="0.3">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row>
    <row r="189" spans="1:35" x14ac:dyDescent="0.3">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row>
    <row r="190" spans="1:35" x14ac:dyDescent="0.3">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row>
    <row r="191" spans="1:35" x14ac:dyDescent="0.3">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row>
    <row r="192" spans="1:35" x14ac:dyDescent="0.3">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row>
    <row r="193" spans="1:35" x14ac:dyDescent="0.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row>
    <row r="194" spans="1:35" x14ac:dyDescent="0.3">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row>
    <row r="195" spans="1:35" x14ac:dyDescent="0.3">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row>
    <row r="196" spans="1:35" x14ac:dyDescent="0.3">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row>
    <row r="197" spans="1:35" x14ac:dyDescent="0.3">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row>
    <row r="198" spans="1:35" x14ac:dyDescent="0.3">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row>
    <row r="199" spans="1:35" x14ac:dyDescent="0.3">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row>
    <row r="200" spans="1:35" x14ac:dyDescent="0.3">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row>
    <row r="201" spans="1:35" x14ac:dyDescent="0.3">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row>
    <row r="202" spans="1:35" x14ac:dyDescent="0.3">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row>
    <row r="203" spans="1:35" x14ac:dyDescent="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row>
    <row r="204" spans="1:35" x14ac:dyDescent="0.3">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row>
    <row r="205" spans="1:35" x14ac:dyDescent="0.3">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row>
    <row r="206" spans="1:35" x14ac:dyDescent="0.3">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row>
    <row r="207" spans="1:35" x14ac:dyDescent="0.3">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row>
    <row r="208" spans="1:35" x14ac:dyDescent="0.3">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row>
    <row r="209" spans="1:35" x14ac:dyDescent="0.3">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row>
    <row r="210" spans="1:35" x14ac:dyDescent="0.3">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row>
    <row r="211" spans="1:35" x14ac:dyDescent="0.3">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row>
    <row r="212" spans="1:35" x14ac:dyDescent="0.3">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row>
    <row r="213" spans="1:35" x14ac:dyDescent="0.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row>
    <row r="214" spans="1:35" x14ac:dyDescent="0.3">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row>
    <row r="215" spans="1:35" x14ac:dyDescent="0.3">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row>
    <row r="216" spans="1:35" x14ac:dyDescent="0.3">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row>
    <row r="217" spans="1:35" x14ac:dyDescent="0.3">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row>
    <row r="218" spans="1:35" x14ac:dyDescent="0.3">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row>
    <row r="219" spans="1:35" x14ac:dyDescent="0.3">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row>
    <row r="220" spans="1:35" x14ac:dyDescent="0.3">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row>
    <row r="221" spans="1:35" x14ac:dyDescent="0.3">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row>
    <row r="222" spans="1:35" x14ac:dyDescent="0.3">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row>
    <row r="223" spans="1:35" x14ac:dyDescent="0.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row>
    <row r="224" spans="1:35" x14ac:dyDescent="0.3">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row>
    <row r="225" spans="1:35" x14ac:dyDescent="0.3">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row>
    <row r="226" spans="1:35" x14ac:dyDescent="0.3">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row>
    <row r="227" spans="1:35" x14ac:dyDescent="0.3">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row>
    <row r="228" spans="1:35" x14ac:dyDescent="0.3">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row>
    <row r="229" spans="1:35" x14ac:dyDescent="0.3">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row>
    <row r="230" spans="1:35" x14ac:dyDescent="0.3">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row>
    <row r="231" spans="1:35" x14ac:dyDescent="0.3">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row>
    <row r="232" spans="1:35" x14ac:dyDescent="0.3">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row>
    <row r="233" spans="1:35" x14ac:dyDescent="0.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row>
    <row r="234" spans="1:35" x14ac:dyDescent="0.3">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row>
    <row r="235" spans="1:35" x14ac:dyDescent="0.3">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row>
    <row r="236" spans="1:35" x14ac:dyDescent="0.3">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row>
    <row r="237" spans="1:35" x14ac:dyDescent="0.3">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row>
    <row r="238" spans="1:35" x14ac:dyDescent="0.3">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row>
    <row r="239" spans="1:35" x14ac:dyDescent="0.3">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row>
    <row r="240" spans="1:35" x14ac:dyDescent="0.3">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row>
    <row r="241" spans="1:35" x14ac:dyDescent="0.3">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row>
    <row r="242" spans="1:35" x14ac:dyDescent="0.3">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row>
    <row r="243" spans="1:35" x14ac:dyDescent="0.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row>
    <row r="244" spans="1:35" x14ac:dyDescent="0.3">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row>
    <row r="245" spans="1:35" x14ac:dyDescent="0.3">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row>
    <row r="246" spans="1:35" x14ac:dyDescent="0.3">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row>
    <row r="247" spans="1:35" x14ac:dyDescent="0.3">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row>
    <row r="248" spans="1:35" x14ac:dyDescent="0.3">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row>
    <row r="249" spans="1:35" x14ac:dyDescent="0.3">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row>
    <row r="250" spans="1:35" x14ac:dyDescent="0.3">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row>
    <row r="251" spans="1:35" x14ac:dyDescent="0.3">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row>
    <row r="252" spans="1:35" x14ac:dyDescent="0.3">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row>
    <row r="253" spans="1:35" x14ac:dyDescent="0.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row>
    <row r="254" spans="1:35" x14ac:dyDescent="0.3">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row>
    <row r="255" spans="1:35" x14ac:dyDescent="0.3">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row>
    <row r="256" spans="1:35" x14ac:dyDescent="0.3">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row>
    <row r="257" spans="1:35" x14ac:dyDescent="0.3">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row>
    <row r="258" spans="1:35" x14ac:dyDescent="0.3">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row>
    <row r="259" spans="1:35" x14ac:dyDescent="0.3">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row>
    <row r="260" spans="1:35" x14ac:dyDescent="0.3">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row>
    <row r="261" spans="1:35" x14ac:dyDescent="0.3">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row>
    <row r="262" spans="1:35" x14ac:dyDescent="0.3">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row>
    <row r="263" spans="1:35" x14ac:dyDescent="0.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row>
    <row r="264" spans="1:35" x14ac:dyDescent="0.3">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row>
    <row r="265" spans="1:35" x14ac:dyDescent="0.3">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row>
    <row r="266" spans="1:35" x14ac:dyDescent="0.3">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row>
    <row r="267" spans="1:35" x14ac:dyDescent="0.3">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row>
    <row r="268" spans="1:35" x14ac:dyDescent="0.3">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row>
    <row r="269" spans="1:35" x14ac:dyDescent="0.3">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row>
    <row r="270" spans="1:35" x14ac:dyDescent="0.3">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row>
    <row r="271" spans="1:35" x14ac:dyDescent="0.3">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row>
    <row r="272" spans="1:35" x14ac:dyDescent="0.3">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row>
    <row r="273" spans="1:35" x14ac:dyDescent="0.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row>
    <row r="274" spans="1:35" x14ac:dyDescent="0.3">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row>
    <row r="275" spans="1:35" x14ac:dyDescent="0.3">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row>
    <row r="276" spans="1:35" x14ac:dyDescent="0.3">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row>
    <row r="277" spans="1:35" x14ac:dyDescent="0.3">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row>
    <row r="278" spans="1:35" x14ac:dyDescent="0.3">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row>
    <row r="279" spans="1:35" x14ac:dyDescent="0.3">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row>
    <row r="280" spans="1:35" x14ac:dyDescent="0.3">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row>
    <row r="281" spans="1:35" x14ac:dyDescent="0.3">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row>
    <row r="282" spans="1:35" x14ac:dyDescent="0.3">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row>
    <row r="283" spans="1:35" x14ac:dyDescent="0.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row>
    <row r="284" spans="1:35" x14ac:dyDescent="0.3">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row>
    <row r="285" spans="1:35" x14ac:dyDescent="0.3">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row>
    <row r="286" spans="1:35" x14ac:dyDescent="0.3">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row>
    <row r="287" spans="1:35" x14ac:dyDescent="0.3">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row>
    <row r="288" spans="1:35" x14ac:dyDescent="0.3">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row>
    <row r="289" spans="1:35" x14ac:dyDescent="0.3">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row>
    <row r="290" spans="1:35" x14ac:dyDescent="0.3">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row>
    <row r="291" spans="1:35" x14ac:dyDescent="0.3">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row>
    <row r="292" spans="1:35" x14ac:dyDescent="0.3">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row>
    <row r="293" spans="1:35" x14ac:dyDescent="0.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row>
    <row r="294" spans="1:35" x14ac:dyDescent="0.3">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row>
    <row r="295" spans="1:35" x14ac:dyDescent="0.3">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row>
    <row r="296" spans="1:35" x14ac:dyDescent="0.3">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row>
    <row r="297" spans="1:35" x14ac:dyDescent="0.3">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row>
    <row r="298" spans="1:35" x14ac:dyDescent="0.3">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row>
    <row r="299" spans="1:35" x14ac:dyDescent="0.3">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row>
    <row r="300" spans="1:35" x14ac:dyDescent="0.3">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row>
    <row r="301" spans="1:35" x14ac:dyDescent="0.3">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row>
    <row r="302" spans="1:35" x14ac:dyDescent="0.3">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row>
    <row r="303" spans="1:35" x14ac:dyDescent="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row>
    <row r="304" spans="1:35" x14ac:dyDescent="0.3">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row>
    <row r="305" spans="1:35" x14ac:dyDescent="0.3">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row>
    <row r="306" spans="1:35" x14ac:dyDescent="0.3">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row>
    <row r="307" spans="1:35" x14ac:dyDescent="0.3">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row>
    <row r="308" spans="1:35" x14ac:dyDescent="0.3">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row>
    <row r="309" spans="1:35" x14ac:dyDescent="0.3">
      <c r="A309" s="9"/>
      <c r="B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row>
    <row r="310" spans="1:35" x14ac:dyDescent="0.3">
      <c r="A310" s="9"/>
      <c r="B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row>
  </sheetData>
  <mergeCells count="4">
    <mergeCell ref="I1:N1"/>
    <mergeCell ref="C32:D32"/>
    <mergeCell ref="C33:D33"/>
    <mergeCell ref="C34:E3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Calculated_Fields</vt:lpstr>
      <vt:lpstr>Pivot_Tables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PATEL</dc:creator>
  <cp:lastModifiedBy>KIRAN PATEL</cp:lastModifiedBy>
  <dcterms:created xsi:type="dcterms:W3CDTF">2025-10-30T15:35:07Z</dcterms:created>
  <dcterms:modified xsi:type="dcterms:W3CDTF">2025-11-02T19:40:27Z</dcterms:modified>
</cp:coreProperties>
</file>